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ingkasan Mingguan 2025" sheetId="1" state="visible" r:id="rId3"/>
    <sheet name="Perhitungan IPH Mingguan 2025" sheetId="2" state="visible" r:id="rId4"/>
    <sheet name="Top 5 Andil per Minggu 2025" sheetId="3" state="visible" r:id="rId5"/>
    <sheet name="Saran ke Pemkab" sheetId="4" state="visible" r:id="rId6"/>
    <sheet name="Pemetaan Variant" sheetId="5" state="visible" r:id="rId7"/>
    <sheet name="P0Q0 Dasar 2022" sheetId="6" state="visible" r:id="rId8"/>
    <sheet name="Data Des 2024" sheetId="7" state="visible" r:id="rId9"/>
    <sheet name="Data Jan 2025" sheetId="8" state="visible" r:id="rId10"/>
    <sheet name="Data Feb 2025" sheetId="9" state="visible" r:id="rId11"/>
    <sheet name="Data Mar 2025" sheetId="10" state="visible" r:id="rId12"/>
    <sheet name="Data Apr 2025" sheetId="11" state="visible" r:id="rId13"/>
    <sheet name="Data Mei 2025" sheetId="12" state="visible" r:id="rId14"/>
    <sheet name="Data Jun 2025" sheetId="13" state="visible" r:id="rId15"/>
    <sheet name="Data Jul 2025" sheetId="14" state="visible" r:id="rId16"/>
    <sheet name="Data Agu 2025" sheetId="15" state="visible" r:id="rId17"/>
    <sheet name="Data Sep 2025" sheetId="16" state="visible" r:id="rId18"/>
    <sheet name="Data Okt 2025" sheetId="17" state="visible" r:id="rId19"/>
    <sheet name="Data Nov 2025" sheetId="18" state="visible" r:id="rId20"/>
    <sheet name="Data Des 2025" sheetId="19" state="visible" r:id="rId2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<sst xmlns="http://schemas.openxmlformats.org/spreadsheetml/2006/main" count="2545" uniqueCount="799">
  <si>
    <t xml:space="preserve">RINGKASAN GROWTH IPH MINGGUAN JANUARI - DESEMBER 2025 (Pasar Pon Jombang)</t>
  </si>
  <si>
    <t xml:space="preserve">No</t>
  </si>
  <si>
    <t xml:space="preserve">Bulan - Minggu</t>
  </si>
  <si>
    <t xml:space="preserve">Rentang Tanggal</t>
  </si>
  <si>
    <t xml:space="preserve">Growth IPH (%)</t>
  </si>
  <si>
    <t xml:space="preserve">Arah</t>
  </si>
  <si>
    <t xml:space="preserve">Jan 2025 - M1</t>
  </si>
  <si>
    <t xml:space="preserve">2025-01-01 s/d 2025-01-03</t>
  </si>
  <si>
    <t xml:space="preserve">Jan 2025 - M2</t>
  </si>
  <si>
    <t xml:space="preserve">2025-01-06 s/d 2025-01-10</t>
  </si>
  <si>
    <t xml:space="preserve">Jan 2025 - M3</t>
  </si>
  <si>
    <t xml:space="preserve">2025-01-13 s/d 2025-01-17</t>
  </si>
  <si>
    <t xml:space="preserve">Jan 2025 - M4</t>
  </si>
  <si>
    <t xml:space="preserve">2025-01-20 s/d 2025-01-24</t>
  </si>
  <si>
    <t xml:space="preserve">Jan 2025 - M5</t>
  </si>
  <si>
    <t xml:space="preserve">2025-01-27 s/d 2025-01-31</t>
  </si>
  <si>
    <t xml:space="preserve">Feb 2025 - M1</t>
  </si>
  <si>
    <t xml:space="preserve">2025-02-03 s/d 2025-02-07</t>
  </si>
  <si>
    <t xml:space="preserve">Feb 2025 - M2</t>
  </si>
  <si>
    <t xml:space="preserve">2025-02-10 s/d 2025-02-14</t>
  </si>
  <si>
    <t xml:space="preserve">Feb 2025 - M3</t>
  </si>
  <si>
    <t xml:space="preserve">2025-02-17 s/d 2025-02-21</t>
  </si>
  <si>
    <t xml:space="preserve">Feb 2025 - M4</t>
  </si>
  <si>
    <t xml:space="preserve">2025-02-24 s/d 2025-02-28</t>
  </si>
  <si>
    <t xml:space="preserve">Mar 2025 - M1</t>
  </si>
  <si>
    <t xml:space="preserve">2025-03-03 s/d 2025-03-07</t>
  </si>
  <si>
    <t xml:space="preserve">Mar 2025 - M2</t>
  </si>
  <si>
    <t xml:space="preserve">2025-03-10 s/d 2025-03-14</t>
  </si>
  <si>
    <t xml:space="preserve">Mar 2025 - M3</t>
  </si>
  <si>
    <t xml:space="preserve">2025-03-17 s/d 2025-03-21</t>
  </si>
  <si>
    <t xml:space="preserve">Mar 2025 - M4</t>
  </si>
  <si>
    <t xml:space="preserve">2025-03-24 s/d 2025-03-28</t>
  </si>
  <si>
    <t xml:space="preserve">Mar 2025 - M5</t>
  </si>
  <si>
    <t xml:space="preserve">2025-03-31 s/d 2025-03-31</t>
  </si>
  <si>
    <t xml:space="preserve">Apr 2025 - M1</t>
  </si>
  <si>
    <t xml:space="preserve">2025-04-01 s/d 2025-04-04</t>
  </si>
  <si>
    <t xml:space="preserve">Apr 2025 - M2</t>
  </si>
  <si>
    <t xml:space="preserve">2025-04-07 s/d 2025-04-11</t>
  </si>
  <si>
    <t xml:space="preserve">Apr 2025 - M3</t>
  </si>
  <si>
    <t xml:space="preserve">2025-04-14 s/d 2025-04-18</t>
  </si>
  <si>
    <t xml:space="preserve">Apr 2025 - M4</t>
  </si>
  <si>
    <t xml:space="preserve">2025-04-21 s/d 2025-04-25</t>
  </si>
  <si>
    <t xml:space="preserve">Apr 2025 - M5</t>
  </si>
  <si>
    <t xml:space="preserve">2025-04-28 s/d 2025-04-30</t>
  </si>
  <si>
    <t xml:space="preserve">Mei 2025 - M1</t>
  </si>
  <si>
    <t xml:space="preserve">2025-05-01 s/d 2025-05-02</t>
  </si>
  <si>
    <t xml:space="preserve">Mei 2025 - M2</t>
  </si>
  <si>
    <t xml:space="preserve">2025-05-05 s/d 2025-05-09</t>
  </si>
  <si>
    <t xml:space="preserve">Mei 2025 - M3</t>
  </si>
  <si>
    <t xml:space="preserve">2025-05-12 s/d 2025-05-16</t>
  </si>
  <si>
    <t xml:space="preserve">Mei 2025 - M4</t>
  </si>
  <si>
    <t xml:space="preserve">2025-05-19 s/d 2025-05-23</t>
  </si>
  <si>
    <t xml:space="preserve">Mei 2025 - M5</t>
  </si>
  <si>
    <t xml:space="preserve">2025-05-26 s/d 2025-05-30</t>
  </si>
  <si>
    <t xml:space="preserve">Jun 2025 - M1</t>
  </si>
  <si>
    <t xml:space="preserve">2025-06-02 s/d 2025-06-06</t>
  </si>
  <si>
    <t xml:space="preserve">Jun 2025 - M2</t>
  </si>
  <si>
    <t xml:space="preserve">2025-06-09 s/d 2025-06-13</t>
  </si>
  <si>
    <t xml:space="preserve">Jun 2025 - M3</t>
  </si>
  <si>
    <t xml:space="preserve">2025-06-16 s/d 2025-06-20</t>
  </si>
  <si>
    <t xml:space="preserve">Jun 2025 - M4</t>
  </si>
  <si>
    <t xml:space="preserve">2025-06-23 s/d 2025-06-27</t>
  </si>
  <si>
    <t xml:space="preserve">Jul 2025 - M1</t>
  </si>
  <si>
    <t xml:space="preserve">2025-07-01 s/d 2025-07-04</t>
  </si>
  <si>
    <t xml:space="preserve">Jul 2025 - M2</t>
  </si>
  <si>
    <t xml:space="preserve">2025-07-07 s/d 2025-07-11</t>
  </si>
  <si>
    <t xml:space="preserve">Jul 2025 - M3</t>
  </si>
  <si>
    <t xml:space="preserve">2025-07-14 s/d 2025-07-18</t>
  </si>
  <si>
    <t xml:space="preserve">Jul 2025 - M4</t>
  </si>
  <si>
    <t xml:space="preserve">2025-07-21 s/d 2025-07-25</t>
  </si>
  <si>
    <t xml:space="preserve">Jul 2025 - M5</t>
  </si>
  <si>
    <t xml:space="preserve">2025-07-28 s/d 2025-07-31</t>
  </si>
  <si>
    <t xml:space="preserve">Agu 2025 - M1</t>
  </si>
  <si>
    <t xml:space="preserve">2025-08-04 s/d 2025-08-08</t>
  </si>
  <si>
    <t xml:space="preserve">Agu 2025 - M2</t>
  </si>
  <si>
    <t xml:space="preserve">2025-08-11 s/d 2025-08-15</t>
  </si>
  <si>
    <t xml:space="preserve">Agu 2025 - M3</t>
  </si>
  <si>
    <t xml:space="preserve">2025-08-18 s/d 2025-08-22</t>
  </si>
  <si>
    <t xml:space="preserve">Agu 2025 - M4</t>
  </si>
  <si>
    <t xml:space="preserve">2025-08-25 s/d 2025-08-29</t>
  </si>
  <si>
    <t xml:space="preserve">Sep 2025 - M1</t>
  </si>
  <si>
    <t xml:space="preserve">2025-09-01 s/d 2025-09-05</t>
  </si>
  <si>
    <t xml:space="preserve">Sep 2025 - M2</t>
  </si>
  <si>
    <t xml:space="preserve">2025-09-08 s/d 2025-09-12</t>
  </si>
  <si>
    <t xml:space="preserve">Sep 2025 - M3</t>
  </si>
  <si>
    <t xml:space="preserve">2025-09-15 s/d 2025-09-19</t>
  </si>
  <si>
    <t xml:space="preserve">Sep 2025 - M4</t>
  </si>
  <si>
    <t xml:space="preserve">2025-09-22 s/d 2025-09-26</t>
  </si>
  <si>
    <t xml:space="preserve">Okt 2025 - M1</t>
  </si>
  <si>
    <t xml:space="preserve">2025-10-01 s/d 2025-10-03</t>
  </si>
  <si>
    <t xml:space="preserve">Okt 2025 - M2</t>
  </si>
  <si>
    <t xml:space="preserve">2025-10-06 s/d 2025-10-10</t>
  </si>
  <si>
    <t xml:space="preserve">Okt 2025 - M3</t>
  </si>
  <si>
    <t xml:space="preserve">2025-10-13 s/d 2025-10-17</t>
  </si>
  <si>
    <t xml:space="preserve">Okt 2025 - M4</t>
  </si>
  <si>
    <t xml:space="preserve">2025-10-20 s/d 2025-10-24</t>
  </si>
  <si>
    <t xml:space="preserve">Okt 2025 - M5</t>
  </si>
  <si>
    <t xml:space="preserve">2025-10-27 s/d 2025-10-31</t>
  </si>
  <si>
    <t xml:space="preserve">Nov 2025 - M1</t>
  </si>
  <si>
    <t xml:space="preserve">2025-11-03 s/d 2025-11-07</t>
  </si>
  <si>
    <t xml:space="preserve">Nov 2025 - M2</t>
  </si>
  <si>
    <t xml:space="preserve">2025-11-10 s/d 2025-11-14</t>
  </si>
  <si>
    <t xml:space="preserve">Nov 2025 - M3</t>
  </si>
  <si>
    <t xml:space="preserve">2025-11-17 s/d 2025-11-21</t>
  </si>
  <si>
    <t xml:space="preserve">Nov 2025 - M4</t>
  </si>
  <si>
    <t xml:space="preserve">2025-11-24 s/d 2025-11-28</t>
  </si>
  <si>
    <t xml:space="preserve">Des 2025 - M1</t>
  </si>
  <si>
    <t xml:space="preserve">2025-12-01 s/d 2025-12-05</t>
  </si>
  <si>
    <t xml:space="preserve">Des 2025 - M2</t>
  </si>
  <si>
    <t xml:space="preserve">2025-12-08 s/d 2025-12-12</t>
  </si>
  <si>
    <t xml:space="preserve">Des 2025 - M3</t>
  </si>
  <si>
    <t xml:space="preserve">2025-12-15 s/d 2025-12-19</t>
  </si>
  <si>
    <t xml:space="preserve">Des 2025 - M4</t>
  </si>
  <si>
    <t xml:space="preserve">2025-12-22 s/d 2025-12-26</t>
  </si>
  <si>
    <t xml:space="preserve">Des 2025 - M5</t>
  </si>
  <si>
    <t xml:space="preserve">2025-12-29 s/d 2025-12-31</t>
  </si>
  <si>
    <t xml:space="preserve">PERHITUNGAN IPH MINGGUAN JANUARI - DESEMBER 2025 (55 minggu) - PASAR PON JOMBANG</t>
  </si>
  <si>
    <t xml:space="preserve">Formula: Andil_i(Mt) = Bobot_i x [(P̄Mt,i - P̄bulan sebelumnya,i)/P̄bulan sebelumnya,i] x 100% ; Growth IPH(Mt) = Σ Andil_i(Mt). Acuan m-1 tiap minggu = rata-rata bulan kalender sebelumnya (mis. minggu2 Januari acuan = rata2 Desember 2024).</t>
  </si>
  <si>
    <t xml:space="preserve">Jan 2025 - M1 (01-03)</t>
  </si>
  <si>
    <t xml:space="preserve">Jan 2025 - M2 (06-10)</t>
  </si>
  <si>
    <t xml:space="preserve">Jan 2025 - M3 (13-17)</t>
  </si>
  <si>
    <t xml:space="preserve">Jan 2025 - M4 (20-24)</t>
  </si>
  <si>
    <t xml:space="preserve">Jan 2025 - M5 (27-31)</t>
  </si>
  <si>
    <t xml:space="preserve">Feb 2025 - M1 (03-07)</t>
  </si>
  <si>
    <t xml:space="preserve">Feb 2025 - M2 (10-14)</t>
  </si>
  <si>
    <t xml:space="preserve">Feb 2025 - M3 (17-21)</t>
  </si>
  <si>
    <t xml:space="preserve">Feb 2025 - M4 (24-28)</t>
  </si>
  <si>
    <t xml:space="preserve">Mar 2025 - M1 (03-07)</t>
  </si>
  <si>
    <t xml:space="preserve">Mar 2025 - M2 (10-14)</t>
  </si>
  <si>
    <t xml:space="preserve">Mar 2025 - M3 (17-21)</t>
  </si>
  <si>
    <t xml:space="preserve">Mar 2025 - M4 (24-28)</t>
  </si>
  <si>
    <t xml:space="preserve">Mar 2025 - M5 (31-31)</t>
  </si>
  <si>
    <t xml:space="preserve">Apr 2025 - M1 (01-04)</t>
  </si>
  <si>
    <t xml:space="preserve">Apr 2025 - M2 (07-11)</t>
  </si>
  <si>
    <t xml:space="preserve">Apr 2025 - M3 (14-18)</t>
  </si>
  <si>
    <t xml:space="preserve">Apr 2025 - M4 (21-25)</t>
  </si>
  <si>
    <t xml:space="preserve">Apr 2025 - M5 (28-30)</t>
  </si>
  <si>
    <t xml:space="preserve">Mei 2025 - M1 (01-02)</t>
  </si>
  <si>
    <t xml:space="preserve">Mei 2025 - M2 (05-09)</t>
  </si>
  <si>
    <t xml:space="preserve">Mei 2025 - M3 (12-16)</t>
  </si>
  <si>
    <t xml:space="preserve">Mei 2025 - M4 (19-23)</t>
  </si>
  <si>
    <t xml:space="preserve">Mei 2025 - M5 (26-30)</t>
  </si>
  <si>
    <t xml:space="preserve">Jun 2025 - M1 (02-06)</t>
  </si>
  <si>
    <t xml:space="preserve">Jun 2025 - M2 (09-13)</t>
  </si>
  <si>
    <t xml:space="preserve">Jun 2025 - M3 (16-20)</t>
  </si>
  <si>
    <t xml:space="preserve">Jun 2025 - M4 (23-27)</t>
  </si>
  <si>
    <t xml:space="preserve">Jul 2025 - M1 (01-04)</t>
  </si>
  <si>
    <t xml:space="preserve">Jul 2025 - M2 (07-11)</t>
  </si>
  <si>
    <t xml:space="preserve">Jul 2025 - M3 (14-18)</t>
  </si>
  <si>
    <t xml:space="preserve">Jul 2025 - M4 (21-25)</t>
  </si>
  <si>
    <t xml:space="preserve">Jul 2025 - M5 (28-31)</t>
  </si>
  <si>
    <t xml:space="preserve">Agu 2025 - M1 (04-08)</t>
  </si>
  <si>
    <t xml:space="preserve">Agu 2025 - M2 (11-15)</t>
  </si>
  <si>
    <t xml:space="preserve">Agu 2025 - M3 (18-22)</t>
  </si>
  <si>
    <t xml:space="preserve">Agu 2025 - M4 (25-29)</t>
  </si>
  <si>
    <t xml:space="preserve">Sep 2025 - M1 (01-05)</t>
  </si>
  <si>
    <t xml:space="preserve">Sep 2025 - M2 (08-12)</t>
  </si>
  <si>
    <t xml:space="preserve">Sep 2025 - M3 (15-19)</t>
  </si>
  <si>
    <t xml:space="preserve">Sep 2025 - M4 (22-26)</t>
  </si>
  <si>
    <t xml:space="preserve">Okt 2025 - M1 (01-03)</t>
  </si>
  <si>
    <t xml:space="preserve">Okt 2025 - M2 (06-10)</t>
  </si>
  <si>
    <t xml:space="preserve">Okt 2025 - M3 (13-17)</t>
  </si>
  <si>
    <t xml:space="preserve">Okt 2025 - M4 (20-24)</t>
  </si>
  <si>
    <t xml:space="preserve">Okt 2025 - M5 (27-31)</t>
  </si>
  <si>
    <t xml:space="preserve">Nov 2025 - M1 (03-07)</t>
  </si>
  <si>
    <t xml:space="preserve">Nov 2025 - M2 (10-14)</t>
  </si>
  <si>
    <t xml:space="preserve">Nov 2025 - M3 (17-21)</t>
  </si>
  <si>
    <t xml:space="preserve">Nov 2025 - M4 (24-28)</t>
  </si>
  <si>
    <t xml:space="preserve">Des 2025 - M1 (01-05)</t>
  </si>
  <si>
    <t xml:space="preserve">Des 2025 - M2 (08-12)</t>
  </si>
  <si>
    <t xml:space="preserve">Des 2025 - M3 (15-19)</t>
  </si>
  <si>
    <t xml:space="preserve">Des 2025 - M4 (22-26)</t>
  </si>
  <si>
    <t xml:space="preserve">Des 2025 - M5 (29-31)</t>
  </si>
  <si>
    <t xml:space="preserve">Komoditas (standar IPH)</t>
  </si>
  <si>
    <t xml:space="preserve">Bobot (wi)</t>
  </si>
  <si>
    <t xml:space="preserve">P̄</t>
  </si>
  <si>
    <t xml:space="preserve">Growth%</t>
  </si>
  <si>
    <t xml:space="preserve">Andil%</t>
  </si>
  <si>
    <t xml:space="preserve">Catatan Pemetaan</t>
  </si>
  <si>
    <t xml:space="preserve">ABS[Jan 2025-M1]</t>
  </si>
  <si>
    <t xml:space="preserve">ABS[Jan 2025-M2]</t>
  </si>
  <si>
    <t xml:space="preserve">ABS[Jan 2025-M3]</t>
  </si>
  <si>
    <t xml:space="preserve">ABS[Jan 2025-M4]</t>
  </si>
  <si>
    <t xml:space="preserve">ABS[Jan 2025-M5]</t>
  </si>
  <si>
    <t xml:space="preserve">ABS[Feb 2025-M1]</t>
  </si>
  <si>
    <t xml:space="preserve">ABS[Feb 2025-M2]</t>
  </si>
  <si>
    <t xml:space="preserve">ABS[Feb 2025-M3]</t>
  </si>
  <si>
    <t xml:space="preserve">ABS[Feb 2025-M4]</t>
  </si>
  <si>
    <t xml:space="preserve">ABS[Mar 2025-M1]</t>
  </si>
  <si>
    <t xml:space="preserve">ABS[Mar 2025-M2]</t>
  </si>
  <si>
    <t xml:space="preserve">ABS[Mar 2025-M3]</t>
  </si>
  <si>
    <t xml:space="preserve">ABS[Mar 2025-M4]</t>
  </si>
  <si>
    <t xml:space="preserve">ABS[Mar 2025-M5]</t>
  </si>
  <si>
    <t xml:space="preserve">ABS[Apr 2025-M1]</t>
  </si>
  <si>
    <t xml:space="preserve">ABS[Apr 2025-M2]</t>
  </si>
  <si>
    <t xml:space="preserve">ABS[Apr 2025-M3]</t>
  </si>
  <si>
    <t xml:space="preserve">ABS[Apr 2025-M4]</t>
  </si>
  <si>
    <t xml:space="preserve">ABS[Apr 2025-M5]</t>
  </si>
  <si>
    <t xml:space="preserve">ABS[Mei 2025-M1]</t>
  </si>
  <si>
    <t xml:space="preserve">ABS[Mei 2025-M2]</t>
  </si>
  <si>
    <t xml:space="preserve">ABS[Mei 2025-M3]</t>
  </si>
  <si>
    <t xml:space="preserve">ABS[Mei 2025-M4]</t>
  </si>
  <si>
    <t xml:space="preserve">ABS[Mei 2025-M5]</t>
  </si>
  <si>
    <t xml:space="preserve">ABS[Jun 2025-M1]</t>
  </si>
  <si>
    <t xml:space="preserve">ABS[Jun 2025-M2]</t>
  </si>
  <si>
    <t xml:space="preserve">ABS[Jun 2025-M3]</t>
  </si>
  <si>
    <t xml:space="preserve">ABS[Jun 2025-M4]</t>
  </si>
  <si>
    <t xml:space="preserve">ABS[Jul 2025-M1]</t>
  </si>
  <si>
    <t xml:space="preserve">ABS[Jul 2025-M2]</t>
  </si>
  <si>
    <t xml:space="preserve">ABS[Jul 2025-M3]</t>
  </si>
  <si>
    <t xml:space="preserve">ABS[Jul 2025-M4]</t>
  </si>
  <si>
    <t xml:space="preserve">ABS[Jul 2025-M5]</t>
  </si>
  <si>
    <t xml:space="preserve">ABS[Agu 2025-M1]</t>
  </si>
  <si>
    <t xml:space="preserve">ABS[Agu 2025-M2]</t>
  </si>
  <si>
    <t xml:space="preserve">ABS[Agu 2025-M3]</t>
  </si>
  <si>
    <t xml:space="preserve">ABS[Agu 2025-M4]</t>
  </si>
  <si>
    <t xml:space="preserve">ABS[Sep 2025-M1]</t>
  </si>
  <si>
    <t xml:space="preserve">ABS[Sep 2025-M2]</t>
  </si>
  <si>
    <t xml:space="preserve">ABS[Sep 2025-M3]</t>
  </si>
  <si>
    <t xml:space="preserve">ABS[Sep 2025-M4]</t>
  </si>
  <si>
    <t xml:space="preserve">ABS[Okt 2025-M1]</t>
  </si>
  <si>
    <t xml:space="preserve">ABS[Okt 2025-M2]</t>
  </si>
  <si>
    <t xml:space="preserve">ABS[Okt 2025-M3]</t>
  </si>
  <si>
    <t xml:space="preserve">ABS[Okt 2025-M4]</t>
  </si>
  <si>
    <t xml:space="preserve">ABS[Okt 2025-M5]</t>
  </si>
  <si>
    <t xml:space="preserve">ABS[Nov 2025-M1]</t>
  </si>
  <si>
    <t xml:space="preserve">ABS[Nov 2025-M2]</t>
  </si>
  <si>
    <t xml:space="preserve">ABS[Nov 2025-M3]</t>
  </si>
  <si>
    <t xml:space="preserve">ABS[Nov 2025-M4]</t>
  </si>
  <si>
    <t xml:space="preserve">ABS[Des 2025-M1]</t>
  </si>
  <si>
    <t xml:space="preserve">ABS[Des 2025-M2]</t>
  </si>
  <si>
    <t xml:space="preserve">ABS[Des 2025-M3]</t>
  </si>
  <si>
    <t xml:space="preserve">ABS[Des 2025-M4]</t>
  </si>
  <si>
    <t xml:space="preserve">ABS[Des 2025-M5]</t>
  </si>
  <si>
    <t xml:space="preserve">beras 1111001</t>
  </si>
  <si>
    <t xml:space="preserve">tepung terigu 01115005</t>
  </si>
  <si>
    <t xml:space="preserve">tahu mentah 1194011</t>
  </si>
  <si>
    <t xml:space="preserve">daging ayam ras 1124003</t>
  </si>
  <si>
    <t xml:space="preserve">minyak goreng 01154001/4</t>
  </si>
  <si>
    <t xml:space="preserve">udang lobster 01132004</t>
  </si>
  <si>
    <t xml:space="preserve">Proksi: 'Udang Basah' (tidak ada varian lobster).</t>
  </si>
  <si>
    <t xml:space="preserve">pisang ambon 1162001</t>
  </si>
  <si>
    <t xml:space="preserve">Proksi: 'Pisang Lokal' (tidak ada varian ambon).</t>
  </si>
  <si>
    <t xml:space="preserve">cabai rawit 01173013</t>
  </si>
  <si>
    <t xml:space="preserve">telur ayam ras 01147002</t>
  </si>
  <si>
    <t xml:space="preserve">gula pasir 1181001</t>
  </si>
  <si>
    <t xml:space="preserve">ikan kembung 01131028</t>
  </si>
  <si>
    <t xml:space="preserve">Proksi: 'Ikan Tongkol' (ikan laut sejenis).</t>
  </si>
  <si>
    <t xml:space="preserve">susu bubuk bayi 01143001/2</t>
  </si>
  <si>
    <t xml:space="preserve">Proksi: 'Susu Bubuk Balita'.</t>
  </si>
  <si>
    <t xml:space="preserve">bawang merah 1174006</t>
  </si>
  <si>
    <t xml:space="preserve">bawang putih 01174007</t>
  </si>
  <si>
    <t xml:space="preserve">mi instan 01115012</t>
  </si>
  <si>
    <t xml:space="preserve">susu bubuk 01143001/2</t>
  </si>
  <si>
    <t xml:space="preserve">Proksi: 'Susu Kental Manis' (tidak ada varian susu bubuk dewasa terpisah).</t>
  </si>
  <si>
    <t xml:space="preserve">cabai merah 01173012</t>
  </si>
  <si>
    <t xml:space="preserve">daging sapi 01121001</t>
  </si>
  <si>
    <t xml:space="preserve">tempe 01194013</t>
  </si>
  <si>
    <t xml:space="preserve">jeruk 01161001-33</t>
  </si>
  <si>
    <t xml:space="preserve">TOTAL / GROWTH IPH MINGGU INI</t>
  </si>
  <si>
    <t xml:space="preserve">5 KOMODITAS DENGAN ANDIL TERBESAR PER MINGGU - JANUARI-DESEMBER 2025</t>
  </si>
  <si>
    <t xml:space="preserve">Diurutkan berdasarkan nilai mutlak (absolut) andil per minggu. Keterangan: KENAIKAN/PENURUNAN menunjukkan arah kontribusi komoditas terhadap IPH minggu tsb.</t>
  </si>
  <si>
    <t xml:space="preserve">JAN 2025 - MINGGU M1 (2025-01-01 s/d 2025-01-03)</t>
  </si>
  <si>
    <t xml:space="preserve">Peringkat</t>
  </si>
  <si>
    <t xml:space="preserve">Komoditas</t>
  </si>
  <si>
    <t xml:space="preserve">Pertumbuhan Harga (%)</t>
  </si>
  <si>
    <t xml:space="preserve">Andil thd IPH (%)</t>
  </si>
  <si>
    <t xml:space="preserve">Keterangan</t>
  </si>
  <si>
    <t xml:space="preserve">JAN 2025 - MINGGU M2 (2025-01-06 s/d 2025-01-10)</t>
  </si>
  <si>
    <t xml:space="preserve">JAN 2025 - MINGGU M3 (2025-01-13 s/d 2025-01-17)</t>
  </si>
  <si>
    <t xml:space="preserve">JAN 2025 - MINGGU M4 (2025-01-20 s/d 2025-01-24)</t>
  </si>
  <si>
    <t xml:space="preserve">JAN 2025 - MINGGU M5 (2025-01-27 s/d 2025-01-31)</t>
  </si>
  <si>
    <t xml:space="preserve">FEB 2025 - MINGGU M1 (2025-02-03 s/d 2025-02-07)</t>
  </si>
  <si>
    <t xml:space="preserve">FEB 2025 - MINGGU M2 (2025-02-10 s/d 2025-02-14)</t>
  </si>
  <si>
    <t xml:space="preserve">FEB 2025 - MINGGU M3 (2025-02-17 s/d 2025-02-21)</t>
  </si>
  <si>
    <t xml:space="preserve">FEB 2025 - MINGGU M4 (2025-02-24 s/d 2025-02-28)</t>
  </si>
  <si>
    <t xml:space="preserve">MAR 2025 - MINGGU M1 (2025-03-03 s/d 2025-03-07)</t>
  </si>
  <si>
    <t xml:space="preserve">MAR 2025 - MINGGU M2 (2025-03-10 s/d 2025-03-14)</t>
  </si>
  <si>
    <t xml:space="preserve">MAR 2025 - MINGGU M3 (2025-03-17 s/d 2025-03-21)</t>
  </si>
  <si>
    <t xml:space="preserve">MAR 2025 - MINGGU M4 (2025-03-24 s/d 2025-03-28)</t>
  </si>
  <si>
    <t xml:space="preserve">MAR 2025 - MINGGU M5 (2025-03-31 s/d 2025-03-31)</t>
  </si>
  <si>
    <t xml:space="preserve">APR 2025 - MINGGU M1 (2025-04-01 s/d 2025-04-04)</t>
  </si>
  <si>
    <t xml:space="preserve">APR 2025 - MINGGU M2 (2025-04-07 s/d 2025-04-11)</t>
  </si>
  <si>
    <t xml:space="preserve">APR 2025 - MINGGU M3 (2025-04-14 s/d 2025-04-18)</t>
  </si>
  <si>
    <t xml:space="preserve">APR 2025 - MINGGU M4 (2025-04-21 s/d 2025-04-25)</t>
  </si>
  <si>
    <t xml:space="preserve">APR 2025 - MINGGU M5 (2025-04-28 s/d 2025-04-30)</t>
  </si>
  <si>
    <t xml:space="preserve">MEI 2025 - MINGGU M1 (2025-05-01 s/d 2025-05-02)</t>
  </si>
  <si>
    <t xml:space="preserve">MEI 2025 - MINGGU M2 (2025-05-05 s/d 2025-05-09)</t>
  </si>
  <si>
    <t xml:space="preserve">MEI 2025 - MINGGU M3 (2025-05-12 s/d 2025-05-16)</t>
  </si>
  <si>
    <t xml:space="preserve">MEI 2025 - MINGGU M4 (2025-05-19 s/d 2025-05-23)</t>
  </si>
  <si>
    <t xml:space="preserve">MEI 2025 - MINGGU M5 (2025-05-26 s/d 2025-05-30)</t>
  </si>
  <si>
    <t xml:space="preserve">JUN 2025 - MINGGU M1 (2025-06-02 s/d 2025-06-06)</t>
  </si>
  <si>
    <t xml:space="preserve">JUN 2025 - MINGGU M2 (2025-06-09 s/d 2025-06-13)</t>
  </si>
  <si>
    <t xml:space="preserve">JUN 2025 - MINGGU M3 (2025-06-16 s/d 2025-06-20)</t>
  </si>
  <si>
    <t xml:space="preserve">JUN 2025 - MINGGU M4 (2025-06-23 s/d 2025-06-27)</t>
  </si>
  <si>
    <t xml:space="preserve">JUL 2025 - MINGGU M1 (2025-07-01 s/d 2025-07-04)</t>
  </si>
  <si>
    <t xml:space="preserve">JUL 2025 - MINGGU M2 (2025-07-07 s/d 2025-07-11)</t>
  </si>
  <si>
    <t xml:space="preserve">JUL 2025 - MINGGU M3 (2025-07-14 s/d 2025-07-18)</t>
  </si>
  <si>
    <t xml:space="preserve">JUL 2025 - MINGGU M4 (2025-07-21 s/d 2025-07-25)</t>
  </si>
  <si>
    <t xml:space="preserve">JUL 2025 - MINGGU M5 (2025-07-28 s/d 2025-07-31)</t>
  </si>
  <si>
    <t xml:space="preserve">AGU 2025 - MINGGU M1 (2025-08-04 s/d 2025-08-08)</t>
  </si>
  <si>
    <t xml:space="preserve">AGU 2025 - MINGGU M2 (2025-08-11 s/d 2025-08-15)</t>
  </si>
  <si>
    <t xml:space="preserve">AGU 2025 - MINGGU M3 (2025-08-18 s/d 2025-08-22)</t>
  </si>
  <si>
    <t xml:space="preserve">AGU 2025 - MINGGU M4 (2025-08-25 s/d 2025-08-29)</t>
  </si>
  <si>
    <t xml:space="preserve">SEP 2025 - MINGGU M1 (2025-09-01 s/d 2025-09-05)</t>
  </si>
  <si>
    <t xml:space="preserve">SEP 2025 - MINGGU M2 (2025-09-08 s/d 2025-09-12)</t>
  </si>
  <si>
    <t xml:space="preserve">SEP 2025 - MINGGU M3 (2025-09-15 s/d 2025-09-19)</t>
  </si>
  <si>
    <t xml:space="preserve">SEP 2025 - MINGGU M4 (2025-09-22 s/d 2025-09-26)</t>
  </si>
  <si>
    <t xml:space="preserve">OKT 2025 - MINGGU M1 (2025-10-01 s/d 2025-10-03)</t>
  </si>
  <si>
    <t xml:space="preserve">OKT 2025 - MINGGU M2 (2025-10-06 s/d 2025-10-10)</t>
  </si>
  <si>
    <t xml:space="preserve">OKT 2025 - MINGGU M3 (2025-10-13 s/d 2025-10-17)</t>
  </si>
  <si>
    <t xml:space="preserve">OKT 2025 - MINGGU M4 (2025-10-20 s/d 2025-10-24)</t>
  </si>
  <si>
    <t xml:space="preserve">OKT 2025 - MINGGU M5 (2025-10-27 s/d 2025-10-31)</t>
  </si>
  <si>
    <t xml:space="preserve">NOV 2025 - MINGGU M1 (2025-11-03 s/d 2025-11-07)</t>
  </si>
  <si>
    <t xml:space="preserve">NOV 2025 - MINGGU M2 (2025-11-10 s/d 2025-11-14)</t>
  </si>
  <si>
    <t xml:space="preserve">NOV 2025 - MINGGU M3 (2025-11-17 s/d 2025-11-21)</t>
  </si>
  <si>
    <t xml:space="preserve">NOV 2025 - MINGGU M4 (2025-11-24 s/d 2025-11-28)</t>
  </si>
  <si>
    <t xml:space="preserve">DES 2025 - MINGGU M1 (2025-12-01 s/d 2025-12-05)</t>
  </si>
  <si>
    <t xml:space="preserve">DES 2025 - MINGGU M2 (2025-12-08 s/d 2025-12-12)</t>
  </si>
  <si>
    <t xml:space="preserve">DES 2025 - MINGGU M3 (2025-12-15 s/d 2025-12-19)</t>
  </si>
  <si>
    <t xml:space="preserve">DES 2025 - MINGGU M4 (2025-12-22 s/d 2025-12-26)</t>
  </si>
  <si>
    <t xml:space="preserve">DES 2025 - MINGGU M5 (2025-12-29 s/d 2025-12-31)</t>
  </si>
  <si>
    <t xml:space="preserve">ANALISIS &amp; SARAN KEBIJAKAN UNTUK PEMERINTAH KABUPATEN JOMBANG - TAHUN 2025</t>
  </si>
  <si>
    <t xml:space="preserve">Berdasarkan hasil perhitungan IPH mingguan Januari-Desember 2025 (55 minggu, data Pasar Pon Jombang)</t>
  </si>
  <si>
    <t xml:space="preserve">1. POLA UMUM SEPANJANG TAHUN 2025</t>
  </si>
  <si>
    <t xml:space="preserve">Dari 55 minggu yang dihitung, terdapat 2 minggu tanpa data valid (31 Maret &amp; 1-4 April 2025) karena pasar tutup libur Idul Fitri 1446H - ditandai 'Data tidak tersedia' pada sheet perhitungan. Periode MEI 2025 menonjol sebagai bulan dengan tekanan PENURUNAN IPH paling konsisten (growth mingguan berkisar -2,2% s/d -2,9% di seluruh 5 minggunya), kemungkinan koreksi harga pasca lonjakan permintaan Ramadhan-Lebaran (Maret-April). Sebaliknya, JULI 2025 menunjukkan tren KENAIKAN IPH yang cukup konsisten (4 dari 5 minggu positif, hingga +2,1%), dan DESEMBER 2025 kembali berfluktuasi menjelang Natal &amp; Tahun Baru.</t>
  </si>
  <si>
    <t xml:space="preserve">2. KOMODITAS PALING SERING MENJADI PENYUMBANG KENAIKAN IPH</t>
  </si>
  <si>
    <t xml:space="preserve">CABAI RAWIT paling sering muncul sebagai penyumbang kenaikan terbesar (23 dari 55 minggu) dengan andil kumulatif net POSITIF terbesar sepanjang tahun - komoditas ini paling volatile dan paling sering mendorong IPH naik. CABAI MERAH (18 minggu), TELUR AYAM RAS (18 minggu), DAGING AYAM RAS (17 minggu), dan BAWANG MERAH (17 minggu) juga berulang kali menjadi penyumbang kenaikan, meski beberapa di antaranya (daging ayam ras, bawang merah) sama seringnya menjadi penyumbang PENURUNAN di minggu lain - menunjukkan harga yang sangat fluktuatif dua arah, bukan tren naik searah.</t>
  </si>
  <si>
    <t xml:space="preserve">3. KOMODITAS DENGAN TREN PENURUNAN NET SEPANJANG TAHUN</t>
  </si>
  <si>
    <t xml:space="preserve">DAGING AYAM RAS mencatat andil kumulatif NET NEGATIF terbesar (muncul sebagai penyumbang penurunan di 25 dari 55 minggu) - mengindikasikan harga cenderung melemah sepanjang tahun, baik bagi konsumen namun perlu diwaspadai dampaknya ke peternak lokal. JERUK LOKAL, DAGING SAPI, dan PISANG LOKAL juga mencatat andil net negatif - harga komoditas hortikultura dan protein hewani ini secara umum melandai sepanjang 2025 di Pasar Pon Jombang.</t>
  </si>
  <si>
    <t xml:space="preserve">4. SARAN UNTUK PEMERINTAH KABUPATEN JOMBANG</t>
  </si>
  <si>
    <t xml:space="preserve">a. CABAI RAWIT &amp; CABAI MERAH (paling sering mendorong kenaikan IPH, hingga +50% dalam seminggu pada Januari): perkuat program tanam cabai mandiri/pekarangan (Gerakan Tanam Cabai), perluas kerja sama dengan sentra produksi luar daerah untuk stabilisasi pasokan saat off-season, dan siapkan operasi pasar cepat-tanggap begitu andil mingguannya mulai naik tajam (&gt;0,3%) - jangan menunggu akumulasi bulanan.</t>
  </si>
  <si>
    <t xml:space="preserve">b. TELUR AYAM RAS &amp; DAGING AYAM RAS (fluktuatif dua arah, sering top-5 di kedua arah): koordinasikan dengan asosiasi peternak lokal untuk kontrak harga/pasokan yang lebih stabil, serta pantau harga pakan ternak (jagung, konsentrat) yang menjadi determinan utama biaya produksi kedua komoditas ini.</t>
  </si>
  <si>
    <t xml:space="preserve">c. Pantau khusus periode MEI 2025 sebagai preseden: penurunan harga pasca-Lebaran yang tajam dan berkepanjangan (5 minggu berturut-turut) menunjukkan perlunya skema penyerapan hasil panen/ternak lokal pasca hari besar keagamaan agar produsen tidak mengalami kerugian akibat surplus pasokan/permintaan yang anjlok mendadak.</t>
  </si>
  <si>
    <t xml:space="preserve">d. Jadikan minggu-minggu dengan status 'Data tidak tersedia' (libur panjang keagamaan) sebagai perhatian khusus - pastikan pemantauan SP2KP tetap berjalan di pasar alternatif pada periode libur panjang agar IPH tetap terukur dan kebijakan pengendalian inflasi tidak kehilangan data pada momen krusial (menjelang &amp; sesudah hari raya, biasanya periode rawan gejolak harga).</t>
  </si>
  <si>
    <t xml:space="preserve">e. Karena seluruh perhitungan ini hanya berbasis SATU pasar (Pasar Pon Jombang), lengkapi dengan data SP2KP dari pasar/kios lain di seluruh kecamatan agar IPH mingguan kabupaten merepresentasikan kondisi riil secara utuh, sesuai metodologi resmi BPS.</t>
  </si>
  <si>
    <t xml:space="preserve">f. Gunakan sheet 'Ringkasan Mingguan 2025' (beserta grafik tren) dan 'Top 5 Andil per Minggu 2025' sebagai bahan rutin Rapat Koordinasi Pengendalian Inflasi Daerah (TPID) mingguan - seluruh angka di file ini otomatis ter-update apabila data harga harian baru di-input.</t>
  </si>
  <si>
    <t xml:space="preserve">PEMETAAN 20 KOMODITAS STANDAR IPH KE VARIAN HARGA PASAR PON JOMBANG</t>
  </si>
  <si>
    <t xml:space="preserve">Digunakan oleh seluruh formula AVERAGEIF pada sheet 'Perhitungan IPH Mingguan 2025'. Ubah pemetaan di kolom B jika tersedia data yang lebih sesuai.</t>
  </si>
  <si>
    <t xml:space="preserve">Variant Sumber Data</t>
  </si>
  <si>
    <t xml:space="preserve">P̄ Des 2024 (m-1)</t>
  </si>
  <si>
    <t xml:space="preserve">P̄ Jan 2025 (m-1)</t>
  </si>
  <si>
    <t xml:space="preserve">P̄ Feb 2025 (m-1)</t>
  </si>
  <si>
    <t xml:space="preserve">P̄ Mar 2025 (m-1)</t>
  </si>
  <si>
    <t xml:space="preserve">P̄ Apr 2025 (m-1)</t>
  </si>
  <si>
    <t xml:space="preserve">P̄ Mei 2025 (m-1)</t>
  </si>
  <si>
    <t xml:space="preserve">P̄ Jun 2025 (m-1)</t>
  </si>
  <si>
    <t xml:space="preserve">P̄ Jul 2025 (m-1)</t>
  </si>
  <si>
    <t xml:space="preserve">P̄ Agu 2025 (m-1)</t>
  </si>
  <si>
    <t xml:space="preserve">P̄ Sep 2025 (m-1)</t>
  </si>
  <si>
    <t xml:space="preserve">P̄ Okt 2025 (m-1)</t>
  </si>
  <si>
    <t xml:space="preserve">P̄ Nov 2025 (m-1)</t>
  </si>
  <si>
    <t xml:space="preserve">P̄ Jan 2025 M1 (01-03)</t>
  </si>
  <si>
    <t xml:space="preserve">P̄ Jan 2025 M2 (06-10)</t>
  </si>
  <si>
    <t xml:space="preserve">P̄ Jan 2025 M3 (13-17)</t>
  </si>
  <si>
    <t xml:space="preserve">P̄ Jan 2025 M4 (20-24)</t>
  </si>
  <si>
    <t xml:space="preserve">P̄ Jan 2025 M5 (27-31)</t>
  </si>
  <si>
    <t xml:space="preserve">P̄ Feb 2025 M1 (03-07)</t>
  </si>
  <si>
    <t xml:space="preserve">P̄ Feb 2025 M2 (10-14)</t>
  </si>
  <si>
    <t xml:space="preserve">P̄ Feb 2025 M3 (17-21)</t>
  </si>
  <si>
    <t xml:space="preserve">P̄ Feb 2025 M4 (24-28)</t>
  </si>
  <si>
    <t xml:space="preserve">P̄ Mar 2025 M1 (03-07)</t>
  </si>
  <si>
    <t xml:space="preserve">P̄ Mar 2025 M2 (10-14)</t>
  </si>
  <si>
    <t xml:space="preserve">P̄ Mar 2025 M3 (17-21)</t>
  </si>
  <si>
    <t xml:space="preserve">P̄ Mar 2025 M4 (24-28)</t>
  </si>
  <si>
    <t xml:space="preserve">P̄ Mar 2025 M5 (31-31)</t>
  </si>
  <si>
    <t xml:space="preserve">P̄ Apr 2025 M1 (01-04)</t>
  </si>
  <si>
    <t xml:space="preserve">P̄ Apr 2025 M2 (07-11)</t>
  </si>
  <si>
    <t xml:space="preserve">P̄ Apr 2025 M3 (14-18)</t>
  </si>
  <si>
    <t xml:space="preserve">P̄ Apr 2025 M4 (21-25)</t>
  </si>
  <si>
    <t xml:space="preserve">P̄ Apr 2025 M5 (28-30)</t>
  </si>
  <si>
    <t xml:space="preserve">P̄ Mei 2025 M1 (01-02)</t>
  </si>
  <si>
    <t xml:space="preserve">P̄ Mei 2025 M2 (05-09)</t>
  </si>
  <si>
    <t xml:space="preserve">P̄ Mei 2025 M3 (12-16)</t>
  </si>
  <si>
    <t xml:space="preserve">P̄ Mei 2025 M4 (19-23)</t>
  </si>
  <si>
    <t xml:space="preserve">P̄ Mei 2025 M5 (26-30)</t>
  </si>
  <si>
    <t xml:space="preserve">P̄ Jun 2025 M1 (02-06)</t>
  </si>
  <si>
    <t xml:space="preserve">P̄ Jun 2025 M2 (09-13)</t>
  </si>
  <si>
    <t xml:space="preserve">P̄ Jun 2025 M3 (16-20)</t>
  </si>
  <si>
    <t xml:space="preserve">P̄ Jun 2025 M4 (23-27)</t>
  </si>
  <si>
    <t xml:space="preserve">P̄ Jul 2025 M1 (01-04)</t>
  </si>
  <si>
    <t xml:space="preserve">P̄ Jul 2025 M2 (07-11)</t>
  </si>
  <si>
    <t xml:space="preserve">P̄ Jul 2025 M3 (14-18)</t>
  </si>
  <si>
    <t xml:space="preserve">P̄ Jul 2025 M4 (21-25)</t>
  </si>
  <si>
    <t xml:space="preserve">P̄ Jul 2025 M5 (28-31)</t>
  </si>
  <si>
    <t xml:space="preserve">P̄ Agu 2025 M1 (04-08)</t>
  </si>
  <si>
    <t xml:space="preserve">P̄ Agu 2025 M2 (11-15)</t>
  </si>
  <si>
    <t xml:space="preserve">P̄ Agu 2025 M3 (18-22)</t>
  </si>
  <si>
    <t xml:space="preserve">P̄ Agu 2025 M4 (25-29)</t>
  </si>
  <si>
    <t xml:space="preserve">P̄ Sep 2025 M1 (01-05)</t>
  </si>
  <si>
    <t xml:space="preserve">P̄ Sep 2025 M2 (08-12)</t>
  </si>
  <si>
    <t xml:space="preserve">P̄ Sep 2025 M3 (15-19)</t>
  </si>
  <si>
    <t xml:space="preserve">P̄ Sep 2025 M4 (22-26)</t>
  </si>
  <si>
    <t xml:space="preserve">P̄ Okt 2025 M1 (01-03)</t>
  </si>
  <si>
    <t xml:space="preserve">P̄ Okt 2025 M2 (06-10)</t>
  </si>
  <si>
    <t xml:space="preserve">P̄ Okt 2025 M3 (13-17)</t>
  </si>
  <si>
    <t xml:space="preserve">P̄ Okt 2025 M4 (20-24)</t>
  </si>
  <si>
    <t xml:space="preserve">P̄ Okt 2025 M5 (27-31)</t>
  </si>
  <si>
    <t xml:space="preserve">P̄ Nov 2025 M1 (03-07)</t>
  </si>
  <si>
    <t xml:space="preserve">P̄ Nov 2025 M2 (10-14)</t>
  </si>
  <si>
    <t xml:space="preserve">P̄ Nov 2025 M3 (17-21)</t>
  </si>
  <si>
    <t xml:space="preserve">P̄ Nov 2025 M4 (24-28)</t>
  </si>
  <si>
    <t xml:space="preserve">P̄ Des 2025 M1 (01-05)</t>
  </si>
  <si>
    <t xml:space="preserve">P̄ Des 2025 M2 (08-12)</t>
  </si>
  <si>
    <t xml:space="preserve">P̄ Des 2025 M3 (15-19)</t>
  </si>
  <si>
    <t xml:space="preserve">P̄ Des 2025 M4 (22-26)</t>
  </si>
  <si>
    <t xml:space="preserve">P̄ Des 2025 M5 (29-31)</t>
  </si>
  <si>
    <t xml:space="preserve">Beras Medium</t>
  </si>
  <si>
    <t xml:space="preserve">Beras Premium</t>
  </si>
  <si>
    <t xml:space="preserve">Beras SPHP Bulog</t>
  </si>
  <si>
    <t xml:space="preserve">Tepung Terigu</t>
  </si>
  <si>
    <t xml:space="preserve">Tahu Putih</t>
  </si>
  <si>
    <t xml:space="preserve">Daging Ayam Ras</t>
  </si>
  <si>
    <t xml:space="preserve">Minyak Goreng Sawit Curah</t>
  </si>
  <si>
    <t xml:space="preserve">Minyak Goreng Sawit Kemasan Premium</t>
  </si>
  <si>
    <t xml:space="preserve">Minyakita</t>
  </si>
  <si>
    <t xml:space="preserve">Udang Basah</t>
  </si>
  <si>
    <t xml:space="preserve">Pisang Lokal</t>
  </si>
  <si>
    <t xml:space="preserve">Cabai Rawit Merah</t>
  </si>
  <si>
    <t xml:space="preserve">Telur Ayam Ras</t>
  </si>
  <si>
    <t xml:space="preserve">Gula Pasir Curah</t>
  </si>
  <si>
    <t xml:space="preserve">Ikan Tongkol</t>
  </si>
  <si>
    <t xml:space="preserve">Susu Bubuk Balita</t>
  </si>
  <si>
    <t xml:space="preserve">Bawang Merah</t>
  </si>
  <si>
    <t xml:space="preserve">Bawang Putih Honan</t>
  </si>
  <si>
    <t xml:space="preserve">Bawang Putih Kating</t>
  </si>
  <si>
    <t xml:space="preserve">Mie Instan</t>
  </si>
  <si>
    <t xml:space="preserve">Susu Kental Manis</t>
  </si>
  <si>
    <t xml:space="preserve">Cabai Merah Keriting</t>
  </si>
  <si>
    <t xml:space="preserve">Cabai Merah Besar</t>
  </si>
  <si>
    <t xml:space="preserve">Daging Sapi Paha Belakang</t>
  </si>
  <si>
    <t xml:space="preserve">Daging Sapi Sandung Lamur</t>
  </si>
  <si>
    <t xml:space="preserve">Daging Sapi Tetelan</t>
  </si>
  <si>
    <t xml:space="preserve">Tempe Bungkus</t>
  </si>
  <si>
    <t xml:space="preserve">Jeruk Lokal</t>
  </si>
  <si>
    <t xml:space="preserve">NILAI KONSUMSI DASAR 2022 (P0i . Q0i) &amp; BOBOT - 20 KOMODITAS IPH</t>
  </si>
  <si>
    <t xml:space="preserve">Sumber: file P0Q0.xlsx. Bobot diambil langsung dari sheet 'bobot' pada file sumber (nilai resmi).</t>
  </si>
  <si>
    <t xml:space="preserve">Q0i (Volume)</t>
  </si>
  <si>
    <t xml:space="preserve">P0i (Harga dasar 2022)</t>
  </si>
  <si>
    <t xml:space="preserve">Nilai Konsumsi0</t>
  </si>
  <si>
    <t xml:space="preserve">Bobot (wi) - resmi</t>
  </si>
  <si>
    <t xml:space="preserve">TOTAL</t>
  </si>
  <si>
    <t xml:space="preserve">DATA HARGA HARIAN - PASAR PON JOMBANG - DES 2024</t>
  </si>
  <si>
    <t xml:space="preserve">Sumber: SP2KP Kementerian Perdagangan. Nilai 0 (hari libur pasar) dikecualikan dari rata-rata.</t>
  </si>
  <si>
    <t xml:space="preserve">Variant</t>
  </si>
  <si>
    <t xml:space="preserve">Unit</t>
  </si>
  <si>
    <t xml:space="preserve">2024-12-02</t>
  </si>
  <si>
    <t xml:space="preserve">2024-12-03</t>
  </si>
  <si>
    <t xml:space="preserve">2024-12-04</t>
  </si>
  <si>
    <t xml:space="preserve">2024-12-05</t>
  </si>
  <si>
    <t xml:space="preserve">2024-12-06</t>
  </si>
  <si>
    <t xml:space="preserve">2024-12-09</t>
  </si>
  <si>
    <t xml:space="preserve">2024-12-10</t>
  </si>
  <si>
    <t xml:space="preserve">2024-12-11</t>
  </si>
  <si>
    <t xml:space="preserve">2024-12-12</t>
  </si>
  <si>
    <t xml:space="preserve">2024-12-13</t>
  </si>
  <si>
    <t xml:space="preserve">2024-12-16</t>
  </si>
  <si>
    <t xml:space="preserve">2024-12-17</t>
  </si>
  <si>
    <t xml:space="preserve">2024-12-18</t>
  </si>
  <si>
    <t xml:space="preserve">2024-12-19</t>
  </si>
  <si>
    <t xml:space="preserve">2024-12-20</t>
  </si>
  <si>
    <t xml:space="preserve">2024-12-23</t>
  </si>
  <si>
    <t xml:space="preserve">2024-12-24</t>
  </si>
  <si>
    <t xml:space="preserve">2024-12-25</t>
  </si>
  <si>
    <t xml:space="preserve">2024-12-26</t>
  </si>
  <si>
    <t xml:space="preserve">2024-12-27</t>
  </si>
  <si>
    <t xml:space="preserve">Rata-rata M1 (02-06)</t>
  </si>
  <si>
    <t xml:space="preserve">Rata-rata M2 (09-13)</t>
  </si>
  <si>
    <t xml:space="preserve">Rata-rata M3 (16-20)</t>
  </si>
  <si>
    <t xml:space="preserve">Rata-rata M4 (23-27)</t>
  </si>
  <si>
    <t xml:space="preserve">Rata-rata Bulan Des 2024</t>
  </si>
  <si>
    <t xml:space="preserve">kg</t>
  </si>
  <si>
    <t xml:space="preserve">Kedelai Impor</t>
  </si>
  <si>
    <t xml:space="preserve">Ikan Bandeng</t>
  </si>
  <si>
    <t xml:space="preserve">Ikan Teri</t>
  </si>
  <si>
    <t xml:space="preserve">Bawang Bombai</t>
  </si>
  <si>
    <t xml:space="preserve">Garam Halus</t>
  </si>
  <si>
    <t xml:space="preserve">Tomat</t>
  </si>
  <si>
    <t xml:space="preserve">Kentang Sedang</t>
  </si>
  <si>
    <t xml:space="preserve">Sawi Hijau</t>
  </si>
  <si>
    <t xml:space="preserve">Kangkung</t>
  </si>
  <si>
    <t xml:space="preserve">Ketimun Sedang</t>
  </si>
  <si>
    <t xml:space="preserve">Kacang Panjang</t>
  </si>
  <si>
    <t xml:space="preserve">Ketela Pohon</t>
  </si>
  <si>
    <t xml:space="preserve">Daging Ayam Kampung</t>
  </si>
  <si>
    <t xml:space="preserve">Telur Ayam Kampung</t>
  </si>
  <si>
    <t xml:space="preserve">Kacang Tanah</t>
  </si>
  <si>
    <t xml:space="preserve">Kacang Hijau</t>
  </si>
  <si>
    <t xml:space="preserve">DATA HARGA HARIAN - PASAR PON JOMBANG - JAN 2025</t>
  </si>
  <si>
    <t xml:space="preserve">2025-01-01</t>
  </si>
  <si>
    <t xml:space="preserve">2025-01-02</t>
  </si>
  <si>
    <t xml:space="preserve">2025-01-03</t>
  </si>
  <si>
    <t xml:space="preserve">2025-01-06</t>
  </si>
  <si>
    <t xml:space="preserve">2025-01-07</t>
  </si>
  <si>
    <t xml:space="preserve">2025-01-08</t>
  </si>
  <si>
    <t xml:space="preserve">2025-01-09</t>
  </si>
  <si>
    <t xml:space="preserve">2025-01-10</t>
  </si>
  <si>
    <t xml:space="preserve">2025-01-13</t>
  </si>
  <si>
    <t xml:space="preserve">2025-01-14</t>
  </si>
  <si>
    <t xml:space="preserve">2025-01-15</t>
  </si>
  <si>
    <t xml:space="preserve">2025-01-16</t>
  </si>
  <si>
    <t xml:space="preserve">2025-01-17</t>
  </si>
  <si>
    <t xml:space="preserve">2025-01-20</t>
  </si>
  <si>
    <t xml:space="preserve">2025-01-21</t>
  </si>
  <si>
    <t xml:space="preserve">2025-01-22</t>
  </si>
  <si>
    <t xml:space="preserve">2025-01-23</t>
  </si>
  <si>
    <t xml:space="preserve">2025-01-24</t>
  </si>
  <si>
    <t xml:space="preserve">2025-01-27</t>
  </si>
  <si>
    <t xml:space="preserve">2025-01-28</t>
  </si>
  <si>
    <t xml:space="preserve">2025-01-29</t>
  </si>
  <si>
    <t xml:space="preserve">2025-01-30</t>
  </si>
  <si>
    <t xml:space="preserve">2025-01-31</t>
  </si>
  <si>
    <t xml:space="preserve">Rata-rata M1 (01-03)</t>
  </si>
  <si>
    <t xml:space="preserve">Rata-rata M2 (06-10)</t>
  </si>
  <si>
    <t xml:space="preserve">Rata-rata M3 (13-17)</t>
  </si>
  <si>
    <t xml:space="preserve">Rata-rata M4 (20-24)</t>
  </si>
  <si>
    <t xml:space="preserve">Rata-rata M5 (27-31)</t>
  </si>
  <si>
    <t xml:space="preserve">Rata-rata Bulan Jan 2025</t>
  </si>
  <si>
    <t xml:space="preserve">DATA HARGA HARIAN - PASAR PON JOMBANG - FEB 2025</t>
  </si>
  <si>
    <t xml:space="preserve">2025-02-03</t>
  </si>
  <si>
    <t xml:space="preserve">2025-02-04</t>
  </si>
  <si>
    <t xml:space="preserve">2025-02-05</t>
  </si>
  <si>
    <t xml:space="preserve">2025-02-06</t>
  </si>
  <si>
    <t xml:space="preserve">2025-02-07</t>
  </si>
  <si>
    <t xml:space="preserve">2025-02-10</t>
  </si>
  <si>
    <t xml:space="preserve">2025-02-11</t>
  </si>
  <si>
    <t xml:space="preserve">2025-02-12</t>
  </si>
  <si>
    <t xml:space="preserve">2025-02-13</t>
  </si>
  <si>
    <t xml:space="preserve">2025-02-14</t>
  </si>
  <si>
    <t xml:space="preserve">2025-02-17</t>
  </si>
  <si>
    <t xml:space="preserve">2025-02-18</t>
  </si>
  <si>
    <t xml:space="preserve">2025-02-19</t>
  </si>
  <si>
    <t xml:space="preserve">2025-02-20</t>
  </si>
  <si>
    <t xml:space="preserve">2025-02-21</t>
  </si>
  <si>
    <t xml:space="preserve">2025-02-24</t>
  </si>
  <si>
    <t xml:space="preserve">2025-02-25</t>
  </si>
  <si>
    <t xml:space="preserve">2025-02-26</t>
  </si>
  <si>
    <t xml:space="preserve">2025-02-27</t>
  </si>
  <si>
    <t xml:space="preserve">2025-02-28</t>
  </si>
  <si>
    <t xml:space="preserve">Rata-rata M1 (03-07)</t>
  </si>
  <si>
    <t xml:space="preserve">Rata-rata M2 (10-14)</t>
  </si>
  <si>
    <t xml:space="preserve">Rata-rata M3 (17-21)</t>
  </si>
  <si>
    <t xml:space="preserve">Rata-rata M4 (24-28)</t>
  </si>
  <si>
    <t xml:space="preserve">Rata-rata Bulan Feb 2025</t>
  </si>
  <si>
    <t xml:space="preserve">DATA HARGA HARIAN - PASAR PON JOMBANG - MAR 2025</t>
  </si>
  <si>
    <t xml:space="preserve">2025-03-03</t>
  </si>
  <si>
    <t xml:space="preserve">2025-03-04</t>
  </si>
  <si>
    <t xml:space="preserve">2025-03-05</t>
  </si>
  <si>
    <t xml:space="preserve">2025-03-06</t>
  </si>
  <si>
    <t xml:space="preserve">2025-03-07</t>
  </si>
  <si>
    <t xml:space="preserve">2025-03-10</t>
  </si>
  <si>
    <t xml:space="preserve">2025-03-11</t>
  </si>
  <si>
    <t xml:space="preserve">2025-03-12</t>
  </si>
  <si>
    <t xml:space="preserve">2025-03-13</t>
  </si>
  <si>
    <t xml:space="preserve">2025-03-14</t>
  </si>
  <si>
    <t xml:space="preserve">2025-03-17</t>
  </si>
  <si>
    <t xml:space="preserve">2025-03-18</t>
  </si>
  <si>
    <t xml:space="preserve">2025-03-19</t>
  </si>
  <si>
    <t xml:space="preserve">2025-03-20</t>
  </si>
  <si>
    <t xml:space="preserve">2025-03-21</t>
  </si>
  <si>
    <t xml:space="preserve">2025-03-24</t>
  </si>
  <si>
    <t xml:space="preserve">2025-03-25</t>
  </si>
  <si>
    <t xml:space="preserve">2025-03-26</t>
  </si>
  <si>
    <t xml:space="preserve">2025-03-27</t>
  </si>
  <si>
    <t xml:space="preserve">2025-03-28</t>
  </si>
  <si>
    <t xml:space="preserve">2025-03-31</t>
  </si>
  <si>
    <t xml:space="preserve">Rata-rata M5 (31-31)</t>
  </si>
  <si>
    <t xml:space="preserve">Rata-rata Bulan Mar 2025</t>
  </si>
  <si>
    <t xml:space="preserve">DATA HARGA HARIAN - PASAR PON JOMBANG - APR 2025</t>
  </si>
  <si>
    <t xml:space="preserve">2025-04-01</t>
  </si>
  <si>
    <t xml:space="preserve">2025-04-02</t>
  </si>
  <si>
    <t xml:space="preserve">2025-04-03</t>
  </si>
  <si>
    <t xml:space="preserve">2025-04-04</t>
  </si>
  <si>
    <t xml:space="preserve">2025-04-07</t>
  </si>
  <si>
    <t xml:space="preserve">2025-04-08</t>
  </si>
  <si>
    <t xml:space="preserve">2025-04-09</t>
  </si>
  <si>
    <t xml:space="preserve">2025-04-10</t>
  </si>
  <si>
    <t xml:space="preserve">2025-04-11</t>
  </si>
  <si>
    <t xml:space="preserve">2025-04-14</t>
  </si>
  <si>
    <t xml:space="preserve">2025-04-15</t>
  </si>
  <si>
    <t xml:space="preserve">2025-04-16</t>
  </si>
  <si>
    <t xml:space="preserve">2025-04-17</t>
  </si>
  <si>
    <t xml:space="preserve">2025-04-18</t>
  </si>
  <si>
    <t xml:space="preserve">2025-04-21</t>
  </si>
  <si>
    <t xml:space="preserve">2025-04-22</t>
  </si>
  <si>
    <t xml:space="preserve">2025-04-23</t>
  </si>
  <si>
    <t xml:space="preserve">2025-04-24</t>
  </si>
  <si>
    <t xml:space="preserve">2025-04-25</t>
  </si>
  <si>
    <t xml:space="preserve">2025-04-28</t>
  </si>
  <si>
    <t xml:space="preserve">2025-04-29</t>
  </si>
  <si>
    <t xml:space="preserve">2025-04-30</t>
  </si>
  <si>
    <t xml:space="preserve">Rata-rata M1 (01-04)</t>
  </si>
  <si>
    <t xml:space="preserve">Rata-rata M2 (07-11)</t>
  </si>
  <si>
    <t xml:space="preserve">Rata-rata M3 (14-18)</t>
  </si>
  <si>
    <t xml:space="preserve">Rata-rata M4 (21-25)</t>
  </si>
  <si>
    <t xml:space="preserve">Rata-rata M5 (28-30)</t>
  </si>
  <si>
    <t xml:space="preserve">Rata-rata Bulan Apr 2025</t>
  </si>
  <si>
    <t xml:space="preserve">DATA HARGA HARIAN - PASAR PON JOMBANG - MEI 2025</t>
  </si>
  <si>
    <t xml:space="preserve">2025-05-01</t>
  </si>
  <si>
    <t xml:space="preserve">2025-05-02</t>
  </si>
  <si>
    <t xml:space="preserve">2025-05-05</t>
  </si>
  <si>
    <t xml:space="preserve">2025-05-06</t>
  </si>
  <si>
    <t xml:space="preserve">2025-05-07</t>
  </si>
  <si>
    <t xml:space="preserve">2025-05-08</t>
  </si>
  <si>
    <t xml:space="preserve">2025-05-09</t>
  </si>
  <si>
    <t xml:space="preserve">2025-05-12</t>
  </si>
  <si>
    <t xml:space="preserve">2025-05-13</t>
  </si>
  <si>
    <t xml:space="preserve">2025-05-14</t>
  </si>
  <si>
    <t xml:space="preserve">2025-05-15</t>
  </si>
  <si>
    <t xml:space="preserve">2025-05-16</t>
  </si>
  <si>
    <t xml:space="preserve">2025-05-19</t>
  </si>
  <si>
    <t xml:space="preserve">2025-05-20</t>
  </si>
  <si>
    <t xml:space="preserve">2025-05-21</t>
  </si>
  <si>
    <t xml:space="preserve">2025-05-22</t>
  </si>
  <si>
    <t xml:space="preserve">2025-05-23</t>
  </si>
  <si>
    <t xml:space="preserve">2025-05-26</t>
  </si>
  <si>
    <t xml:space="preserve">2025-05-27</t>
  </si>
  <si>
    <t xml:space="preserve">2025-05-28</t>
  </si>
  <si>
    <t xml:space="preserve">2025-05-29</t>
  </si>
  <si>
    <t xml:space="preserve">2025-05-30</t>
  </si>
  <si>
    <t xml:space="preserve">Rata-rata M1 (01-02)</t>
  </si>
  <si>
    <t xml:space="preserve">Rata-rata M2 (05-09)</t>
  </si>
  <si>
    <t xml:space="preserve">Rata-rata M3 (12-16)</t>
  </si>
  <si>
    <t xml:space="preserve">Rata-rata M4 (19-23)</t>
  </si>
  <si>
    <t xml:space="preserve">Rata-rata M5 (26-30)</t>
  </si>
  <si>
    <t xml:space="preserve">Rata-rata Bulan Mei 2025</t>
  </si>
  <si>
    <t xml:space="preserve">DATA HARGA HARIAN - PASAR PON JOMBANG - JUN 2025</t>
  </si>
  <si>
    <t xml:space="preserve">2025-06-02</t>
  </si>
  <si>
    <t xml:space="preserve">2025-06-03</t>
  </si>
  <si>
    <t xml:space="preserve">2025-06-04</t>
  </si>
  <si>
    <t xml:space="preserve">2025-06-05</t>
  </si>
  <si>
    <t xml:space="preserve">2025-06-06</t>
  </si>
  <si>
    <t xml:space="preserve">2025-06-09</t>
  </si>
  <si>
    <t xml:space="preserve">2025-06-10</t>
  </si>
  <si>
    <t xml:space="preserve">2025-06-11</t>
  </si>
  <si>
    <t xml:space="preserve">2025-06-12</t>
  </si>
  <si>
    <t xml:space="preserve">2025-06-13</t>
  </si>
  <si>
    <t xml:space="preserve">2025-06-16</t>
  </si>
  <si>
    <t xml:space="preserve">2025-06-17</t>
  </si>
  <si>
    <t xml:space="preserve">2025-06-18</t>
  </si>
  <si>
    <t xml:space="preserve">2025-06-19</t>
  </si>
  <si>
    <t xml:space="preserve">2025-06-20</t>
  </si>
  <si>
    <t xml:space="preserve">2025-06-23</t>
  </si>
  <si>
    <t xml:space="preserve">2025-06-24</t>
  </si>
  <si>
    <t xml:space="preserve">2025-06-25</t>
  </si>
  <si>
    <t xml:space="preserve">2025-06-26</t>
  </si>
  <si>
    <t xml:space="preserve">2025-06-27</t>
  </si>
  <si>
    <t xml:space="preserve">Rata-rata Bulan Jun 2025</t>
  </si>
  <si>
    <t xml:space="preserve">DATA HARGA HARIAN - PASAR PON JOMBANG - JUL 2025</t>
  </si>
  <si>
    <t xml:space="preserve">2025-07-01</t>
  </si>
  <si>
    <t xml:space="preserve">2025-07-02</t>
  </si>
  <si>
    <t xml:space="preserve">2025-07-03</t>
  </si>
  <si>
    <t xml:space="preserve">2025-07-04</t>
  </si>
  <si>
    <t xml:space="preserve">2025-07-07</t>
  </si>
  <si>
    <t xml:space="preserve">2025-07-08</t>
  </si>
  <si>
    <t xml:space="preserve">2025-07-09</t>
  </si>
  <si>
    <t xml:space="preserve">2025-07-10</t>
  </si>
  <si>
    <t xml:space="preserve">2025-07-11</t>
  </si>
  <si>
    <t xml:space="preserve">2025-07-14</t>
  </si>
  <si>
    <t xml:space="preserve">2025-07-15</t>
  </si>
  <si>
    <t xml:space="preserve">2025-07-16</t>
  </si>
  <si>
    <t xml:space="preserve">2025-07-17</t>
  </si>
  <si>
    <t xml:space="preserve">2025-07-18</t>
  </si>
  <si>
    <t xml:space="preserve">2025-07-21</t>
  </si>
  <si>
    <t xml:space="preserve">2025-07-22</t>
  </si>
  <si>
    <t xml:space="preserve">2025-07-23</t>
  </si>
  <si>
    <t xml:space="preserve">2025-07-24</t>
  </si>
  <si>
    <t xml:space="preserve">2025-07-25</t>
  </si>
  <si>
    <t xml:space="preserve">2025-07-28</t>
  </si>
  <si>
    <t xml:space="preserve">2025-07-29</t>
  </si>
  <si>
    <t xml:space="preserve">2025-07-30</t>
  </si>
  <si>
    <t xml:space="preserve">2025-07-31</t>
  </si>
  <si>
    <t xml:space="preserve">Rata-rata M5 (28-31)</t>
  </si>
  <si>
    <t xml:space="preserve">Rata-rata Bulan Jul 2025</t>
  </si>
  <si>
    <t xml:space="preserve">DATA HARGA HARIAN - PASAR PON JOMBANG - AGU 2025</t>
  </si>
  <si>
    <t xml:space="preserve">2025-08-04</t>
  </si>
  <si>
    <t xml:space="preserve">2025-08-05</t>
  </si>
  <si>
    <t xml:space="preserve">2025-08-06</t>
  </si>
  <si>
    <t xml:space="preserve">2025-08-07</t>
  </si>
  <si>
    <t xml:space="preserve">2025-08-08</t>
  </si>
  <si>
    <t xml:space="preserve">2025-08-11</t>
  </si>
  <si>
    <t xml:space="preserve">2025-08-12</t>
  </si>
  <si>
    <t xml:space="preserve">2025-08-13</t>
  </si>
  <si>
    <t xml:space="preserve">2025-08-14</t>
  </si>
  <si>
    <t xml:space="preserve">2025-08-15</t>
  </si>
  <si>
    <t xml:space="preserve">2025-08-18</t>
  </si>
  <si>
    <t xml:space="preserve">2025-08-19</t>
  </si>
  <si>
    <t xml:space="preserve">2025-08-20</t>
  </si>
  <si>
    <t xml:space="preserve">2025-08-21</t>
  </si>
  <si>
    <t xml:space="preserve">2025-08-22</t>
  </si>
  <si>
    <t xml:space="preserve">2025-08-25</t>
  </si>
  <si>
    <t xml:space="preserve">2025-08-26</t>
  </si>
  <si>
    <t xml:space="preserve">2025-08-27</t>
  </si>
  <si>
    <t xml:space="preserve">2025-08-28</t>
  </si>
  <si>
    <t xml:space="preserve">2025-08-29</t>
  </si>
  <si>
    <t xml:space="preserve">Rata-rata M1 (04-08)</t>
  </si>
  <si>
    <t xml:space="preserve">Rata-rata M2 (11-15)</t>
  </si>
  <si>
    <t xml:space="preserve">Rata-rata M3 (18-22)</t>
  </si>
  <si>
    <t xml:space="preserve">Rata-rata M4 (25-29)</t>
  </si>
  <si>
    <t xml:space="preserve">Rata-rata Bulan Agu 2025</t>
  </si>
  <si>
    <t xml:space="preserve">DATA HARGA HARIAN - PASAR PON JOMBANG - SEP 2025</t>
  </si>
  <si>
    <t xml:space="preserve">2025-09-01</t>
  </si>
  <si>
    <t xml:space="preserve">2025-09-02</t>
  </si>
  <si>
    <t xml:space="preserve">2025-09-03</t>
  </si>
  <si>
    <t xml:space="preserve">2025-09-04</t>
  </si>
  <si>
    <t xml:space="preserve">2025-09-05</t>
  </si>
  <si>
    <t xml:space="preserve">2025-09-08</t>
  </si>
  <si>
    <t xml:space="preserve">2025-09-09</t>
  </si>
  <si>
    <t xml:space="preserve">2025-09-10</t>
  </si>
  <si>
    <t xml:space="preserve">2025-09-11</t>
  </si>
  <si>
    <t xml:space="preserve">2025-09-12</t>
  </si>
  <si>
    <t xml:space="preserve">2025-09-15</t>
  </si>
  <si>
    <t xml:space="preserve">2025-09-16</t>
  </si>
  <si>
    <t xml:space="preserve">2025-09-17</t>
  </si>
  <si>
    <t xml:space="preserve">2025-09-18</t>
  </si>
  <si>
    <t xml:space="preserve">2025-09-19</t>
  </si>
  <si>
    <t xml:space="preserve">2025-09-22</t>
  </si>
  <si>
    <t xml:space="preserve">2025-09-23</t>
  </si>
  <si>
    <t xml:space="preserve">2025-09-24</t>
  </si>
  <si>
    <t xml:space="preserve">2025-09-25</t>
  </si>
  <si>
    <t xml:space="preserve">2025-09-26</t>
  </si>
  <si>
    <t xml:space="preserve">Rata-rata M1 (01-05)</t>
  </si>
  <si>
    <t xml:space="preserve">Rata-rata M2 (08-12)</t>
  </si>
  <si>
    <t xml:space="preserve">Rata-rata M3 (15-19)</t>
  </si>
  <si>
    <t xml:space="preserve">Rata-rata M4 (22-26)</t>
  </si>
  <si>
    <t xml:space="preserve">Rata-rata Bulan Sep 2025</t>
  </si>
  <si>
    <t xml:space="preserve">DATA HARGA HARIAN - PASAR PON JOMBANG - OKT 2025</t>
  </si>
  <si>
    <t xml:space="preserve">2025-10-01</t>
  </si>
  <si>
    <t xml:space="preserve">2025-10-02</t>
  </si>
  <si>
    <t xml:space="preserve">2025-10-03</t>
  </si>
  <si>
    <t xml:space="preserve">2025-10-06</t>
  </si>
  <si>
    <t xml:space="preserve">2025-10-07</t>
  </si>
  <si>
    <t xml:space="preserve">2025-10-08</t>
  </si>
  <si>
    <t xml:space="preserve">2025-10-09</t>
  </si>
  <si>
    <t xml:space="preserve">2025-10-10</t>
  </si>
  <si>
    <t xml:space="preserve">2025-10-13</t>
  </si>
  <si>
    <t xml:space="preserve">2025-10-14</t>
  </si>
  <si>
    <t xml:space="preserve">2025-10-15</t>
  </si>
  <si>
    <t xml:space="preserve">2025-10-16</t>
  </si>
  <si>
    <t xml:space="preserve">2025-10-17</t>
  </si>
  <si>
    <t xml:space="preserve">2025-10-20</t>
  </si>
  <si>
    <t xml:space="preserve">2025-10-21</t>
  </si>
  <si>
    <t xml:space="preserve">2025-10-22</t>
  </si>
  <si>
    <t xml:space="preserve">2025-10-23</t>
  </si>
  <si>
    <t xml:space="preserve">2025-10-24</t>
  </si>
  <si>
    <t xml:space="preserve">2025-10-27</t>
  </si>
  <si>
    <t xml:space="preserve">2025-10-28</t>
  </si>
  <si>
    <t xml:space="preserve">2025-10-29</t>
  </si>
  <si>
    <t xml:space="preserve">2025-10-30</t>
  </si>
  <si>
    <t xml:space="preserve">2025-10-31</t>
  </si>
  <si>
    <t xml:space="preserve">Rata-rata Bulan Okt 2025</t>
  </si>
  <si>
    <t xml:space="preserve">DATA HARGA HARIAN - PASAR PON JOMBANG - NOV 2025</t>
  </si>
  <si>
    <t xml:space="preserve">2025-11-03</t>
  </si>
  <si>
    <t xml:space="preserve">2025-11-04</t>
  </si>
  <si>
    <t xml:space="preserve">2025-11-05</t>
  </si>
  <si>
    <t xml:space="preserve">2025-11-06</t>
  </si>
  <si>
    <t xml:space="preserve">2025-11-07</t>
  </si>
  <si>
    <t xml:space="preserve">2025-11-10</t>
  </si>
  <si>
    <t xml:space="preserve">2025-11-11</t>
  </si>
  <si>
    <t xml:space="preserve">2025-11-12</t>
  </si>
  <si>
    <t xml:space="preserve">2025-11-13</t>
  </si>
  <si>
    <t xml:space="preserve">2025-11-14</t>
  </si>
  <si>
    <t xml:space="preserve">2025-11-17</t>
  </si>
  <si>
    <t xml:space="preserve">2025-11-18</t>
  </si>
  <si>
    <t xml:space="preserve">2025-11-19</t>
  </si>
  <si>
    <t xml:space="preserve">2025-11-20</t>
  </si>
  <si>
    <t xml:space="preserve">2025-11-21</t>
  </si>
  <si>
    <t xml:space="preserve">2025-11-24</t>
  </si>
  <si>
    <t xml:space="preserve">2025-11-25</t>
  </si>
  <si>
    <t xml:space="preserve">2025-11-26</t>
  </si>
  <si>
    <t xml:space="preserve">2025-11-27</t>
  </si>
  <si>
    <t xml:space="preserve">2025-11-28</t>
  </si>
  <si>
    <t xml:space="preserve">Rata-rata Bulan Nov 2025</t>
  </si>
  <si>
    <t xml:space="preserve">DATA HARGA HARIAN - PASAR PON JOMBANG - DES 2025</t>
  </si>
  <si>
    <t xml:space="preserve">2025-12-01</t>
  </si>
  <si>
    <t xml:space="preserve">2025-12-02</t>
  </si>
  <si>
    <t xml:space="preserve">2025-12-03</t>
  </si>
  <si>
    <t xml:space="preserve">2025-12-04</t>
  </si>
  <si>
    <t xml:space="preserve">2025-12-05</t>
  </si>
  <si>
    <t xml:space="preserve">2025-12-08</t>
  </si>
  <si>
    <t xml:space="preserve">2025-12-09</t>
  </si>
  <si>
    <t xml:space="preserve">2025-12-10</t>
  </si>
  <si>
    <t xml:space="preserve">2025-12-11</t>
  </si>
  <si>
    <t xml:space="preserve">2025-12-12</t>
  </si>
  <si>
    <t xml:space="preserve">2025-12-15</t>
  </si>
  <si>
    <t xml:space="preserve">2025-12-16</t>
  </si>
  <si>
    <t xml:space="preserve">2025-12-17</t>
  </si>
  <si>
    <t xml:space="preserve">2025-12-18</t>
  </si>
  <si>
    <t xml:space="preserve">2025-12-19</t>
  </si>
  <si>
    <t xml:space="preserve">2025-12-22</t>
  </si>
  <si>
    <t xml:space="preserve">2025-12-23</t>
  </si>
  <si>
    <t xml:space="preserve">2025-12-24</t>
  </si>
  <si>
    <t xml:space="preserve">2025-12-25</t>
  </si>
  <si>
    <t xml:space="preserve">2025-12-26</t>
  </si>
  <si>
    <t xml:space="preserve">2025-12-29</t>
  </si>
  <si>
    <t xml:space="preserve">2025-12-30</t>
  </si>
  <si>
    <t xml:space="preserve">2025-12-31</t>
  </si>
  <si>
    <t xml:space="preserve">Rata-rata M5 (29-31)</t>
  </si>
  <si>
    <t xml:space="preserve">Rata-rata Bulan Des 2025</t>
  </si>
</sst>
</file>

<file path=xl/styles.xml><?xml version="1.0" encoding="utf-8"?>
<styleSheet xmlns="http://schemas.openxmlformats.org/spreadsheetml/2006/main">
  <numFmts count="7">
    <numFmt numFmtId="164" formatCode="General"/>
    <numFmt numFmtId="165" formatCode="0.0000"/>
    <numFmt numFmtId="166" formatCode="0.0000%"/>
    <numFmt numFmtId="167" formatCode="#,##0.00"/>
    <numFmt numFmtId="168" formatCode="0.00"/>
    <numFmt numFmtId="169" formatCode="0.000000"/>
    <numFmt numFmtId="170" formatCode="#,##0"/>
  </numFmts>
  <fonts count="20">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9"/>
      <color rgb="FFFFFFFF"/>
      <name val="Arial"/>
      <family val="0"/>
      <charset val="1"/>
    </font>
    <font>
      <sz val="9"/>
      <name val="Arial"/>
      <family val="0"/>
      <charset val="1"/>
    </font>
    <font>
      <sz val="9"/>
      <color rgb="FF000000"/>
      <name val="Arial"/>
      <family val="0"/>
      <charset val="1"/>
    </font>
    <font>
      <b val="true"/>
      <sz val="18"/>
      <color rgb="FF000000"/>
      <name val="Calibri"/>
      <family val="2"/>
    </font>
    <font>
      <sz val="10"/>
      <color rgb="FF000000"/>
      <name val="Calibri"/>
      <family val="2"/>
    </font>
    <font>
      <b val="true"/>
      <sz val="10"/>
      <color rgb="FF000000"/>
      <name val="Calibri"/>
      <family val="2"/>
    </font>
    <font>
      <i val="true"/>
      <sz val="9"/>
      <color rgb="FF595959"/>
      <name val="Arial"/>
      <family val="0"/>
      <charset val="1"/>
    </font>
    <font>
      <b val="true"/>
      <sz val="8"/>
      <color rgb="FFFFFFFF"/>
      <name val="Arial"/>
      <family val="0"/>
      <charset val="1"/>
    </font>
    <font>
      <sz val="7"/>
      <color rgb="FFA6A6A6"/>
      <name val="Arial"/>
      <family val="0"/>
      <charset val="1"/>
    </font>
    <font>
      <sz val="9"/>
      <color rgb="FF008000"/>
      <name val="Arial"/>
      <family val="0"/>
      <charset val="1"/>
    </font>
    <font>
      <b val="true"/>
      <sz val="10"/>
      <name val="Arial"/>
      <family val="0"/>
      <charset val="1"/>
    </font>
    <font>
      <b val="true"/>
      <sz val="10"/>
      <color rgb="FFFFFFFF"/>
      <name val="Arial"/>
      <family val="0"/>
      <charset val="1"/>
    </font>
    <font>
      <b val="true"/>
      <sz val="11"/>
      <color rgb="FFFFFFFF"/>
      <name val="Arial"/>
      <family val="0"/>
      <charset val="1"/>
    </font>
    <font>
      <sz val="10"/>
      <name val="Arial"/>
      <family val="0"/>
      <charset val="1"/>
    </font>
    <font>
      <sz val="9"/>
      <color rgb="FF0000FF"/>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FFE699"/>
        <bgColor rgb="FFF8CBAD"/>
      </patternFill>
    </fill>
    <fill>
      <patternFill patternType="solid">
        <fgColor rgb="FF2E75B6"/>
        <bgColor rgb="FF0066CC"/>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12" fillId="2" borderId="1" xfId="0" applyFont="true" applyBorder="true" applyAlignment="true" applyProtection="false">
      <alignment horizontal="center" vertical="bottom" textRotation="0" wrapText="fals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6" fontId="14"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15" fillId="3" borderId="1" xfId="0" applyFont="true" applyBorder="true" applyAlignment="false" applyProtection="false">
      <alignment horizontal="general" vertical="bottom" textRotation="0" wrapText="false" indent="0" shrinkToFit="false"/>
      <protection locked="true" hidden="false"/>
    </xf>
    <xf numFmtId="165" fontId="15" fillId="3" borderId="1" xfId="0" applyFont="true" applyBorder="true" applyAlignment="false" applyProtection="false">
      <alignment horizontal="general" vertical="bottom" textRotation="0" wrapText="false" indent="0" shrinkToFit="false"/>
      <protection locked="true" hidden="false"/>
    </xf>
    <xf numFmtId="164" fontId="16" fillId="4" borderId="0"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4" fontId="17" fillId="4" borderId="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general" vertical="top" textRotation="0" wrapText="true" indent="0" shrinkToFit="false"/>
      <protection locked="true" hidden="false"/>
    </xf>
    <xf numFmtId="164" fontId="12" fillId="2" borderId="1" xfId="0" applyFont="true" applyBorder="true" applyAlignment="true" applyProtection="false">
      <alignment horizontal="center" vertical="bottom" textRotation="0" wrapText="tru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7" fontId="14" fillId="0" borderId="1" xfId="0" applyFont="true" applyBorder="true" applyAlignment="false" applyProtection="false">
      <alignment horizontal="general" vertical="bottom" textRotation="0" wrapText="false" indent="0" shrinkToFit="false"/>
      <protection locked="true" hidden="false"/>
    </xf>
    <xf numFmtId="169" fontId="19" fillId="0" borderId="1" xfId="0" applyFont="true" applyBorder="true" applyAlignment="false" applyProtection="false">
      <alignment horizontal="general" vertical="bottom" textRotation="0" wrapText="false" indent="0" shrinkToFit="false"/>
      <protection locked="true" hidden="false"/>
    </xf>
    <xf numFmtId="167" fontId="19" fillId="0" borderId="1" xfId="0" applyFont="true" applyBorder="true" applyAlignment="false" applyProtection="false">
      <alignment horizontal="general" vertical="bottom" textRotation="0" wrapText="false" indent="0" shrinkToFit="false"/>
      <protection locked="true" hidden="false"/>
    </xf>
    <xf numFmtId="166" fontId="19" fillId="0" borderId="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6" fontId="15" fillId="3" borderId="0" xfId="0" applyFont="true" applyBorder="false" applyAlignment="false" applyProtection="false">
      <alignment horizontal="general" vertical="bottom" textRotation="0" wrapText="false" indent="0" shrinkToFit="false"/>
      <protection locked="true" hidden="false"/>
    </xf>
    <xf numFmtId="170" fontId="19"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8CBAD"/>
        </patternFill>
      </fill>
    </dxf>
    <dxf>
      <fill>
        <patternFill>
          <bgColor rgb="FFC6E0B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E0B4"/>
      <rgbColor rgb="FF878787"/>
      <rgbColor rgb="FF9999FF"/>
      <rgbColor rgb="FFBE4B48"/>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8CBAD"/>
      <rgbColor rgb="FF2E75B6"/>
      <rgbColor rgb="FF33CCCC"/>
      <rgbColor rgb="FF99CC00"/>
      <rgbColor rgb="FFFFCC00"/>
      <rgbColor rgb="FFFF9900"/>
      <rgbColor rgb="FFFF6600"/>
      <rgbColor rgb="FF595959"/>
      <rgbColor rgb="FFA6A6A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Growth IPH Mingguan 2025 (Pasar Pon Jombang)</a:t>
            </a:r>
          </a:p>
        </c:rich>
      </c:tx>
      <c:overlay val="0"/>
      <c:spPr>
        <a:noFill/>
        <a:ln w="0">
          <a:noFill/>
        </a:ln>
      </c:spPr>
    </c:title>
    <c:autoTitleDeleted val="0"/>
    <c:plotArea>
      <c:lineChart>
        <c:grouping val="standard"/>
        <c:varyColors val="0"/>
        <c:ser>
          <c:idx val="0"/>
          <c:order val="0"/>
          <c:tx>
            <c:strRef>
              <c:f>'Ringkasan Mingguan 2025'!D3</c:f>
              <c:strCache>
                <c:ptCount val="1"/>
                <c:pt idx="0">
                  <c:v>Growth IPH (%)</c:v>
                </c:pt>
              </c:strCache>
            </c:strRef>
          </c:tx>
          <c:spPr>
            <a:solidFill>
              <a:srgbClr val="be4b48"/>
            </a:solidFill>
            <a:ln w="4752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'Ringkasan Mingguan 2025'!$B$4:$B$58</c:f>
              <c:strCache>
                <c:ptCount val="55"/>
                <c:pt idx="0">
                  <c:v>Jan 2025 - M1</c:v>
                </c:pt>
                <c:pt idx="1">
                  <c:v>Jan 2025 - M2</c:v>
                </c:pt>
                <c:pt idx="2">
                  <c:v>Jan 2025 - M3</c:v>
                </c:pt>
                <c:pt idx="3">
                  <c:v>Jan 2025 - M4</c:v>
                </c:pt>
                <c:pt idx="4">
                  <c:v>Jan 2025 - M5</c:v>
                </c:pt>
                <c:pt idx="5">
                  <c:v>Feb 2025 - M1</c:v>
                </c:pt>
                <c:pt idx="6">
                  <c:v>Feb 2025 - M2</c:v>
                </c:pt>
                <c:pt idx="7">
                  <c:v>Feb 2025 - M3</c:v>
                </c:pt>
                <c:pt idx="8">
                  <c:v>Feb 2025 - M4</c:v>
                </c:pt>
                <c:pt idx="9">
                  <c:v>Mar 2025 - M1</c:v>
                </c:pt>
                <c:pt idx="10">
                  <c:v>Mar 2025 - M2</c:v>
                </c:pt>
                <c:pt idx="11">
                  <c:v>Mar 2025 - M3</c:v>
                </c:pt>
                <c:pt idx="12">
                  <c:v>Mar 2025 - M4</c:v>
                </c:pt>
                <c:pt idx="13">
                  <c:v>Mar 2025 - M5</c:v>
                </c:pt>
                <c:pt idx="14">
                  <c:v>Apr 2025 - M1</c:v>
                </c:pt>
                <c:pt idx="15">
                  <c:v>Apr 2025 - M2</c:v>
                </c:pt>
                <c:pt idx="16">
                  <c:v>Apr 2025 - M3</c:v>
                </c:pt>
                <c:pt idx="17">
                  <c:v>Apr 2025 - M4</c:v>
                </c:pt>
                <c:pt idx="18">
                  <c:v>Apr 2025 - M5</c:v>
                </c:pt>
                <c:pt idx="19">
                  <c:v>Mei 2025 - M1</c:v>
                </c:pt>
                <c:pt idx="20">
                  <c:v>Mei 2025 - M2</c:v>
                </c:pt>
                <c:pt idx="21">
                  <c:v>Mei 2025 - M3</c:v>
                </c:pt>
                <c:pt idx="22">
                  <c:v>Mei 2025 - M4</c:v>
                </c:pt>
                <c:pt idx="23">
                  <c:v>Mei 2025 - M5</c:v>
                </c:pt>
                <c:pt idx="24">
                  <c:v>Jun 2025 - M1</c:v>
                </c:pt>
                <c:pt idx="25">
                  <c:v>Jun 2025 - M2</c:v>
                </c:pt>
                <c:pt idx="26">
                  <c:v>Jun 2025 - M3</c:v>
                </c:pt>
                <c:pt idx="27">
                  <c:v>Jun 2025 - M4</c:v>
                </c:pt>
                <c:pt idx="28">
                  <c:v>Jul 2025 - M1</c:v>
                </c:pt>
                <c:pt idx="29">
                  <c:v>Jul 2025 - M2</c:v>
                </c:pt>
                <c:pt idx="30">
                  <c:v>Jul 2025 - M3</c:v>
                </c:pt>
                <c:pt idx="31">
                  <c:v>Jul 2025 - M4</c:v>
                </c:pt>
                <c:pt idx="32">
                  <c:v>Jul 2025 - M5</c:v>
                </c:pt>
                <c:pt idx="33">
                  <c:v>Agu 2025 - M1</c:v>
                </c:pt>
                <c:pt idx="34">
                  <c:v>Agu 2025 - M2</c:v>
                </c:pt>
                <c:pt idx="35">
                  <c:v>Agu 2025 - M3</c:v>
                </c:pt>
                <c:pt idx="36">
                  <c:v>Agu 2025 - M4</c:v>
                </c:pt>
                <c:pt idx="37">
                  <c:v>Sep 2025 - M1</c:v>
                </c:pt>
                <c:pt idx="38">
                  <c:v>Sep 2025 - M2</c:v>
                </c:pt>
                <c:pt idx="39">
                  <c:v>Sep 2025 - M3</c:v>
                </c:pt>
                <c:pt idx="40">
                  <c:v>Sep 2025 - M4</c:v>
                </c:pt>
                <c:pt idx="41">
                  <c:v>Okt 2025 - M1</c:v>
                </c:pt>
                <c:pt idx="42">
                  <c:v>Okt 2025 - M2</c:v>
                </c:pt>
                <c:pt idx="43">
                  <c:v>Okt 2025 - M3</c:v>
                </c:pt>
                <c:pt idx="44">
                  <c:v>Okt 2025 - M4</c:v>
                </c:pt>
                <c:pt idx="45">
                  <c:v>Okt 2025 - M5</c:v>
                </c:pt>
                <c:pt idx="46">
                  <c:v>Nov 2025 - M1</c:v>
                </c:pt>
                <c:pt idx="47">
                  <c:v>Nov 2025 - M2</c:v>
                </c:pt>
                <c:pt idx="48">
                  <c:v>Nov 2025 - M3</c:v>
                </c:pt>
                <c:pt idx="49">
                  <c:v>Nov 2025 - M4</c:v>
                </c:pt>
                <c:pt idx="50">
                  <c:v>Des 2025 - M1</c:v>
                </c:pt>
                <c:pt idx="51">
                  <c:v>Des 2025 - M2</c:v>
                </c:pt>
                <c:pt idx="52">
                  <c:v>Des 2025 - M3</c:v>
                </c:pt>
                <c:pt idx="53">
                  <c:v>Des 2025 - M4</c:v>
                </c:pt>
                <c:pt idx="54">
                  <c:v>Des 2025 - M5</c:v>
                </c:pt>
              </c:strCache>
            </c:strRef>
          </c:cat>
          <c:val>
            <c:numRef>
              <c:f>'Ringkasan Mingguan 2025'!$D$4:$D$58</c:f>
              <c:numCache>
                <c:formatCode>0.0000</c:formatCode>
                <c:ptCount val="55"/>
                <c:pt idx="0">
                  <c:v>1.15301398498903</c:v>
                </c:pt>
                <c:pt idx="1">
                  <c:v>0.151425967938347</c:v>
                </c:pt>
                <c:pt idx="2">
                  <c:v>-0.250847929243989</c:v>
                </c:pt>
                <c:pt idx="3">
                  <c:v>-0.301593989755576</c:v>
                </c:pt>
                <c:pt idx="4">
                  <c:v>-0.105718371469777</c:v>
                </c:pt>
                <c:pt idx="5">
                  <c:v>-0.113469425875499</c:v>
                </c:pt>
                <c:pt idx="6">
                  <c:v>0.253524945352789</c:v>
                </c:pt>
                <c:pt idx="7">
                  <c:v>0.565126993501898</c:v>
                </c:pt>
                <c:pt idx="8">
                  <c:v>0.666738519627853</c:v>
                </c:pt>
                <c:pt idx="9">
                  <c:v>-0.196643087601112</c:v>
                </c:pt>
                <c:pt idx="10">
                  <c:v>-0.495801759271559</c:v>
                </c:pt>
                <c:pt idx="11">
                  <c:v>-0.386639713455668</c:v>
                </c:pt>
                <c:pt idx="12">
                  <c:v>-0.18705727228309</c:v>
                </c:pt>
                <c:pt idx="15">
                  <c:v>1.39794639727098</c:v>
                </c:pt>
                <c:pt idx="16">
                  <c:v>0.151086908118077</c:v>
                </c:pt>
                <c:pt idx="17">
                  <c:v>-0.738945686120451</c:v>
                </c:pt>
                <c:pt idx="18">
                  <c:v>-2.94220837076341</c:v>
                </c:pt>
                <c:pt idx="19">
                  <c:v>-2.7846872776418</c:v>
                </c:pt>
                <c:pt idx="20">
                  <c:v>-2.61929203698743</c:v>
                </c:pt>
                <c:pt idx="21">
                  <c:v>-2.67576478265709</c:v>
                </c:pt>
                <c:pt idx="22">
                  <c:v>-2.6305094572302</c:v>
                </c:pt>
                <c:pt idx="23">
                  <c:v>-2.15367878553742</c:v>
                </c:pt>
                <c:pt idx="24">
                  <c:v>2.10331523003349</c:v>
                </c:pt>
                <c:pt idx="25">
                  <c:v>-0.0668090204227015</c:v>
                </c:pt>
                <c:pt idx="26">
                  <c:v>-2.60925976557022</c:v>
                </c:pt>
                <c:pt idx="27">
                  <c:v>-2.19847117021216</c:v>
                </c:pt>
                <c:pt idx="28">
                  <c:v>-0.416796719857822</c:v>
                </c:pt>
                <c:pt idx="29">
                  <c:v>1.46063670537404</c:v>
                </c:pt>
                <c:pt idx="30">
                  <c:v>1.04201140813592</c:v>
                </c:pt>
                <c:pt idx="31">
                  <c:v>2.10759331858674</c:v>
                </c:pt>
                <c:pt idx="32">
                  <c:v>1.67256055870161</c:v>
                </c:pt>
                <c:pt idx="33">
                  <c:v>-0.735572699497822</c:v>
                </c:pt>
                <c:pt idx="34">
                  <c:v>-0.709624806989383</c:v>
                </c:pt>
                <c:pt idx="35">
                  <c:v>-0.18980751127392</c:v>
                </c:pt>
                <c:pt idx="36">
                  <c:v>0.358416291965449</c:v>
                </c:pt>
                <c:pt idx="37">
                  <c:v>0.392985374601723</c:v>
                </c:pt>
                <c:pt idx="38">
                  <c:v>-0.175175333652131</c:v>
                </c:pt>
                <c:pt idx="39">
                  <c:v>-0.0412847322669995</c:v>
                </c:pt>
                <c:pt idx="40">
                  <c:v>0.0669002310691028</c:v>
                </c:pt>
                <c:pt idx="41">
                  <c:v>0.396935180046691</c:v>
                </c:pt>
                <c:pt idx="42">
                  <c:v>0.0512120638048711</c:v>
                </c:pt>
                <c:pt idx="43">
                  <c:v>-1.33168040116241</c:v>
                </c:pt>
                <c:pt idx="44">
                  <c:v>-0.659128436367888</c:v>
                </c:pt>
                <c:pt idx="45">
                  <c:v>0.185213030196422</c:v>
                </c:pt>
                <c:pt idx="46">
                  <c:v>0.743405707170521</c:v>
                </c:pt>
                <c:pt idx="47">
                  <c:v>0.283452525710426</c:v>
                </c:pt>
                <c:pt idx="48">
                  <c:v>0.475026215736581</c:v>
                </c:pt>
                <c:pt idx="49">
                  <c:v>0.666655561523949</c:v>
                </c:pt>
                <c:pt idx="50">
                  <c:v>0.48328419032884</c:v>
                </c:pt>
                <c:pt idx="51">
                  <c:v>0.327422717176525</c:v>
                </c:pt>
                <c:pt idx="52">
                  <c:v>-0.841466569924343</c:v>
                </c:pt>
                <c:pt idx="53">
                  <c:v>-0.212165717273444</c:v>
                </c:pt>
                <c:pt idx="54">
                  <c:v>0.0299486615775587</c:v>
                </c:pt>
              </c:numCache>
            </c:numRef>
          </c:val>
          <c:smooth val="1"/>
        </c:ser>
        <c:hiLowLines>
          <c:spPr>
            <a:ln w="0">
              <a:noFill/>
            </a:ln>
          </c:spPr>
        </c:hiLowLines>
        <c:marker val="0"/>
        <c:axId val="26198960"/>
        <c:axId val="18802732"/>
      </c:lineChart>
      <c:catAx>
        <c:axId val="26198960"/>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Minggu (Jan-Des 2025)</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802732"/>
        <c:crosses val="autoZero"/>
        <c:auto val="1"/>
        <c:lblAlgn val="ctr"/>
        <c:lblOffset val="100"/>
        <c:noMultiLvlLbl val="0"/>
      </c:catAx>
      <c:valAx>
        <c:axId val="1880273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Growth IPH (%)</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19896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zero"/>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1</xdr:row>
      <xdr:rowOff>175680</xdr:rowOff>
    </xdr:from>
    <xdr:to>
      <xdr:col>24</xdr:col>
      <xdr:colOff>512280</xdr:colOff>
      <xdr:row>22</xdr:row>
      <xdr:rowOff>135000</xdr:rowOff>
    </xdr:to>
    <xdr:graphicFrame>
      <xdr:nvGraphicFramePr>
        <xdr:cNvPr id="0" name="Chart 1"/>
        <xdr:cNvGraphicFramePr/>
      </xdr:nvGraphicFramePr>
      <xdr:xfrm>
        <a:off x="5404320" y="380880"/>
        <a:ext cx="1151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6"/>
    <col collapsed="false" customWidth="true" hidden="false" outlineLevel="0" max="3" min="3" style="0" width="22"/>
    <col collapsed="false" customWidth="true" hidden="false" outlineLevel="0" max="4" min="4" style="0" width="16"/>
    <col collapsed="false" customWidth="true" hidden="false" outlineLevel="0" max="5" min="5" style="0" width="10"/>
  </cols>
  <sheetData>
    <row r="1" customFormat="false" ht="16.15" hidden="false" customHeight="false" outlineLevel="0" collapsed="false">
      <c r="A1" s="1" t="s">
        <v>0</v>
      </c>
      <c r="B1" s="1"/>
      <c r="C1" s="1"/>
      <c r="D1" s="1"/>
      <c r="E1" s="1"/>
    </row>
    <row r="3" customFormat="false" ht="15" hidden="false" customHeight="false" outlineLevel="0" collapsed="false">
      <c r="A3" s="2" t="s">
        <v>1</v>
      </c>
      <c r="B3" s="2" t="s">
        <v>2</v>
      </c>
      <c r="C3" s="2" t="s">
        <v>3</v>
      </c>
      <c r="D3" s="2" t="s">
        <v>4</v>
      </c>
      <c r="E3" s="2" t="s">
        <v>5</v>
      </c>
    </row>
    <row r="4" customFormat="false" ht="15" hidden="false" customHeight="false" outlineLevel="0" collapsed="false">
      <c r="A4" s="3" t="n">
        <v>1</v>
      </c>
      <c r="B4" s="3" t="s">
        <v>6</v>
      </c>
      <c r="C4" s="3" t="s">
        <v>7</v>
      </c>
      <c r="D4" s="4" t="n">
        <f aca="false">'Perhitungan IPH Mingguan 2025'!F26</f>
        <v>1.15301398498903</v>
      </c>
      <c r="E4" s="5" t="str">
        <f aca="false">IF(ISNUMBER(D4),IF(D4&gt;0,"Naik","Turun"),"-")</f>
        <v>Naik</v>
      </c>
    </row>
    <row r="5" customFormat="false" ht="15" hidden="false" customHeight="false" outlineLevel="0" collapsed="false">
      <c r="A5" s="3" t="n">
        <v>2</v>
      </c>
      <c r="B5" s="3" t="s">
        <v>8</v>
      </c>
      <c r="C5" s="3" t="s">
        <v>9</v>
      </c>
      <c r="D5" s="4" t="n">
        <f aca="false">'Perhitungan IPH Mingguan 2025'!I26</f>
        <v>0.151425967938347</v>
      </c>
      <c r="E5" s="5" t="str">
        <f aca="false">IF(ISNUMBER(D5),IF(D5&gt;0,"Naik","Turun"),"-")</f>
        <v>Naik</v>
      </c>
    </row>
    <row r="6" customFormat="false" ht="15" hidden="false" customHeight="false" outlineLevel="0" collapsed="false">
      <c r="A6" s="3" t="n">
        <v>3</v>
      </c>
      <c r="B6" s="3" t="s">
        <v>10</v>
      </c>
      <c r="C6" s="3" t="s">
        <v>11</v>
      </c>
      <c r="D6" s="4" t="n">
        <f aca="false">'Perhitungan IPH Mingguan 2025'!L26</f>
        <v>-0.250847929243989</v>
      </c>
      <c r="E6" s="5" t="str">
        <f aca="false">IF(ISNUMBER(D6),IF(D6&gt;0,"Naik","Turun"),"-")</f>
        <v>Turun</v>
      </c>
    </row>
    <row r="7" customFormat="false" ht="15" hidden="false" customHeight="false" outlineLevel="0" collapsed="false">
      <c r="A7" s="3" t="n">
        <v>4</v>
      </c>
      <c r="B7" s="3" t="s">
        <v>12</v>
      </c>
      <c r="C7" s="3" t="s">
        <v>13</v>
      </c>
      <c r="D7" s="4" t="n">
        <f aca="false">'Perhitungan IPH Mingguan 2025'!O26</f>
        <v>-0.301593989755576</v>
      </c>
      <c r="E7" s="5" t="str">
        <f aca="false">IF(ISNUMBER(D7),IF(D7&gt;0,"Naik","Turun"),"-")</f>
        <v>Turun</v>
      </c>
    </row>
    <row r="8" customFormat="false" ht="15" hidden="false" customHeight="false" outlineLevel="0" collapsed="false">
      <c r="A8" s="3" t="n">
        <v>5</v>
      </c>
      <c r="B8" s="3" t="s">
        <v>14</v>
      </c>
      <c r="C8" s="3" t="s">
        <v>15</v>
      </c>
      <c r="D8" s="4" t="n">
        <f aca="false">'Perhitungan IPH Mingguan 2025'!R26</f>
        <v>-0.105718371469777</v>
      </c>
      <c r="E8" s="5" t="str">
        <f aca="false">IF(ISNUMBER(D8),IF(D8&gt;0,"Naik","Turun"),"-")</f>
        <v>Turun</v>
      </c>
    </row>
    <row r="9" customFormat="false" ht="15" hidden="false" customHeight="false" outlineLevel="0" collapsed="false">
      <c r="A9" s="3" t="n">
        <v>6</v>
      </c>
      <c r="B9" s="3" t="s">
        <v>16</v>
      </c>
      <c r="C9" s="3" t="s">
        <v>17</v>
      </c>
      <c r="D9" s="4" t="n">
        <f aca="false">'Perhitungan IPH Mingguan 2025'!U26</f>
        <v>-0.113469425875499</v>
      </c>
      <c r="E9" s="5" t="str">
        <f aca="false">IF(ISNUMBER(D9),IF(D9&gt;0,"Naik","Turun"),"-")</f>
        <v>Turun</v>
      </c>
    </row>
    <row r="10" customFormat="false" ht="15" hidden="false" customHeight="false" outlineLevel="0" collapsed="false">
      <c r="A10" s="3" t="n">
        <v>7</v>
      </c>
      <c r="B10" s="3" t="s">
        <v>18</v>
      </c>
      <c r="C10" s="3" t="s">
        <v>19</v>
      </c>
      <c r="D10" s="4" t="n">
        <f aca="false">'Perhitungan IPH Mingguan 2025'!X26</f>
        <v>0.253524945352789</v>
      </c>
      <c r="E10" s="5" t="str">
        <f aca="false">IF(ISNUMBER(D10),IF(D10&gt;0,"Naik","Turun"),"-")</f>
        <v>Naik</v>
      </c>
    </row>
    <row r="11" customFormat="false" ht="15" hidden="false" customHeight="false" outlineLevel="0" collapsed="false">
      <c r="A11" s="3" t="n">
        <v>8</v>
      </c>
      <c r="B11" s="3" t="s">
        <v>20</v>
      </c>
      <c r="C11" s="3" t="s">
        <v>21</v>
      </c>
      <c r="D11" s="4" t="n">
        <f aca="false">'Perhitungan IPH Mingguan 2025'!AA26</f>
        <v>0.565126993501898</v>
      </c>
      <c r="E11" s="5" t="str">
        <f aca="false">IF(ISNUMBER(D11),IF(D11&gt;0,"Naik","Turun"),"-")</f>
        <v>Naik</v>
      </c>
    </row>
    <row r="12" customFormat="false" ht="15" hidden="false" customHeight="false" outlineLevel="0" collapsed="false">
      <c r="A12" s="3" t="n">
        <v>9</v>
      </c>
      <c r="B12" s="3" t="s">
        <v>22</v>
      </c>
      <c r="C12" s="3" t="s">
        <v>23</v>
      </c>
      <c r="D12" s="4" t="n">
        <f aca="false">'Perhitungan IPH Mingguan 2025'!AD26</f>
        <v>0.666738519627853</v>
      </c>
      <c r="E12" s="5" t="str">
        <f aca="false">IF(ISNUMBER(D12),IF(D12&gt;0,"Naik","Turun"),"-")</f>
        <v>Naik</v>
      </c>
    </row>
    <row r="13" customFormat="false" ht="15" hidden="false" customHeight="false" outlineLevel="0" collapsed="false">
      <c r="A13" s="3" t="n">
        <v>10</v>
      </c>
      <c r="B13" s="3" t="s">
        <v>24</v>
      </c>
      <c r="C13" s="3" t="s">
        <v>25</v>
      </c>
      <c r="D13" s="4" t="n">
        <f aca="false">'Perhitungan IPH Mingguan 2025'!AG26</f>
        <v>-0.196643087601112</v>
      </c>
      <c r="E13" s="5" t="str">
        <f aca="false">IF(ISNUMBER(D13),IF(D13&gt;0,"Naik","Turun"),"-")</f>
        <v>Turun</v>
      </c>
    </row>
    <row r="14" customFormat="false" ht="15" hidden="false" customHeight="false" outlineLevel="0" collapsed="false">
      <c r="A14" s="3" t="n">
        <v>11</v>
      </c>
      <c r="B14" s="3" t="s">
        <v>26</v>
      </c>
      <c r="C14" s="3" t="s">
        <v>27</v>
      </c>
      <c r="D14" s="4" t="n">
        <f aca="false">'Perhitungan IPH Mingguan 2025'!AJ26</f>
        <v>-0.495801759271559</v>
      </c>
      <c r="E14" s="5" t="str">
        <f aca="false">IF(ISNUMBER(D14),IF(D14&gt;0,"Naik","Turun"),"-")</f>
        <v>Turun</v>
      </c>
    </row>
    <row r="15" customFormat="false" ht="15" hidden="false" customHeight="false" outlineLevel="0" collapsed="false">
      <c r="A15" s="3" t="n">
        <v>12</v>
      </c>
      <c r="B15" s="3" t="s">
        <v>28</v>
      </c>
      <c r="C15" s="3" t="s">
        <v>29</v>
      </c>
      <c r="D15" s="4" t="n">
        <f aca="false">'Perhitungan IPH Mingguan 2025'!AM26</f>
        <v>-0.386639713455668</v>
      </c>
      <c r="E15" s="5" t="str">
        <f aca="false">IF(ISNUMBER(D15),IF(D15&gt;0,"Naik","Turun"),"-")</f>
        <v>Turun</v>
      </c>
    </row>
    <row r="16" customFormat="false" ht="15" hidden="false" customHeight="false" outlineLevel="0" collapsed="false">
      <c r="A16" s="3" t="n">
        <v>13</v>
      </c>
      <c r="B16" s="3" t="s">
        <v>30</v>
      </c>
      <c r="C16" s="3" t="s">
        <v>31</v>
      </c>
      <c r="D16" s="4" t="n">
        <f aca="false">'Perhitungan IPH Mingguan 2025'!AP26</f>
        <v>-0.18705727228309</v>
      </c>
      <c r="E16" s="5" t="str">
        <f aca="false">IF(ISNUMBER(D16),IF(D16&gt;0,"Naik","Turun"),"-")</f>
        <v>Turun</v>
      </c>
    </row>
    <row r="17" customFormat="false" ht="15" hidden="false" customHeight="false" outlineLevel="0" collapsed="false">
      <c r="A17" s="3" t="n">
        <v>14</v>
      </c>
      <c r="B17" s="3" t="s">
        <v>32</v>
      </c>
      <c r="C17" s="3" t="s">
        <v>33</v>
      </c>
      <c r="D17" s="4" t="str">
        <f aca="false">'Perhitungan IPH Mingguan 2025'!AS26</f>
        <v>Data tidak tersedia</v>
      </c>
      <c r="E17" s="5" t="str">
        <f aca="false">IF(ISNUMBER(D17),IF(D17&gt;0,"Naik","Turun"),"-")</f>
        <v>-</v>
      </c>
    </row>
    <row r="18" customFormat="false" ht="15" hidden="false" customHeight="false" outlineLevel="0" collapsed="false">
      <c r="A18" s="3" t="n">
        <v>15</v>
      </c>
      <c r="B18" s="3" t="s">
        <v>34</v>
      </c>
      <c r="C18" s="3" t="s">
        <v>35</v>
      </c>
      <c r="D18" s="4" t="str">
        <f aca="false">'Perhitungan IPH Mingguan 2025'!AV26</f>
        <v>Data tidak tersedia</v>
      </c>
      <c r="E18" s="5" t="str">
        <f aca="false">IF(ISNUMBER(D18),IF(D18&gt;0,"Naik","Turun"),"-")</f>
        <v>-</v>
      </c>
    </row>
    <row r="19" customFormat="false" ht="15" hidden="false" customHeight="false" outlineLevel="0" collapsed="false">
      <c r="A19" s="3" t="n">
        <v>16</v>
      </c>
      <c r="B19" s="3" t="s">
        <v>36</v>
      </c>
      <c r="C19" s="3" t="s">
        <v>37</v>
      </c>
      <c r="D19" s="4" t="n">
        <f aca="false">'Perhitungan IPH Mingguan 2025'!AY26</f>
        <v>1.39794639727098</v>
      </c>
      <c r="E19" s="5" t="str">
        <f aca="false">IF(ISNUMBER(D19),IF(D19&gt;0,"Naik","Turun"),"-")</f>
        <v>Naik</v>
      </c>
    </row>
    <row r="20" customFormat="false" ht="15" hidden="false" customHeight="false" outlineLevel="0" collapsed="false">
      <c r="A20" s="3" t="n">
        <v>17</v>
      </c>
      <c r="B20" s="3" t="s">
        <v>38</v>
      </c>
      <c r="C20" s="3" t="s">
        <v>39</v>
      </c>
      <c r="D20" s="4" t="n">
        <f aca="false">'Perhitungan IPH Mingguan 2025'!BB26</f>
        <v>0.151086908118077</v>
      </c>
      <c r="E20" s="5" t="str">
        <f aca="false">IF(ISNUMBER(D20),IF(D20&gt;0,"Naik","Turun"),"-")</f>
        <v>Naik</v>
      </c>
    </row>
    <row r="21" customFormat="false" ht="15" hidden="false" customHeight="false" outlineLevel="0" collapsed="false">
      <c r="A21" s="3" t="n">
        <v>18</v>
      </c>
      <c r="B21" s="3" t="s">
        <v>40</v>
      </c>
      <c r="C21" s="3" t="s">
        <v>41</v>
      </c>
      <c r="D21" s="4" t="n">
        <f aca="false">'Perhitungan IPH Mingguan 2025'!BE26</f>
        <v>-0.738945686120451</v>
      </c>
      <c r="E21" s="5" t="str">
        <f aca="false">IF(ISNUMBER(D21),IF(D21&gt;0,"Naik","Turun"),"-")</f>
        <v>Turun</v>
      </c>
    </row>
    <row r="22" customFormat="false" ht="15" hidden="false" customHeight="false" outlineLevel="0" collapsed="false">
      <c r="A22" s="3" t="n">
        <v>19</v>
      </c>
      <c r="B22" s="3" t="s">
        <v>42</v>
      </c>
      <c r="C22" s="3" t="s">
        <v>43</v>
      </c>
      <c r="D22" s="4" t="n">
        <f aca="false">'Perhitungan IPH Mingguan 2025'!BH26</f>
        <v>-2.94220837076341</v>
      </c>
      <c r="E22" s="5" t="str">
        <f aca="false">IF(ISNUMBER(D22),IF(D22&gt;0,"Naik","Turun"),"-")</f>
        <v>Turun</v>
      </c>
    </row>
    <row r="23" customFormat="false" ht="15" hidden="false" customHeight="false" outlineLevel="0" collapsed="false">
      <c r="A23" s="3" t="n">
        <v>20</v>
      </c>
      <c r="B23" s="3" t="s">
        <v>44</v>
      </c>
      <c r="C23" s="3" t="s">
        <v>45</v>
      </c>
      <c r="D23" s="4" t="n">
        <f aca="false">'Perhitungan IPH Mingguan 2025'!BK26</f>
        <v>-2.7846872776418</v>
      </c>
      <c r="E23" s="5" t="str">
        <f aca="false">IF(ISNUMBER(D23),IF(D23&gt;0,"Naik","Turun"),"-")</f>
        <v>Turun</v>
      </c>
    </row>
    <row r="24" customFormat="false" ht="15" hidden="false" customHeight="false" outlineLevel="0" collapsed="false">
      <c r="A24" s="3" t="n">
        <v>21</v>
      </c>
      <c r="B24" s="3" t="s">
        <v>46</v>
      </c>
      <c r="C24" s="3" t="s">
        <v>47</v>
      </c>
      <c r="D24" s="4" t="n">
        <f aca="false">'Perhitungan IPH Mingguan 2025'!BN26</f>
        <v>-2.61929203698743</v>
      </c>
      <c r="E24" s="5" t="str">
        <f aca="false">IF(ISNUMBER(D24),IF(D24&gt;0,"Naik","Turun"),"-")</f>
        <v>Turun</v>
      </c>
    </row>
    <row r="25" customFormat="false" ht="15" hidden="false" customHeight="false" outlineLevel="0" collapsed="false">
      <c r="A25" s="3" t="n">
        <v>22</v>
      </c>
      <c r="B25" s="3" t="s">
        <v>48</v>
      </c>
      <c r="C25" s="3" t="s">
        <v>49</v>
      </c>
      <c r="D25" s="4" t="n">
        <f aca="false">'Perhitungan IPH Mingguan 2025'!BQ26</f>
        <v>-2.67576478265709</v>
      </c>
      <c r="E25" s="5" t="str">
        <f aca="false">IF(ISNUMBER(D25),IF(D25&gt;0,"Naik","Turun"),"-")</f>
        <v>Turun</v>
      </c>
    </row>
    <row r="26" customFormat="false" ht="15" hidden="false" customHeight="false" outlineLevel="0" collapsed="false">
      <c r="A26" s="3" t="n">
        <v>23</v>
      </c>
      <c r="B26" s="3" t="s">
        <v>50</v>
      </c>
      <c r="C26" s="3" t="s">
        <v>51</v>
      </c>
      <c r="D26" s="4" t="n">
        <f aca="false">'Perhitungan IPH Mingguan 2025'!BT26</f>
        <v>-2.6305094572302</v>
      </c>
      <c r="E26" s="5" t="str">
        <f aca="false">IF(ISNUMBER(D26),IF(D26&gt;0,"Naik","Turun"),"-")</f>
        <v>Turun</v>
      </c>
    </row>
    <row r="27" customFormat="false" ht="15" hidden="false" customHeight="false" outlineLevel="0" collapsed="false">
      <c r="A27" s="3" t="n">
        <v>24</v>
      </c>
      <c r="B27" s="3" t="s">
        <v>52</v>
      </c>
      <c r="C27" s="3" t="s">
        <v>53</v>
      </c>
      <c r="D27" s="4" t="n">
        <f aca="false">'Perhitungan IPH Mingguan 2025'!BW26</f>
        <v>-2.15367878553742</v>
      </c>
      <c r="E27" s="5" t="str">
        <f aca="false">IF(ISNUMBER(D27),IF(D27&gt;0,"Naik","Turun"),"-")</f>
        <v>Turun</v>
      </c>
    </row>
    <row r="28" customFormat="false" ht="15" hidden="false" customHeight="false" outlineLevel="0" collapsed="false">
      <c r="A28" s="3" t="n">
        <v>25</v>
      </c>
      <c r="B28" s="3" t="s">
        <v>54</v>
      </c>
      <c r="C28" s="3" t="s">
        <v>55</v>
      </c>
      <c r="D28" s="4" t="n">
        <f aca="false">'Perhitungan IPH Mingguan 2025'!BZ26</f>
        <v>2.10331523003349</v>
      </c>
      <c r="E28" s="5" t="str">
        <f aca="false">IF(ISNUMBER(D28),IF(D28&gt;0,"Naik","Turun"),"-")</f>
        <v>Naik</v>
      </c>
    </row>
    <row r="29" customFormat="false" ht="15" hidden="false" customHeight="false" outlineLevel="0" collapsed="false">
      <c r="A29" s="3" t="n">
        <v>26</v>
      </c>
      <c r="B29" s="3" t="s">
        <v>56</v>
      </c>
      <c r="C29" s="3" t="s">
        <v>57</v>
      </c>
      <c r="D29" s="4" t="n">
        <f aca="false">'Perhitungan IPH Mingguan 2025'!CC26</f>
        <v>-0.0668090204227015</v>
      </c>
      <c r="E29" s="5" t="str">
        <f aca="false">IF(ISNUMBER(D29),IF(D29&gt;0,"Naik","Turun"),"-")</f>
        <v>Turun</v>
      </c>
    </row>
    <row r="30" customFormat="false" ht="15" hidden="false" customHeight="false" outlineLevel="0" collapsed="false">
      <c r="A30" s="3" t="n">
        <v>27</v>
      </c>
      <c r="B30" s="3" t="s">
        <v>58</v>
      </c>
      <c r="C30" s="3" t="s">
        <v>59</v>
      </c>
      <c r="D30" s="4" t="n">
        <f aca="false">'Perhitungan IPH Mingguan 2025'!CF26</f>
        <v>-2.60925976557022</v>
      </c>
      <c r="E30" s="5" t="str">
        <f aca="false">IF(ISNUMBER(D30),IF(D30&gt;0,"Naik","Turun"),"-")</f>
        <v>Turun</v>
      </c>
    </row>
    <row r="31" customFormat="false" ht="15" hidden="false" customHeight="false" outlineLevel="0" collapsed="false">
      <c r="A31" s="3" t="n">
        <v>28</v>
      </c>
      <c r="B31" s="3" t="s">
        <v>60</v>
      </c>
      <c r="C31" s="3" t="s">
        <v>61</v>
      </c>
      <c r="D31" s="4" t="n">
        <f aca="false">'Perhitungan IPH Mingguan 2025'!CI26</f>
        <v>-2.19847117021216</v>
      </c>
      <c r="E31" s="5" t="str">
        <f aca="false">IF(ISNUMBER(D31),IF(D31&gt;0,"Naik","Turun"),"-")</f>
        <v>Turun</v>
      </c>
    </row>
    <row r="32" customFormat="false" ht="15" hidden="false" customHeight="false" outlineLevel="0" collapsed="false">
      <c r="A32" s="3" t="n">
        <v>29</v>
      </c>
      <c r="B32" s="3" t="s">
        <v>62</v>
      </c>
      <c r="C32" s="3" t="s">
        <v>63</v>
      </c>
      <c r="D32" s="4" t="n">
        <f aca="false">'Perhitungan IPH Mingguan 2025'!CL26</f>
        <v>-0.416796719857822</v>
      </c>
      <c r="E32" s="5" t="str">
        <f aca="false">IF(ISNUMBER(D32),IF(D32&gt;0,"Naik","Turun"),"-")</f>
        <v>Turun</v>
      </c>
    </row>
    <row r="33" customFormat="false" ht="15" hidden="false" customHeight="false" outlineLevel="0" collapsed="false">
      <c r="A33" s="3" t="n">
        <v>30</v>
      </c>
      <c r="B33" s="3" t="s">
        <v>64</v>
      </c>
      <c r="C33" s="3" t="s">
        <v>65</v>
      </c>
      <c r="D33" s="4" t="n">
        <f aca="false">'Perhitungan IPH Mingguan 2025'!CO26</f>
        <v>1.46063670537404</v>
      </c>
      <c r="E33" s="5" t="str">
        <f aca="false">IF(ISNUMBER(D33),IF(D33&gt;0,"Naik","Turun"),"-")</f>
        <v>Naik</v>
      </c>
    </row>
    <row r="34" customFormat="false" ht="15" hidden="false" customHeight="false" outlineLevel="0" collapsed="false">
      <c r="A34" s="3" t="n">
        <v>31</v>
      </c>
      <c r="B34" s="3" t="s">
        <v>66</v>
      </c>
      <c r="C34" s="3" t="s">
        <v>67</v>
      </c>
      <c r="D34" s="4" t="n">
        <f aca="false">'Perhitungan IPH Mingguan 2025'!CR26</f>
        <v>1.04201140813592</v>
      </c>
      <c r="E34" s="5" t="str">
        <f aca="false">IF(ISNUMBER(D34),IF(D34&gt;0,"Naik","Turun"),"-")</f>
        <v>Naik</v>
      </c>
    </row>
    <row r="35" customFormat="false" ht="15" hidden="false" customHeight="false" outlineLevel="0" collapsed="false">
      <c r="A35" s="3" t="n">
        <v>32</v>
      </c>
      <c r="B35" s="3" t="s">
        <v>68</v>
      </c>
      <c r="C35" s="3" t="s">
        <v>69</v>
      </c>
      <c r="D35" s="4" t="n">
        <f aca="false">'Perhitungan IPH Mingguan 2025'!CU26</f>
        <v>2.10759331858674</v>
      </c>
      <c r="E35" s="5" t="str">
        <f aca="false">IF(ISNUMBER(D35),IF(D35&gt;0,"Naik","Turun"),"-")</f>
        <v>Naik</v>
      </c>
    </row>
    <row r="36" customFormat="false" ht="15" hidden="false" customHeight="false" outlineLevel="0" collapsed="false">
      <c r="A36" s="3" t="n">
        <v>33</v>
      </c>
      <c r="B36" s="3" t="s">
        <v>70</v>
      </c>
      <c r="C36" s="3" t="s">
        <v>71</v>
      </c>
      <c r="D36" s="4" t="n">
        <f aca="false">'Perhitungan IPH Mingguan 2025'!CX26</f>
        <v>1.67256055870161</v>
      </c>
      <c r="E36" s="5" t="str">
        <f aca="false">IF(ISNUMBER(D36),IF(D36&gt;0,"Naik","Turun"),"-")</f>
        <v>Naik</v>
      </c>
    </row>
    <row r="37" customFormat="false" ht="15" hidden="false" customHeight="false" outlineLevel="0" collapsed="false">
      <c r="A37" s="3" t="n">
        <v>34</v>
      </c>
      <c r="B37" s="3" t="s">
        <v>72</v>
      </c>
      <c r="C37" s="3" t="s">
        <v>73</v>
      </c>
      <c r="D37" s="4" t="n">
        <f aca="false">'Perhitungan IPH Mingguan 2025'!DA26</f>
        <v>-0.735572699497822</v>
      </c>
      <c r="E37" s="5" t="str">
        <f aca="false">IF(ISNUMBER(D37),IF(D37&gt;0,"Naik","Turun"),"-")</f>
        <v>Turun</v>
      </c>
    </row>
    <row r="38" customFormat="false" ht="15" hidden="false" customHeight="false" outlineLevel="0" collapsed="false">
      <c r="A38" s="3" t="n">
        <v>35</v>
      </c>
      <c r="B38" s="3" t="s">
        <v>74</v>
      </c>
      <c r="C38" s="3" t="s">
        <v>75</v>
      </c>
      <c r="D38" s="4" t="n">
        <f aca="false">'Perhitungan IPH Mingguan 2025'!DD26</f>
        <v>-0.709624806989383</v>
      </c>
      <c r="E38" s="5" t="str">
        <f aca="false">IF(ISNUMBER(D38),IF(D38&gt;0,"Naik","Turun"),"-")</f>
        <v>Turun</v>
      </c>
    </row>
    <row r="39" customFormat="false" ht="15" hidden="false" customHeight="false" outlineLevel="0" collapsed="false">
      <c r="A39" s="3" t="n">
        <v>36</v>
      </c>
      <c r="B39" s="3" t="s">
        <v>76</v>
      </c>
      <c r="C39" s="3" t="s">
        <v>77</v>
      </c>
      <c r="D39" s="4" t="n">
        <f aca="false">'Perhitungan IPH Mingguan 2025'!DG26</f>
        <v>-0.18980751127392</v>
      </c>
      <c r="E39" s="5" t="str">
        <f aca="false">IF(ISNUMBER(D39),IF(D39&gt;0,"Naik","Turun"),"-")</f>
        <v>Turun</v>
      </c>
    </row>
    <row r="40" customFormat="false" ht="15" hidden="false" customHeight="false" outlineLevel="0" collapsed="false">
      <c r="A40" s="3" t="n">
        <v>37</v>
      </c>
      <c r="B40" s="3" t="s">
        <v>78</v>
      </c>
      <c r="C40" s="3" t="s">
        <v>79</v>
      </c>
      <c r="D40" s="4" t="n">
        <f aca="false">'Perhitungan IPH Mingguan 2025'!DJ26</f>
        <v>0.358416291965449</v>
      </c>
      <c r="E40" s="5" t="str">
        <f aca="false">IF(ISNUMBER(D40),IF(D40&gt;0,"Naik","Turun"),"-")</f>
        <v>Naik</v>
      </c>
    </row>
    <row r="41" customFormat="false" ht="15" hidden="false" customHeight="false" outlineLevel="0" collapsed="false">
      <c r="A41" s="3" t="n">
        <v>38</v>
      </c>
      <c r="B41" s="3" t="s">
        <v>80</v>
      </c>
      <c r="C41" s="3" t="s">
        <v>81</v>
      </c>
      <c r="D41" s="4" t="n">
        <f aca="false">'Perhitungan IPH Mingguan 2025'!DM26</f>
        <v>0.392985374601723</v>
      </c>
      <c r="E41" s="5" t="str">
        <f aca="false">IF(ISNUMBER(D41),IF(D41&gt;0,"Naik","Turun"),"-")</f>
        <v>Naik</v>
      </c>
    </row>
    <row r="42" customFormat="false" ht="15" hidden="false" customHeight="false" outlineLevel="0" collapsed="false">
      <c r="A42" s="3" t="n">
        <v>39</v>
      </c>
      <c r="B42" s="3" t="s">
        <v>82</v>
      </c>
      <c r="C42" s="3" t="s">
        <v>83</v>
      </c>
      <c r="D42" s="4" t="n">
        <f aca="false">'Perhitungan IPH Mingguan 2025'!DP26</f>
        <v>-0.175175333652131</v>
      </c>
      <c r="E42" s="5" t="str">
        <f aca="false">IF(ISNUMBER(D42),IF(D42&gt;0,"Naik","Turun"),"-")</f>
        <v>Turun</v>
      </c>
    </row>
    <row r="43" customFormat="false" ht="15" hidden="false" customHeight="false" outlineLevel="0" collapsed="false">
      <c r="A43" s="3" t="n">
        <v>40</v>
      </c>
      <c r="B43" s="3" t="s">
        <v>84</v>
      </c>
      <c r="C43" s="3" t="s">
        <v>85</v>
      </c>
      <c r="D43" s="4" t="n">
        <f aca="false">'Perhitungan IPH Mingguan 2025'!DS26</f>
        <v>-0.0412847322669995</v>
      </c>
      <c r="E43" s="5" t="str">
        <f aca="false">IF(ISNUMBER(D43),IF(D43&gt;0,"Naik","Turun"),"-")</f>
        <v>Turun</v>
      </c>
    </row>
    <row r="44" customFormat="false" ht="15" hidden="false" customHeight="false" outlineLevel="0" collapsed="false">
      <c r="A44" s="3" t="n">
        <v>41</v>
      </c>
      <c r="B44" s="3" t="s">
        <v>86</v>
      </c>
      <c r="C44" s="3" t="s">
        <v>87</v>
      </c>
      <c r="D44" s="4" t="n">
        <f aca="false">'Perhitungan IPH Mingguan 2025'!DV26</f>
        <v>0.0669002310691028</v>
      </c>
      <c r="E44" s="5" t="str">
        <f aca="false">IF(ISNUMBER(D44),IF(D44&gt;0,"Naik","Turun"),"-")</f>
        <v>Naik</v>
      </c>
    </row>
    <row r="45" customFormat="false" ht="15" hidden="false" customHeight="false" outlineLevel="0" collapsed="false">
      <c r="A45" s="3" t="n">
        <v>42</v>
      </c>
      <c r="B45" s="3" t="s">
        <v>88</v>
      </c>
      <c r="C45" s="3" t="s">
        <v>89</v>
      </c>
      <c r="D45" s="4" t="n">
        <f aca="false">'Perhitungan IPH Mingguan 2025'!DY26</f>
        <v>0.396935180046691</v>
      </c>
      <c r="E45" s="5" t="str">
        <f aca="false">IF(ISNUMBER(D45),IF(D45&gt;0,"Naik","Turun"),"-")</f>
        <v>Naik</v>
      </c>
    </row>
    <row r="46" customFormat="false" ht="15" hidden="false" customHeight="false" outlineLevel="0" collapsed="false">
      <c r="A46" s="3" t="n">
        <v>43</v>
      </c>
      <c r="B46" s="3" t="s">
        <v>90</v>
      </c>
      <c r="C46" s="3" t="s">
        <v>91</v>
      </c>
      <c r="D46" s="4" t="n">
        <f aca="false">'Perhitungan IPH Mingguan 2025'!EB26</f>
        <v>0.0512120638048711</v>
      </c>
      <c r="E46" s="5" t="str">
        <f aca="false">IF(ISNUMBER(D46),IF(D46&gt;0,"Naik","Turun"),"-")</f>
        <v>Naik</v>
      </c>
    </row>
    <row r="47" customFormat="false" ht="15" hidden="false" customHeight="false" outlineLevel="0" collapsed="false">
      <c r="A47" s="3" t="n">
        <v>44</v>
      </c>
      <c r="B47" s="3" t="s">
        <v>92</v>
      </c>
      <c r="C47" s="3" t="s">
        <v>93</v>
      </c>
      <c r="D47" s="4" t="n">
        <f aca="false">'Perhitungan IPH Mingguan 2025'!EE26</f>
        <v>-1.33168040116241</v>
      </c>
      <c r="E47" s="5" t="str">
        <f aca="false">IF(ISNUMBER(D47),IF(D47&gt;0,"Naik","Turun"),"-")</f>
        <v>Turun</v>
      </c>
    </row>
    <row r="48" customFormat="false" ht="15" hidden="false" customHeight="false" outlineLevel="0" collapsed="false">
      <c r="A48" s="3" t="n">
        <v>45</v>
      </c>
      <c r="B48" s="3" t="s">
        <v>94</v>
      </c>
      <c r="C48" s="3" t="s">
        <v>95</v>
      </c>
      <c r="D48" s="4" t="n">
        <f aca="false">'Perhitungan IPH Mingguan 2025'!EH26</f>
        <v>-0.659128436367888</v>
      </c>
      <c r="E48" s="5" t="str">
        <f aca="false">IF(ISNUMBER(D48),IF(D48&gt;0,"Naik","Turun"),"-")</f>
        <v>Turun</v>
      </c>
    </row>
    <row r="49" customFormat="false" ht="15" hidden="false" customHeight="false" outlineLevel="0" collapsed="false">
      <c r="A49" s="3" t="n">
        <v>46</v>
      </c>
      <c r="B49" s="3" t="s">
        <v>96</v>
      </c>
      <c r="C49" s="3" t="s">
        <v>97</v>
      </c>
      <c r="D49" s="4" t="n">
        <f aca="false">'Perhitungan IPH Mingguan 2025'!EK26</f>
        <v>0.185213030196422</v>
      </c>
      <c r="E49" s="5" t="str">
        <f aca="false">IF(ISNUMBER(D49),IF(D49&gt;0,"Naik","Turun"),"-")</f>
        <v>Naik</v>
      </c>
    </row>
    <row r="50" customFormat="false" ht="15" hidden="false" customHeight="false" outlineLevel="0" collapsed="false">
      <c r="A50" s="3" t="n">
        <v>47</v>
      </c>
      <c r="B50" s="3" t="s">
        <v>98</v>
      </c>
      <c r="C50" s="3" t="s">
        <v>99</v>
      </c>
      <c r="D50" s="4" t="n">
        <f aca="false">'Perhitungan IPH Mingguan 2025'!EN26</f>
        <v>0.743405707170521</v>
      </c>
      <c r="E50" s="5" t="str">
        <f aca="false">IF(ISNUMBER(D50),IF(D50&gt;0,"Naik","Turun"),"-")</f>
        <v>Naik</v>
      </c>
    </row>
    <row r="51" customFormat="false" ht="15" hidden="false" customHeight="false" outlineLevel="0" collapsed="false">
      <c r="A51" s="3" t="n">
        <v>48</v>
      </c>
      <c r="B51" s="3" t="s">
        <v>100</v>
      </c>
      <c r="C51" s="3" t="s">
        <v>101</v>
      </c>
      <c r="D51" s="4" t="n">
        <f aca="false">'Perhitungan IPH Mingguan 2025'!EQ26</f>
        <v>0.283452525710426</v>
      </c>
      <c r="E51" s="5" t="str">
        <f aca="false">IF(ISNUMBER(D51),IF(D51&gt;0,"Naik","Turun"),"-")</f>
        <v>Naik</v>
      </c>
    </row>
    <row r="52" customFormat="false" ht="15" hidden="false" customHeight="false" outlineLevel="0" collapsed="false">
      <c r="A52" s="3" t="n">
        <v>49</v>
      </c>
      <c r="B52" s="3" t="s">
        <v>102</v>
      </c>
      <c r="C52" s="3" t="s">
        <v>103</v>
      </c>
      <c r="D52" s="4" t="n">
        <f aca="false">'Perhitungan IPH Mingguan 2025'!ET26</f>
        <v>0.475026215736581</v>
      </c>
      <c r="E52" s="5" t="str">
        <f aca="false">IF(ISNUMBER(D52),IF(D52&gt;0,"Naik","Turun"),"-")</f>
        <v>Naik</v>
      </c>
    </row>
    <row r="53" customFormat="false" ht="15" hidden="false" customHeight="false" outlineLevel="0" collapsed="false">
      <c r="A53" s="3" t="n">
        <v>50</v>
      </c>
      <c r="B53" s="3" t="s">
        <v>104</v>
      </c>
      <c r="C53" s="3" t="s">
        <v>105</v>
      </c>
      <c r="D53" s="4" t="n">
        <f aca="false">'Perhitungan IPH Mingguan 2025'!EW26</f>
        <v>0.666655561523949</v>
      </c>
      <c r="E53" s="5" t="str">
        <f aca="false">IF(ISNUMBER(D53),IF(D53&gt;0,"Naik","Turun"),"-")</f>
        <v>Naik</v>
      </c>
    </row>
    <row r="54" customFormat="false" ht="15" hidden="false" customHeight="false" outlineLevel="0" collapsed="false">
      <c r="A54" s="3" t="n">
        <v>51</v>
      </c>
      <c r="B54" s="3" t="s">
        <v>106</v>
      </c>
      <c r="C54" s="3" t="s">
        <v>107</v>
      </c>
      <c r="D54" s="4" t="n">
        <f aca="false">'Perhitungan IPH Mingguan 2025'!EZ26</f>
        <v>0.48328419032884</v>
      </c>
      <c r="E54" s="5" t="str">
        <f aca="false">IF(ISNUMBER(D54),IF(D54&gt;0,"Naik","Turun"),"-")</f>
        <v>Naik</v>
      </c>
    </row>
    <row r="55" customFormat="false" ht="15" hidden="false" customHeight="false" outlineLevel="0" collapsed="false">
      <c r="A55" s="3" t="n">
        <v>52</v>
      </c>
      <c r="B55" s="3" t="s">
        <v>108</v>
      </c>
      <c r="C55" s="3" t="s">
        <v>109</v>
      </c>
      <c r="D55" s="4" t="n">
        <f aca="false">'Perhitungan IPH Mingguan 2025'!FC26</f>
        <v>0.327422717176525</v>
      </c>
      <c r="E55" s="5" t="str">
        <f aca="false">IF(ISNUMBER(D55),IF(D55&gt;0,"Naik","Turun"),"-")</f>
        <v>Naik</v>
      </c>
    </row>
    <row r="56" customFormat="false" ht="15" hidden="false" customHeight="false" outlineLevel="0" collapsed="false">
      <c r="A56" s="3" t="n">
        <v>53</v>
      </c>
      <c r="B56" s="3" t="s">
        <v>110</v>
      </c>
      <c r="C56" s="3" t="s">
        <v>111</v>
      </c>
      <c r="D56" s="4" t="n">
        <f aca="false">'Perhitungan IPH Mingguan 2025'!FF26</f>
        <v>-0.841466569924343</v>
      </c>
      <c r="E56" s="5" t="str">
        <f aca="false">IF(ISNUMBER(D56),IF(D56&gt;0,"Naik","Turun"),"-")</f>
        <v>Turun</v>
      </c>
    </row>
    <row r="57" customFormat="false" ht="15" hidden="false" customHeight="false" outlineLevel="0" collapsed="false">
      <c r="A57" s="3" t="n">
        <v>54</v>
      </c>
      <c r="B57" s="3" t="s">
        <v>112</v>
      </c>
      <c r="C57" s="3" t="s">
        <v>113</v>
      </c>
      <c r="D57" s="4" t="n">
        <f aca="false">'Perhitungan IPH Mingguan 2025'!FI26</f>
        <v>-0.212165717273444</v>
      </c>
      <c r="E57" s="5" t="str">
        <f aca="false">IF(ISNUMBER(D57),IF(D57&gt;0,"Naik","Turun"),"-")</f>
        <v>Turun</v>
      </c>
    </row>
    <row r="58" customFormat="false" ht="15" hidden="false" customHeight="false" outlineLevel="0" collapsed="false">
      <c r="A58" s="3" t="n">
        <v>55</v>
      </c>
      <c r="B58" s="3" t="s">
        <v>114</v>
      </c>
      <c r="C58" s="3" t="s">
        <v>115</v>
      </c>
      <c r="D58" s="4" t="n">
        <f aca="false">'Perhitungan IPH Mingguan 2025'!FL26</f>
        <v>0.0299486615775587</v>
      </c>
      <c r="E58" s="5" t="str">
        <f aca="false">IF(ISNUMBER(D58),IF(D58&gt;0,"Naik","Turun"),"-")</f>
        <v>Naik</v>
      </c>
    </row>
  </sheetData>
  <mergeCells count="1">
    <mergeCell ref="A1:E1"/>
  </mergeCells>
  <conditionalFormatting sqref="D4:D58">
    <cfRule type="cellIs" priority="2" operator="greaterThan" aboveAverage="0" equalAverage="0" bottom="0" percent="0" rank="0" text="" dxfId="0">
      <formula>0</formula>
    </cfRule>
    <cfRule type="cellIs" priority="3" operator="lessThan"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Q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4" min="3" style="0" width="10"/>
    <col collapsed="false" customWidth="true" hidden="false" outlineLevel="0" max="6" min="5" style="0" width="9"/>
    <col collapsed="false" customWidth="true" hidden="false" outlineLevel="0" max="7" min="7" style="0" width="10"/>
    <col collapsed="false" customWidth="true" hidden="false" outlineLevel="0" max="9" min="8" style="0" width="9"/>
    <col collapsed="false" customWidth="true" hidden="false" outlineLevel="0" max="10" min="10" style="0" width="10"/>
    <col collapsed="false" customWidth="true" hidden="false" outlineLevel="0" max="12" min="11" style="0" width="9"/>
    <col collapsed="false" customWidth="true" hidden="false" outlineLevel="0" max="13" min="13" style="0" width="10"/>
    <col collapsed="false" customWidth="true" hidden="false" outlineLevel="0" max="15" min="14" style="0" width="9"/>
    <col collapsed="false" customWidth="true" hidden="false" outlineLevel="0" max="16" min="16" style="0" width="10"/>
    <col collapsed="false" customWidth="true" hidden="false" outlineLevel="0" max="18" min="17" style="0" width="9"/>
    <col collapsed="false" customWidth="true" hidden="false" outlineLevel="0" max="19" min="19" style="0" width="10"/>
    <col collapsed="false" customWidth="true" hidden="false" outlineLevel="0" max="21" min="20" style="0" width="9"/>
    <col collapsed="false" customWidth="true" hidden="false" outlineLevel="0" max="22" min="22" style="0" width="10"/>
    <col collapsed="false" customWidth="true" hidden="false" outlineLevel="0" max="24" min="23" style="0" width="9"/>
    <col collapsed="false" customWidth="true" hidden="false" outlineLevel="0" max="25" min="25" style="0" width="10"/>
    <col collapsed="false" customWidth="true" hidden="false" outlineLevel="0" max="27" min="26" style="0" width="9"/>
    <col collapsed="false" customWidth="true" hidden="false" outlineLevel="0" max="28" min="28" style="0" width="10"/>
    <col collapsed="false" customWidth="true" hidden="false" outlineLevel="0" max="30" min="29" style="0" width="9"/>
    <col collapsed="false" customWidth="true" hidden="false" outlineLevel="0" max="31" min="31" style="0" width="10"/>
    <col collapsed="false" customWidth="true" hidden="false" outlineLevel="0" max="33" min="32" style="0" width="9"/>
    <col collapsed="false" customWidth="true" hidden="false" outlineLevel="0" max="34" min="34" style="0" width="10"/>
    <col collapsed="false" customWidth="true" hidden="false" outlineLevel="0" max="36" min="35" style="0" width="9"/>
    <col collapsed="false" customWidth="true" hidden="false" outlineLevel="0" max="37" min="37" style="0" width="10"/>
    <col collapsed="false" customWidth="true" hidden="false" outlineLevel="0" max="39" min="38" style="0" width="9"/>
    <col collapsed="false" customWidth="true" hidden="false" outlineLevel="0" max="40" min="40" style="0" width="10"/>
    <col collapsed="false" customWidth="true" hidden="false" outlineLevel="0" max="42" min="41" style="0" width="9"/>
    <col collapsed="false" customWidth="true" hidden="false" outlineLevel="0" max="43" min="43" style="0" width="10"/>
    <col collapsed="false" customWidth="true" hidden="false" outlineLevel="0" max="45" min="44" style="0" width="9"/>
    <col collapsed="false" customWidth="true" hidden="false" outlineLevel="0" max="46" min="46" style="0" width="10"/>
    <col collapsed="false" customWidth="true" hidden="false" outlineLevel="0" max="48" min="47" style="0" width="9"/>
    <col collapsed="false" customWidth="true" hidden="false" outlineLevel="0" max="49" min="49" style="0" width="10"/>
    <col collapsed="false" customWidth="true" hidden="false" outlineLevel="0" max="51" min="50" style="0" width="9"/>
    <col collapsed="false" customWidth="true" hidden="false" outlineLevel="0" max="52" min="52" style="0" width="10"/>
    <col collapsed="false" customWidth="true" hidden="false" outlineLevel="0" max="54" min="53" style="0" width="9"/>
    <col collapsed="false" customWidth="true" hidden="false" outlineLevel="0" max="55" min="55" style="0" width="10"/>
    <col collapsed="false" customWidth="true" hidden="false" outlineLevel="0" max="57" min="56" style="0" width="9"/>
    <col collapsed="false" customWidth="true" hidden="false" outlineLevel="0" max="58" min="58" style="0" width="10"/>
    <col collapsed="false" customWidth="true" hidden="false" outlineLevel="0" max="60" min="59" style="0" width="9"/>
    <col collapsed="false" customWidth="true" hidden="false" outlineLevel="0" max="61" min="61" style="0" width="10"/>
    <col collapsed="false" customWidth="true" hidden="false" outlineLevel="0" max="63" min="62" style="0" width="9"/>
    <col collapsed="false" customWidth="true" hidden="false" outlineLevel="0" max="64" min="64" style="0" width="10"/>
    <col collapsed="false" customWidth="true" hidden="false" outlineLevel="0" max="66" min="65" style="0" width="9"/>
    <col collapsed="false" customWidth="true" hidden="false" outlineLevel="0" max="67" min="67" style="0" width="10"/>
    <col collapsed="false" customWidth="true" hidden="false" outlineLevel="0" max="69" min="68" style="0" width="9"/>
    <col collapsed="false" customWidth="true" hidden="false" outlineLevel="0" max="70" min="70" style="0" width="10"/>
    <col collapsed="false" customWidth="true" hidden="false" outlineLevel="0" max="72" min="71" style="0" width="9"/>
    <col collapsed="false" customWidth="true" hidden="false" outlineLevel="0" max="73" min="73" style="0" width="10"/>
    <col collapsed="false" customWidth="true" hidden="false" outlineLevel="0" max="75" min="74" style="0" width="9"/>
    <col collapsed="false" customWidth="true" hidden="false" outlineLevel="0" max="76" min="76" style="0" width="10"/>
    <col collapsed="false" customWidth="true" hidden="false" outlineLevel="0" max="78" min="77" style="0" width="9"/>
    <col collapsed="false" customWidth="true" hidden="false" outlineLevel="0" max="79" min="79" style="0" width="10"/>
    <col collapsed="false" customWidth="true" hidden="false" outlineLevel="0" max="81" min="80" style="0" width="9"/>
    <col collapsed="false" customWidth="true" hidden="false" outlineLevel="0" max="82" min="82" style="0" width="10"/>
    <col collapsed="false" customWidth="true" hidden="false" outlineLevel="0" max="84" min="83" style="0" width="9"/>
    <col collapsed="false" customWidth="true" hidden="false" outlineLevel="0" max="85" min="85" style="0" width="10"/>
    <col collapsed="false" customWidth="true" hidden="false" outlineLevel="0" max="87" min="86" style="0" width="9"/>
    <col collapsed="false" customWidth="true" hidden="false" outlineLevel="0" max="88" min="88" style="0" width="10"/>
    <col collapsed="false" customWidth="true" hidden="false" outlineLevel="0" max="90" min="89" style="0" width="9"/>
    <col collapsed="false" customWidth="true" hidden="false" outlineLevel="0" max="91" min="91" style="0" width="10"/>
    <col collapsed="false" customWidth="true" hidden="false" outlineLevel="0" max="93" min="92" style="0" width="9"/>
    <col collapsed="false" customWidth="true" hidden="false" outlineLevel="0" max="94" min="94" style="0" width="10"/>
    <col collapsed="false" customWidth="true" hidden="false" outlineLevel="0" max="96" min="95" style="0" width="9"/>
    <col collapsed="false" customWidth="true" hidden="false" outlineLevel="0" max="97" min="97" style="0" width="10"/>
    <col collapsed="false" customWidth="true" hidden="false" outlineLevel="0" max="99" min="98" style="0" width="9"/>
    <col collapsed="false" customWidth="true" hidden="false" outlineLevel="0" max="100" min="100" style="0" width="10"/>
    <col collapsed="false" customWidth="true" hidden="false" outlineLevel="0" max="102" min="101" style="0" width="9"/>
    <col collapsed="false" customWidth="true" hidden="false" outlineLevel="0" max="103" min="103" style="0" width="10"/>
    <col collapsed="false" customWidth="true" hidden="false" outlineLevel="0" max="105" min="104" style="0" width="9"/>
    <col collapsed="false" customWidth="true" hidden="false" outlineLevel="0" max="106" min="106" style="0" width="10"/>
    <col collapsed="false" customWidth="true" hidden="false" outlineLevel="0" max="108" min="107" style="0" width="9"/>
    <col collapsed="false" customWidth="true" hidden="false" outlineLevel="0" max="109" min="109" style="0" width="10"/>
    <col collapsed="false" customWidth="true" hidden="false" outlineLevel="0" max="111" min="110" style="0" width="9"/>
    <col collapsed="false" customWidth="true" hidden="false" outlineLevel="0" max="112" min="112" style="0" width="10"/>
    <col collapsed="false" customWidth="true" hidden="false" outlineLevel="0" max="114" min="113" style="0" width="9"/>
    <col collapsed="false" customWidth="true" hidden="false" outlineLevel="0" max="115" min="115" style="0" width="10"/>
    <col collapsed="false" customWidth="true" hidden="false" outlineLevel="0" max="117" min="116" style="0" width="9"/>
    <col collapsed="false" customWidth="true" hidden="false" outlineLevel="0" max="118" min="118" style="0" width="10"/>
    <col collapsed="false" customWidth="true" hidden="false" outlineLevel="0" max="120" min="119" style="0" width="9"/>
    <col collapsed="false" customWidth="true" hidden="false" outlineLevel="0" max="121" min="121" style="0" width="10"/>
    <col collapsed="false" customWidth="true" hidden="false" outlineLevel="0" max="123" min="122" style="0" width="9"/>
    <col collapsed="false" customWidth="true" hidden="false" outlineLevel="0" max="124" min="124" style="0" width="10"/>
    <col collapsed="false" customWidth="true" hidden="false" outlineLevel="0" max="126" min="125" style="0" width="9"/>
    <col collapsed="false" customWidth="true" hidden="false" outlineLevel="0" max="127" min="127" style="0" width="10"/>
    <col collapsed="false" customWidth="true" hidden="false" outlineLevel="0" max="129" min="128" style="0" width="9"/>
    <col collapsed="false" customWidth="true" hidden="false" outlineLevel="0" max="130" min="130" style="0" width="10"/>
    <col collapsed="false" customWidth="true" hidden="false" outlineLevel="0" max="132" min="131" style="0" width="9"/>
    <col collapsed="false" customWidth="true" hidden="false" outlineLevel="0" max="133" min="133" style="0" width="10"/>
    <col collapsed="false" customWidth="true" hidden="false" outlineLevel="0" max="135" min="134" style="0" width="9"/>
    <col collapsed="false" customWidth="true" hidden="false" outlineLevel="0" max="136" min="136" style="0" width="10"/>
    <col collapsed="false" customWidth="true" hidden="false" outlineLevel="0" max="138" min="137" style="0" width="9"/>
    <col collapsed="false" customWidth="true" hidden="false" outlineLevel="0" max="139" min="139" style="0" width="10"/>
    <col collapsed="false" customWidth="true" hidden="false" outlineLevel="0" max="141" min="140" style="0" width="9"/>
    <col collapsed="false" customWidth="true" hidden="false" outlineLevel="0" max="142" min="142" style="0" width="10"/>
    <col collapsed="false" customWidth="true" hidden="false" outlineLevel="0" max="144" min="143" style="0" width="9"/>
    <col collapsed="false" customWidth="true" hidden="false" outlineLevel="0" max="145" min="145" style="0" width="10"/>
    <col collapsed="false" customWidth="true" hidden="false" outlineLevel="0" max="147" min="146" style="0" width="9"/>
    <col collapsed="false" customWidth="true" hidden="false" outlineLevel="0" max="148" min="148" style="0" width="10"/>
    <col collapsed="false" customWidth="true" hidden="false" outlineLevel="0" max="150" min="149" style="0" width="9"/>
    <col collapsed="false" customWidth="true" hidden="false" outlineLevel="0" max="151" min="151" style="0" width="10"/>
    <col collapsed="false" customWidth="true" hidden="false" outlineLevel="0" max="153" min="152" style="0" width="9"/>
    <col collapsed="false" customWidth="true" hidden="false" outlineLevel="0" max="154" min="154" style="0" width="10"/>
    <col collapsed="false" customWidth="true" hidden="false" outlineLevel="0" max="156" min="155" style="0" width="9"/>
    <col collapsed="false" customWidth="true" hidden="false" outlineLevel="0" max="157" min="157" style="0" width="10"/>
    <col collapsed="false" customWidth="true" hidden="false" outlineLevel="0" max="159" min="158" style="0" width="9"/>
    <col collapsed="false" customWidth="true" hidden="false" outlineLevel="0" max="160" min="160" style="0" width="10"/>
    <col collapsed="false" customWidth="true" hidden="false" outlineLevel="0" max="162" min="161" style="0" width="9"/>
    <col collapsed="false" customWidth="true" hidden="false" outlineLevel="0" max="163" min="163" style="0" width="10"/>
    <col collapsed="false" customWidth="true" hidden="false" outlineLevel="0" max="165" min="164" style="0" width="9"/>
    <col collapsed="false" customWidth="true" hidden="false" outlineLevel="0" max="166" min="166" style="0" width="10"/>
    <col collapsed="false" customWidth="true" hidden="false" outlineLevel="0" max="168" min="167" style="0" width="9"/>
    <col collapsed="false" customWidth="true" hidden="false" outlineLevel="0" max="169" min="169" style="0" width="40"/>
    <col collapsed="false" customWidth="true" hidden="false" outlineLevel="0" max="224" min="170" style="0" width="8"/>
  </cols>
  <sheetData>
    <row r="1" customFormat="false" ht="16.15" hidden="false" customHeight="false" outlineLevel="0" collapsed="false">
      <c r="A1" s="6" t="s">
        <v>116</v>
      </c>
    </row>
    <row r="2" customFormat="false" ht="15" hidden="false" customHeight="false" outlineLevel="0" collapsed="false">
      <c r="A2" s="7" t="s">
        <v>117</v>
      </c>
    </row>
    <row r="4" customFormat="false" ht="15" hidden="false" customHeight="false" outlineLevel="0" collapsed="false">
      <c r="A4" s="8"/>
      <c r="B4" s="8"/>
      <c r="C4" s="8"/>
      <c r="D4" s="9" t="s">
        <v>118</v>
      </c>
      <c r="E4" s="9"/>
      <c r="F4" s="9"/>
      <c r="G4" s="9" t="s">
        <v>119</v>
      </c>
      <c r="H4" s="9"/>
      <c r="I4" s="9"/>
      <c r="J4" s="9" t="s">
        <v>120</v>
      </c>
      <c r="K4" s="9"/>
      <c r="L4" s="9"/>
      <c r="M4" s="9" t="s">
        <v>121</v>
      </c>
      <c r="N4" s="9"/>
      <c r="O4" s="9"/>
      <c r="P4" s="9" t="s">
        <v>122</v>
      </c>
      <c r="Q4" s="9"/>
      <c r="R4" s="9"/>
      <c r="S4" s="9" t="s">
        <v>123</v>
      </c>
      <c r="T4" s="9"/>
      <c r="U4" s="9"/>
      <c r="V4" s="9" t="s">
        <v>124</v>
      </c>
      <c r="W4" s="9"/>
      <c r="X4" s="9"/>
      <c r="Y4" s="9" t="s">
        <v>125</v>
      </c>
      <c r="Z4" s="9"/>
      <c r="AA4" s="9"/>
      <c r="AB4" s="9" t="s">
        <v>126</v>
      </c>
      <c r="AC4" s="9"/>
      <c r="AD4" s="9"/>
      <c r="AE4" s="9" t="s">
        <v>127</v>
      </c>
      <c r="AF4" s="9"/>
      <c r="AG4" s="9"/>
      <c r="AH4" s="9" t="s">
        <v>128</v>
      </c>
      <c r="AI4" s="9"/>
      <c r="AJ4" s="9"/>
      <c r="AK4" s="9" t="s">
        <v>129</v>
      </c>
      <c r="AL4" s="9"/>
      <c r="AM4" s="9"/>
      <c r="AN4" s="9" t="s">
        <v>130</v>
      </c>
      <c r="AO4" s="9"/>
      <c r="AP4" s="9"/>
      <c r="AQ4" s="9" t="s">
        <v>131</v>
      </c>
      <c r="AR4" s="9"/>
      <c r="AS4" s="9"/>
      <c r="AT4" s="9" t="s">
        <v>132</v>
      </c>
      <c r="AU4" s="9"/>
      <c r="AV4" s="9"/>
      <c r="AW4" s="9" t="s">
        <v>133</v>
      </c>
      <c r="AX4" s="9"/>
      <c r="AY4" s="9"/>
      <c r="AZ4" s="9" t="s">
        <v>134</v>
      </c>
      <c r="BA4" s="9"/>
      <c r="BB4" s="9"/>
      <c r="BC4" s="9" t="s">
        <v>135</v>
      </c>
      <c r="BD4" s="9"/>
      <c r="BE4" s="9"/>
      <c r="BF4" s="9" t="s">
        <v>136</v>
      </c>
      <c r="BG4" s="9"/>
      <c r="BH4" s="9"/>
      <c r="BI4" s="9" t="s">
        <v>137</v>
      </c>
      <c r="BJ4" s="9"/>
      <c r="BK4" s="9"/>
      <c r="BL4" s="9" t="s">
        <v>138</v>
      </c>
      <c r="BM4" s="9"/>
      <c r="BN4" s="9"/>
      <c r="BO4" s="9" t="s">
        <v>139</v>
      </c>
      <c r="BP4" s="9"/>
      <c r="BQ4" s="9"/>
      <c r="BR4" s="9" t="s">
        <v>140</v>
      </c>
      <c r="BS4" s="9"/>
      <c r="BT4" s="9"/>
      <c r="BU4" s="9" t="s">
        <v>141</v>
      </c>
      <c r="BV4" s="9"/>
      <c r="BW4" s="9"/>
      <c r="BX4" s="9" t="s">
        <v>142</v>
      </c>
      <c r="BY4" s="9"/>
      <c r="BZ4" s="9"/>
      <c r="CA4" s="9" t="s">
        <v>143</v>
      </c>
      <c r="CB4" s="9"/>
      <c r="CC4" s="9"/>
      <c r="CD4" s="9" t="s">
        <v>144</v>
      </c>
      <c r="CE4" s="9"/>
      <c r="CF4" s="9"/>
      <c r="CG4" s="9" t="s">
        <v>145</v>
      </c>
      <c r="CH4" s="9"/>
      <c r="CI4" s="9"/>
      <c r="CJ4" s="9" t="s">
        <v>146</v>
      </c>
      <c r="CK4" s="9"/>
      <c r="CL4" s="9"/>
      <c r="CM4" s="9" t="s">
        <v>147</v>
      </c>
      <c r="CN4" s="9"/>
      <c r="CO4" s="9"/>
      <c r="CP4" s="9" t="s">
        <v>148</v>
      </c>
      <c r="CQ4" s="9"/>
      <c r="CR4" s="9"/>
      <c r="CS4" s="9" t="s">
        <v>149</v>
      </c>
      <c r="CT4" s="9"/>
      <c r="CU4" s="9"/>
      <c r="CV4" s="9" t="s">
        <v>150</v>
      </c>
      <c r="CW4" s="9"/>
      <c r="CX4" s="9"/>
      <c r="CY4" s="9" t="s">
        <v>151</v>
      </c>
      <c r="CZ4" s="9"/>
      <c r="DA4" s="9"/>
      <c r="DB4" s="9" t="s">
        <v>152</v>
      </c>
      <c r="DC4" s="9"/>
      <c r="DD4" s="9"/>
      <c r="DE4" s="9" t="s">
        <v>153</v>
      </c>
      <c r="DF4" s="9"/>
      <c r="DG4" s="9"/>
      <c r="DH4" s="9" t="s">
        <v>154</v>
      </c>
      <c r="DI4" s="9"/>
      <c r="DJ4" s="9"/>
      <c r="DK4" s="9" t="s">
        <v>155</v>
      </c>
      <c r="DL4" s="9"/>
      <c r="DM4" s="9"/>
      <c r="DN4" s="9" t="s">
        <v>156</v>
      </c>
      <c r="DO4" s="9"/>
      <c r="DP4" s="9"/>
      <c r="DQ4" s="9" t="s">
        <v>157</v>
      </c>
      <c r="DR4" s="9"/>
      <c r="DS4" s="9"/>
      <c r="DT4" s="9" t="s">
        <v>158</v>
      </c>
      <c r="DU4" s="9"/>
      <c r="DV4" s="9"/>
      <c r="DW4" s="9" t="s">
        <v>159</v>
      </c>
      <c r="DX4" s="9"/>
      <c r="DY4" s="9"/>
      <c r="DZ4" s="9" t="s">
        <v>160</v>
      </c>
      <c r="EA4" s="9"/>
      <c r="EB4" s="9"/>
      <c r="EC4" s="9" t="s">
        <v>161</v>
      </c>
      <c r="ED4" s="9"/>
      <c r="EE4" s="9"/>
      <c r="EF4" s="9" t="s">
        <v>162</v>
      </c>
      <c r="EG4" s="9"/>
      <c r="EH4" s="9"/>
      <c r="EI4" s="9" t="s">
        <v>163</v>
      </c>
      <c r="EJ4" s="9"/>
      <c r="EK4" s="9"/>
      <c r="EL4" s="9" t="s">
        <v>164</v>
      </c>
      <c r="EM4" s="9"/>
      <c r="EN4" s="9"/>
      <c r="EO4" s="9" t="s">
        <v>165</v>
      </c>
      <c r="EP4" s="9"/>
      <c r="EQ4" s="9"/>
      <c r="ER4" s="9" t="s">
        <v>166</v>
      </c>
      <c r="ES4" s="9"/>
      <c r="ET4" s="9"/>
      <c r="EU4" s="9" t="s">
        <v>167</v>
      </c>
      <c r="EV4" s="9"/>
      <c r="EW4" s="9"/>
      <c r="EX4" s="9" t="s">
        <v>168</v>
      </c>
      <c r="EY4" s="9"/>
      <c r="EZ4" s="9"/>
      <c r="FA4" s="9" t="s">
        <v>169</v>
      </c>
      <c r="FB4" s="9"/>
      <c r="FC4" s="9"/>
      <c r="FD4" s="9" t="s">
        <v>170</v>
      </c>
      <c r="FE4" s="9"/>
      <c r="FF4" s="9"/>
      <c r="FG4" s="9" t="s">
        <v>171</v>
      </c>
      <c r="FH4" s="9"/>
      <c r="FI4" s="9"/>
      <c r="FJ4" s="9" t="s">
        <v>172</v>
      </c>
      <c r="FK4" s="9"/>
      <c r="FL4" s="9"/>
      <c r="FM4" s="8"/>
    </row>
    <row r="5" customFormat="false" ht="15" hidden="false" customHeight="false" outlineLevel="0" collapsed="false">
      <c r="A5" s="10" t="s">
        <v>1</v>
      </c>
      <c r="B5" s="10" t="s">
        <v>173</v>
      </c>
      <c r="C5" s="10" t="s">
        <v>174</v>
      </c>
      <c r="D5" s="10" t="s">
        <v>175</v>
      </c>
      <c r="E5" s="10" t="s">
        <v>176</v>
      </c>
      <c r="F5" s="10" t="s">
        <v>177</v>
      </c>
      <c r="G5" s="10" t="s">
        <v>175</v>
      </c>
      <c r="H5" s="10" t="s">
        <v>176</v>
      </c>
      <c r="I5" s="10" t="s">
        <v>177</v>
      </c>
      <c r="J5" s="10" t="s">
        <v>175</v>
      </c>
      <c r="K5" s="10" t="s">
        <v>176</v>
      </c>
      <c r="L5" s="10" t="s">
        <v>177</v>
      </c>
      <c r="M5" s="10" t="s">
        <v>175</v>
      </c>
      <c r="N5" s="10" t="s">
        <v>176</v>
      </c>
      <c r="O5" s="10" t="s">
        <v>177</v>
      </c>
      <c r="P5" s="10" t="s">
        <v>175</v>
      </c>
      <c r="Q5" s="10" t="s">
        <v>176</v>
      </c>
      <c r="R5" s="10" t="s">
        <v>177</v>
      </c>
      <c r="S5" s="10" t="s">
        <v>175</v>
      </c>
      <c r="T5" s="10" t="s">
        <v>176</v>
      </c>
      <c r="U5" s="10" t="s">
        <v>177</v>
      </c>
      <c r="V5" s="10" t="s">
        <v>175</v>
      </c>
      <c r="W5" s="10" t="s">
        <v>176</v>
      </c>
      <c r="X5" s="10" t="s">
        <v>177</v>
      </c>
      <c r="Y5" s="10" t="s">
        <v>175</v>
      </c>
      <c r="Z5" s="10" t="s">
        <v>176</v>
      </c>
      <c r="AA5" s="10" t="s">
        <v>177</v>
      </c>
      <c r="AB5" s="10" t="s">
        <v>175</v>
      </c>
      <c r="AC5" s="10" t="s">
        <v>176</v>
      </c>
      <c r="AD5" s="10" t="s">
        <v>177</v>
      </c>
      <c r="AE5" s="10" t="s">
        <v>175</v>
      </c>
      <c r="AF5" s="10" t="s">
        <v>176</v>
      </c>
      <c r="AG5" s="10" t="s">
        <v>177</v>
      </c>
      <c r="AH5" s="10" t="s">
        <v>175</v>
      </c>
      <c r="AI5" s="10" t="s">
        <v>176</v>
      </c>
      <c r="AJ5" s="10" t="s">
        <v>177</v>
      </c>
      <c r="AK5" s="10" t="s">
        <v>175</v>
      </c>
      <c r="AL5" s="10" t="s">
        <v>176</v>
      </c>
      <c r="AM5" s="10" t="s">
        <v>177</v>
      </c>
      <c r="AN5" s="10" t="s">
        <v>175</v>
      </c>
      <c r="AO5" s="10" t="s">
        <v>176</v>
      </c>
      <c r="AP5" s="10" t="s">
        <v>177</v>
      </c>
      <c r="AQ5" s="10" t="s">
        <v>175</v>
      </c>
      <c r="AR5" s="10" t="s">
        <v>176</v>
      </c>
      <c r="AS5" s="10" t="s">
        <v>177</v>
      </c>
      <c r="AT5" s="10" t="s">
        <v>175</v>
      </c>
      <c r="AU5" s="10" t="s">
        <v>176</v>
      </c>
      <c r="AV5" s="10" t="s">
        <v>177</v>
      </c>
      <c r="AW5" s="10" t="s">
        <v>175</v>
      </c>
      <c r="AX5" s="10" t="s">
        <v>176</v>
      </c>
      <c r="AY5" s="10" t="s">
        <v>177</v>
      </c>
      <c r="AZ5" s="10" t="s">
        <v>175</v>
      </c>
      <c r="BA5" s="10" t="s">
        <v>176</v>
      </c>
      <c r="BB5" s="10" t="s">
        <v>177</v>
      </c>
      <c r="BC5" s="10" t="s">
        <v>175</v>
      </c>
      <c r="BD5" s="10" t="s">
        <v>176</v>
      </c>
      <c r="BE5" s="10" t="s">
        <v>177</v>
      </c>
      <c r="BF5" s="10" t="s">
        <v>175</v>
      </c>
      <c r="BG5" s="10" t="s">
        <v>176</v>
      </c>
      <c r="BH5" s="10" t="s">
        <v>177</v>
      </c>
      <c r="BI5" s="10" t="s">
        <v>175</v>
      </c>
      <c r="BJ5" s="10" t="s">
        <v>176</v>
      </c>
      <c r="BK5" s="10" t="s">
        <v>177</v>
      </c>
      <c r="BL5" s="10" t="s">
        <v>175</v>
      </c>
      <c r="BM5" s="10" t="s">
        <v>176</v>
      </c>
      <c r="BN5" s="10" t="s">
        <v>177</v>
      </c>
      <c r="BO5" s="10" t="s">
        <v>175</v>
      </c>
      <c r="BP5" s="10" t="s">
        <v>176</v>
      </c>
      <c r="BQ5" s="10" t="s">
        <v>177</v>
      </c>
      <c r="BR5" s="10" t="s">
        <v>175</v>
      </c>
      <c r="BS5" s="10" t="s">
        <v>176</v>
      </c>
      <c r="BT5" s="10" t="s">
        <v>177</v>
      </c>
      <c r="BU5" s="10" t="s">
        <v>175</v>
      </c>
      <c r="BV5" s="10" t="s">
        <v>176</v>
      </c>
      <c r="BW5" s="10" t="s">
        <v>177</v>
      </c>
      <c r="BX5" s="10" t="s">
        <v>175</v>
      </c>
      <c r="BY5" s="10" t="s">
        <v>176</v>
      </c>
      <c r="BZ5" s="10" t="s">
        <v>177</v>
      </c>
      <c r="CA5" s="10" t="s">
        <v>175</v>
      </c>
      <c r="CB5" s="10" t="s">
        <v>176</v>
      </c>
      <c r="CC5" s="10" t="s">
        <v>177</v>
      </c>
      <c r="CD5" s="10" t="s">
        <v>175</v>
      </c>
      <c r="CE5" s="10" t="s">
        <v>176</v>
      </c>
      <c r="CF5" s="10" t="s">
        <v>177</v>
      </c>
      <c r="CG5" s="10" t="s">
        <v>175</v>
      </c>
      <c r="CH5" s="10" t="s">
        <v>176</v>
      </c>
      <c r="CI5" s="10" t="s">
        <v>177</v>
      </c>
      <c r="CJ5" s="10" t="s">
        <v>175</v>
      </c>
      <c r="CK5" s="10" t="s">
        <v>176</v>
      </c>
      <c r="CL5" s="10" t="s">
        <v>177</v>
      </c>
      <c r="CM5" s="10" t="s">
        <v>175</v>
      </c>
      <c r="CN5" s="10" t="s">
        <v>176</v>
      </c>
      <c r="CO5" s="10" t="s">
        <v>177</v>
      </c>
      <c r="CP5" s="10" t="s">
        <v>175</v>
      </c>
      <c r="CQ5" s="10" t="s">
        <v>176</v>
      </c>
      <c r="CR5" s="10" t="s">
        <v>177</v>
      </c>
      <c r="CS5" s="10" t="s">
        <v>175</v>
      </c>
      <c r="CT5" s="10" t="s">
        <v>176</v>
      </c>
      <c r="CU5" s="10" t="s">
        <v>177</v>
      </c>
      <c r="CV5" s="10" t="s">
        <v>175</v>
      </c>
      <c r="CW5" s="10" t="s">
        <v>176</v>
      </c>
      <c r="CX5" s="10" t="s">
        <v>177</v>
      </c>
      <c r="CY5" s="10" t="s">
        <v>175</v>
      </c>
      <c r="CZ5" s="10" t="s">
        <v>176</v>
      </c>
      <c r="DA5" s="10" t="s">
        <v>177</v>
      </c>
      <c r="DB5" s="10" t="s">
        <v>175</v>
      </c>
      <c r="DC5" s="10" t="s">
        <v>176</v>
      </c>
      <c r="DD5" s="10" t="s">
        <v>177</v>
      </c>
      <c r="DE5" s="10" t="s">
        <v>175</v>
      </c>
      <c r="DF5" s="10" t="s">
        <v>176</v>
      </c>
      <c r="DG5" s="10" t="s">
        <v>177</v>
      </c>
      <c r="DH5" s="10" t="s">
        <v>175</v>
      </c>
      <c r="DI5" s="10" t="s">
        <v>176</v>
      </c>
      <c r="DJ5" s="10" t="s">
        <v>177</v>
      </c>
      <c r="DK5" s="10" t="s">
        <v>175</v>
      </c>
      <c r="DL5" s="10" t="s">
        <v>176</v>
      </c>
      <c r="DM5" s="10" t="s">
        <v>177</v>
      </c>
      <c r="DN5" s="10" t="s">
        <v>175</v>
      </c>
      <c r="DO5" s="10" t="s">
        <v>176</v>
      </c>
      <c r="DP5" s="10" t="s">
        <v>177</v>
      </c>
      <c r="DQ5" s="10" t="s">
        <v>175</v>
      </c>
      <c r="DR5" s="10" t="s">
        <v>176</v>
      </c>
      <c r="DS5" s="10" t="s">
        <v>177</v>
      </c>
      <c r="DT5" s="10" t="s">
        <v>175</v>
      </c>
      <c r="DU5" s="10" t="s">
        <v>176</v>
      </c>
      <c r="DV5" s="10" t="s">
        <v>177</v>
      </c>
      <c r="DW5" s="10" t="s">
        <v>175</v>
      </c>
      <c r="DX5" s="10" t="s">
        <v>176</v>
      </c>
      <c r="DY5" s="10" t="s">
        <v>177</v>
      </c>
      <c r="DZ5" s="10" t="s">
        <v>175</v>
      </c>
      <c r="EA5" s="10" t="s">
        <v>176</v>
      </c>
      <c r="EB5" s="10" t="s">
        <v>177</v>
      </c>
      <c r="EC5" s="10" t="s">
        <v>175</v>
      </c>
      <c r="ED5" s="10" t="s">
        <v>176</v>
      </c>
      <c r="EE5" s="10" t="s">
        <v>177</v>
      </c>
      <c r="EF5" s="10" t="s">
        <v>175</v>
      </c>
      <c r="EG5" s="10" t="s">
        <v>176</v>
      </c>
      <c r="EH5" s="10" t="s">
        <v>177</v>
      </c>
      <c r="EI5" s="10" t="s">
        <v>175</v>
      </c>
      <c r="EJ5" s="10" t="s">
        <v>176</v>
      </c>
      <c r="EK5" s="10" t="s">
        <v>177</v>
      </c>
      <c r="EL5" s="10" t="s">
        <v>175</v>
      </c>
      <c r="EM5" s="10" t="s">
        <v>176</v>
      </c>
      <c r="EN5" s="10" t="s">
        <v>177</v>
      </c>
      <c r="EO5" s="10" t="s">
        <v>175</v>
      </c>
      <c r="EP5" s="10" t="s">
        <v>176</v>
      </c>
      <c r="EQ5" s="10" t="s">
        <v>177</v>
      </c>
      <c r="ER5" s="10" t="s">
        <v>175</v>
      </c>
      <c r="ES5" s="10" t="s">
        <v>176</v>
      </c>
      <c r="ET5" s="10" t="s">
        <v>177</v>
      </c>
      <c r="EU5" s="10" t="s">
        <v>175</v>
      </c>
      <c r="EV5" s="10" t="s">
        <v>176</v>
      </c>
      <c r="EW5" s="10" t="s">
        <v>177</v>
      </c>
      <c r="EX5" s="10" t="s">
        <v>175</v>
      </c>
      <c r="EY5" s="10" t="s">
        <v>176</v>
      </c>
      <c r="EZ5" s="10" t="s">
        <v>177</v>
      </c>
      <c r="FA5" s="10" t="s">
        <v>175</v>
      </c>
      <c r="FB5" s="10" t="s">
        <v>176</v>
      </c>
      <c r="FC5" s="10" t="s">
        <v>177</v>
      </c>
      <c r="FD5" s="10" t="s">
        <v>175</v>
      </c>
      <c r="FE5" s="10" t="s">
        <v>176</v>
      </c>
      <c r="FF5" s="10" t="s">
        <v>177</v>
      </c>
      <c r="FG5" s="10" t="s">
        <v>175</v>
      </c>
      <c r="FH5" s="10" t="s">
        <v>176</v>
      </c>
      <c r="FI5" s="10" t="s">
        <v>177</v>
      </c>
      <c r="FJ5" s="10" t="s">
        <v>175</v>
      </c>
      <c r="FK5" s="10" t="s">
        <v>176</v>
      </c>
      <c r="FL5" s="10" t="s">
        <v>177</v>
      </c>
      <c r="FM5" s="10" t="s">
        <v>178</v>
      </c>
      <c r="FO5" s="11" t="s">
        <v>179</v>
      </c>
      <c r="FP5" s="11" t="s">
        <v>180</v>
      </c>
      <c r="FQ5" s="11" t="s">
        <v>181</v>
      </c>
      <c r="FR5" s="11" t="s">
        <v>182</v>
      </c>
      <c r="FS5" s="11" t="s">
        <v>183</v>
      </c>
      <c r="FT5" s="11" t="s">
        <v>184</v>
      </c>
      <c r="FU5" s="11" t="s">
        <v>185</v>
      </c>
      <c r="FV5" s="11" t="s">
        <v>186</v>
      </c>
      <c r="FW5" s="11" t="s">
        <v>187</v>
      </c>
      <c r="FX5" s="11" t="s">
        <v>188</v>
      </c>
      <c r="FY5" s="11" t="s">
        <v>189</v>
      </c>
      <c r="FZ5" s="11" t="s">
        <v>190</v>
      </c>
      <c r="GA5" s="11" t="s">
        <v>191</v>
      </c>
      <c r="GB5" s="11" t="s">
        <v>192</v>
      </c>
      <c r="GC5" s="11" t="s">
        <v>193</v>
      </c>
      <c r="GD5" s="11" t="s">
        <v>194</v>
      </c>
      <c r="GE5" s="11" t="s">
        <v>195</v>
      </c>
      <c r="GF5" s="11" t="s">
        <v>196</v>
      </c>
      <c r="GG5" s="11" t="s">
        <v>197</v>
      </c>
      <c r="GH5" s="11" t="s">
        <v>198</v>
      </c>
      <c r="GI5" s="11" t="s">
        <v>199</v>
      </c>
      <c r="GJ5" s="11" t="s">
        <v>200</v>
      </c>
      <c r="GK5" s="11" t="s">
        <v>201</v>
      </c>
      <c r="GL5" s="11" t="s">
        <v>202</v>
      </c>
      <c r="GM5" s="11" t="s">
        <v>203</v>
      </c>
      <c r="GN5" s="11" t="s">
        <v>204</v>
      </c>
      <c r="GO5" s="11" t="s">
        <v>205</v>
      </c>
      <c r="GP5" s="11" t="s">
        <v>206</v>
      </c>
      <c r="GQ5" s="11" t="s">
        <v>207</v>
      </c>
      <c r="GR5" s="11" t="s">
        <v>208</v>
      </c>
      <c r="GS5" s="11" t="s">
        <v>209</v>
      </c>
      <c r="GT5" s="11" t="s">
        <v>210</v>
      </c>
      <c r="GU5" s="11" t="s">
        <v>211</v>
      </c>
      <c r="GV5" s="11" t="s">
        <v>212</v>
      </c>
      <c r="GW5" s="11" t="s">
        <v>213</v>
      </c>
      <c r="GX5" s="11" t="s">
        <v>214</v>
      </c>
      <c r="GY5" s="11" t="s">
        <v>215</v>
      </c>
      <c r="GZ5" s="11" t="s">
        <v>216</v>
      </c>
      <c r="HA5" s="11" t="s">
        <v>217</v>
      </c>
      <c r="HB5" s="11" t="s">
        <v>218</v>
      </c>
      <c r="HC5" s="11" t="s">
        <v>219</v>
      </c>
      <c r="HD5" s="11" t="s">
        <v>220</v>
      </c>
      <c r="HE5" s="11" t="s">
        <v>221</v>
      </c>
      <c r="HF5" s="11" t="s">
        <v>222</v>
      </c>
      <c r="HG5" s="11" t="s">
        <v>223</v>
      </c>
      <c r="HH5" s="11" t="s">
        <v>224</v>
      </c>
      <c r="HI5" s="11" t="s">
        <v>225</v>
      </c>
      <c r="HJ5" s="11" t="s">
        <v>226</v>
      </c>
      <c r="HK5" s="11" t="s">
        <v>227</v>
      </c>
      <c r="HL5" s="11" t="s">
        <v>228</v>
      </c>
      <c r="HM5" s="11" t="s">
        <v>229</v>
      </c>
      <c r="HN5" s="11" t="s">
        <v>230</v>
      </c>
      <c r="HO5" s="11" t="s">
        <v>231</v>
      </c>
      <c r="HP5" s="11" t="s">
        <v>232</v>
      </c>
      <c r="HQ5" s="11" t="s">
        <v>233</v>
      </c>
    </row>
    <row r="6" customFormat="false" ht="15" hidden="false" customHeight="false" outlineLevel="0" collapsed="false">
      <c r="A6" s="3" t="n">
        <v>1</v>
      </c>
      <c r="B6" s="3" t="s">
        <v>234</v>
      </c>
      <c r="C6" s="12" t="n">
        <f aca="false">'P0Q0 Dasar 2022'!F5</f>
        <v>0.125089056759346</v>
      </c>
      <c r="D6" s="13" t="n">
        <f aca="false">IFERROR(AVERAGEIF('Pemetaan Variant'!$A$5:$A$32,$B6,'Pemetaan Variant'!$P$5:$P$32),"n/a")</f>
        <v>12500</v>
      </c>
      <c r="E6" s="14" t="n">
        <f aca="false">IFERROR(IF(ISNUMBER(D6),(D6-AVERAGEIF('Pemetaan Variant'!$A$5:$A$32,$B6,'Pemetaan Variant'!$D$5:$D$32))/AVERAGEIF('Pemetaan Variant'!$A$5:$A$32,$B6,'Pemetaan Variant'!$D$5:$D$32)*100,"n/a"),"n/a")</f>
        <v>0</v>
      </c>
      <c r="F6" s="4" t="n">
        <f aca="false">IFERROR(IF(ISNUMBER(E6),$C6*E6,"n/a"),"n/a")</f>
        <v>0</v>
      </c>
      <c r="G6" s="13" t="n">
        <f aca="false">IFERROR(AVERAGEIF('Pemetaan Variant'!$A$5:$A$32,$B6,'Pemetaan Variant'!$Q$5:$Q$32),"n/a")</f>
        <v>12500</v>
      </c>
      <c r="H6" s="14" t="n">
        <f aca="false">IFERROR(IF(ISNUMBER(G6),(G6-AVERAGEIF('Pemetaan Variant'!$A$5:$A$32,$B6,'Pemetaan Variant'!$D$5:$D$32))/AVERAGEIF('Pemetaan Variant'!$A$5:$A$32,$B6,'Pemetaan Variant'!$D$5:$D$32)*100,"n/a"),"n/a")</f>
        <v>0</v>
      </c>
      <c r="I6" s="4" t="n">
        <f aca="false">IFERROR(IF(ISNUMBER(H6),$C6*H6,"n/a"),"n/a")</f>
        <v>0</v>
      </c>
      <c r="J6" s="13" t="n">
        <f aca="false">IFERROR(AVERAGEIF('Pemetaan Variant'!$A$5:$A$32,$B6,'Pemetaan Variant'!$R$5:$R$32),"n/a")</f>
        <v>12500</v>
      </c>
      <c r="K6" s="14" t="n">
        <f aca="false">IFERROR(IF(ISNUMBER(J6),(J6-AVERAGEIF('Pemetaan Variant'!$A$5:$A$32,$B6,'Pemetaan Variant'!$D$5:$D$32))/AVERAGEIF('Pemetaan Variant'!$A$5:$A$32,$B6,'Pemetaan Variant'!$D$5:$D$32)*100,"n/a"),"n/a")</f>
        <v>0</v>
      </c>
      <c r="L6" s="4" t="n">
        <f aca="false">IFERROR(IF(ISNUMBER(K6),$C6*K6,"n/a"),"n/a")</f>
        <v>0</v>
      </c>
      <c r="M6" s="13" t="n">
        <f aca="false">IFERROR(AVERAGEIF('Pemetaan Variant'!$A$5:$A$32,$B6,'Pemetaan Variant'!$S$5:$S$32),"n/a")</f>
        <v>12500</v>
      </c>
      <c r="N6" s="14" t="n">
        <f aca="false">IFERROR(IF(ISNUMBER(M6),(M6-AVERAGEIF('Pemetaan Variant'!$A$5:$A$32,$B6,'Pemetaan Variant'!$D$5:$D$32))/AVERAGEIF('Pemetaan Variant'!$A$5:$A$32,$B6,'Pemetaan Variant'!$D$5:$D$32)*100,"n/a"),"n/a")</f>
        <v>0</v>
      </c>
      <c r="O6" s="4" t="n">
        <f aca="false">IFERROR(IF(ISNUMBER(N6),$C6*N6,"n/a"),"n/a")</f>
        <v>0</v>
      </c>
      <c r="P6" s="13" t="n">
        <f aca="false">IFERROR(AVERAGEIF('Pemetaan Variant'!$A$5:$A$32,$B6,'Pemetaan Variant'!$T$5:$T$32),"n/a")</f>
        <v>12500</v>
      </c>
      <c r="Q6" s="14" t="n">
        <f aca="false">IFERROR(IF(ISNUMBER(P6),(P6-AVERAGEIF('Pemetaan Variant'!$A$5:$A$32,$B6,'Pemetaan Variant'!$D$5:$D$32))/AVERAGEIF('Pemetaan Variant'!$A$5:$A$32,$B6,'Pemetaan Variant'!$D$5:$D$32)*100,"n/a"),"n/a")</f>
        <v>0</v>
      </c>
      <c r="R6" s="4" t="n">
        <f aca="false">IFERROR(IF(ISNUMBER(Q6),$C6*Q6,"n/a"),"n/a")</f>
        <v>0</v>
      </c>
      <c r="S6" s="13" t="n">
        <f aca="false">IFERROR(AVERAGEIF('Pemetaan Variant'!$A$5:$A$32,$B6,'Pemetaan Variant'!$U$5:$U$32),"n/a")</f>
        <v>12500</v>
      </c>
      <c r="T6" s="14" t="n">
        <f aca="false">IFERROR(IF(ISNUMBER(S6),(S6-AVERAGEIF('Pemetaan Variant'!$A$5:$A$32,$B6,'Pemetaan Variant'!$E$5:$E$32))/AVERAGEIF('Pemetaan Variant'!$A$5:$A$32,$B6,'Pemetaan Variant'!$E$5:$E$32)*100,"n/a"),"n/a")</f>
        <v>0</v>
      </c>
      <c r="U6" s="4" t="n">
        <f aca="false">IFERROR(IF(ISNUMBER(T6),$C6*T6,"n/a"),"n/a")</f>
        <v>0</v>
      </c>
      <c r="V6" s="13" t="n">
        <f aca="false">IFERROR(AVERAGEIF('Pemetaan Variant'!$A$5:$A$32,$B6,'Pemetaan Variant'!$V$5:$V$32),"n/a")</f>
        <v>12500</v>
      </c>
      <c r="W6" s="14" t="n">
        <f aca="false">IFERROR(IF(ISNUMBER(V6),(V6-AVERAGEIF('Pemetaan Variant'!$A$5:$A$32,$B6,'Pemetaan Variant'!$E$5:$E$32))/AVERAGEIF('Pemetaan Variant'!$A$5:$A$32,$B6,'Pemetaan Variant'!$E$5:$E$32)*100,"n/a"),"n/a")</f>
        <v>0</v>
      </c>
      <c r="X6" s="4" t="n">
        <f aca="false">IFERROR(IF(ISNUMBER(W6),$C6*W6,"n/a"),"n/a")</f>
        <v>0</v>
      </c>
      <c r="Y6" s="13" t="n">
        <f aca="false">IFERROR(AVERAGEIF('Pemetaan Variant'!$A$5:$A$32,$B6,'Pemetaan Variant'!$W$5:$W$32),"n/a")</f>
        <v>12500</v>
      </c>
      <c r="Z6" s="14" t="n">
        <f aca="false">IFERROR(IF(ISNUMBER(Y6),(Y6-AVERAGEIF('Pemetaan Variant'!$A$5:$A$32,$B6,'Pemetaan Variant'!$E$5:$E$32))/AVERAGEIF('Pemetaan Variant'!$A$5:$A$32,$B6,'Pemetaan Variant'!$E$5:$E$32)*100,"n/a"),"n/a")</f>
        <v>0</v>
      </c>
      <c r="AA6" s="4" t="n">
        <f aca="false">IFERROR(IF(ISNUMBER(Z6),$C6*Z6,"n/a"),"n/a")</f>
        <v>0</v>
      </c>
      <c r="AB6" s="13" t="n">
        <f aca="false">IFERROR(AVERAGEIF('Pemetaan Variant'!$A$5:$A$32,$B6,'Pemetaan Variant'!$X$5:$X$32),"n/a")</f>
        <v>12500</v>
      </c>
      <c r="AC6" s="14" t="n">
        <f aca="false">IFERROR(IF(ISNUMBER(AB6),(AB6-AVERAGEIF('Pemetaan Variant'!$A$5:$A$32,$B6,'Pemetaan Variant'!$E$5:$E$32))/AVERAGEIF('Pemetaan Variant'!$A$5:$A$32,$B6,'Pemetaan Variant'!$E$5:$E$32)*100,"n/a"),"n/a")</f>
        <v>0</v>
      </c>
      <c r="AD6" s="4" t="n">
        <f aca="false">IFERROR(IF(ISNUMBER(AC6),$C6*AC6,"n/a"),"n/a")</f>
        <v>0</v>
      </c>
      <c r="AE6" s="13" t="n">
        <f aca="false">IFERROR(AVERAGEIF('Pemetaan Variant'!$A$5:$A$32,$B6,'Pemetaan Variant'!$Y$5:$Y$32),"n/a")</f>
        <v>12500</v>
      </c>
      <c r="AF6" s="14" t="n">
        <f aca="false">IFERROR(IF(ISNUMBER(AE6),(AE6-AVERAGEIF('Pemetaan Variant'!$A$5:$A$32,$B6,'Pemetaan Variant'!$F$5:$F$32))/AVERAGEIF('Pemetaan Variant'!$A$5:$A$32,$B6,'Pemetaan Variant'!$F$5:$F$32)*100,"n/a"),"n/a")</f>
        <v>0</v>
      </c>
      <c r="AG6" s="4" t="n">
        <f aca="false">IFERROR(IF(ISNUMBER(AF6),$C6*AF6,"n/a"),"n/a")</f>
        <v>0</v>
      </c>
      <c r="AH6" s="13" t="n">
        <f aca="false">IFERROR(AVERAGEIF('Pemetaan Variant'!$A$5:$A$32,$B6,'Pemetaan Variant'!$Z$5:$Z$32),"n/a")</f>
        <v>12500</v>
      </c>
      <c r="AI6" s="14" t="n">
        <f aca="false">IFERROR(IF(ISNUMBER(AH6),(AH6-AVERAGEIF('Pemetaan Variant'!$A$5:$A$32,$B6,'Pemetaan Variant'!$F$5:$F$32))/AVERAGEIF('Pemetaan Variant'!$A$5:$A$32,$B6,'Pemetaan Variant'!$F$5:$F$32)*100,"n/a"),"n/a")</f>
        <v>0</v>
      </c>
      <c r="AJ6" s="4" t="n">
        <f aca="false">IFERROR(IF(ISNUMBER(AI6),$C6*AI6,"n/a"),"n/a")</f>
        <v>0</v>
      </c>
      <c r="AK6" s="13" t="n">
        <f aca="false">IFERROR(AVERAGEIF('Pemetaan Variant'!$A$5:$A$32,$B6,'Pemetaan Variant'!$AA$5:$AA$32),"n/a")</f>
        <v>12500</v>
      </c>
      <c r="AL6" s="14" t="n">
        <f aca="false">IFERROR(IF(ISNUMBER(AK6),(AK6-AVERAGEIF('Pemetaan Variant'!$A$5:$A$32,$B6,'Pemetaan Variant'!$F$5:$F$32))/AVERAGEIF('Pemetaan Variant'!$A$5:$A$32,$B6,'Pemetaan Variant'!$F$5:$F$32)*100,"n/a"),"n/a")</f>
        <v>0</v>
      </c>
      <c r="AM6" s="4" t="n">
        <f aca="false">IFERROR(IF(ISNUMBER(AL6),$C6*AL6,"n/a"),"n/a")</f>
        <v>0</v>
      </c>
      <c r="AN6" s="13" t="n">
        <f aca="false">IFERROR(AVERAGEIF('Pemetaan Variant'!$A$5:$A$32,$B6,'Pemetaan Variant'!$AB$5:$AB$32),"n/a")</f>
        <v>12500</v>
      </c>
      <c r="AO6" s="14" t="n">
        <f aca="false">IFERROR(IF(ISNUMBER(AN6),(AN6-AVERAGEIF('Pemetaan Variant'!$A$5:$A$32,$B6,'Pemetaan Variant'!$F$5:$F$32))/AVERAGEIF('Pemetaan Variant'!$A$5:$A$32,$B6,'Pemetaan Variant'!$F$5:$F$32)*100,"n/a"),"n/a")</f>
        <v>0</v>
      </c>
      <c r="AP6" s="4" t="n">
        <f aca="false">IFERROR(IF(ISNUMBER(AO6),$C6*AO6,"n/a"),"n/a")</f>
        <v>0</v>
      </c>
      <c r="AQ6" s="13" t="str">
        <f aca="false">IFERROR(AVERAGEIF('Pemetaan Variant'!$A$5:$A$32,$B6,'Pemetaan Variant'!$AC$5:$AC$32),"n/a")</f>
        <v>n/a</v>
      </c>
      <c r="AR6" s="14" t="str">
        <f aca="false">IFERROR(IF(ISNUMBER(AQ6),(AQ6-AVERAGEIF('Pemetaan Variant'!$A$5:$A$32,$B6,'Pemetaan Variant'!$F$5:$F$32))/AVERAGEIF('Pemetaan Variant'!$A$5:$A$32,$B6,'Pemetaan Variant'!$F$5:$F$32)*100,"n/a"),"n/a")</f>
        <v>n/a</v>
      </c>
      <c r="AS6" s="4" t="str">
        <f aca="false">IFERROR(IF(ISNUMBER(AR6),$C6*AR6,"n/a"),"n/a")</f>
        <v>n/a</v>
      </c>
      <c r="AT6" s="13" t="str">
        <f aca="false">IFERROR(AVERAGEIF('Pemetaan Variant'!$A$5:$A$32,$B6,'Pemetaan Variant'!$AD$5:$AD$32),"n/a")</f>
        <v>n/a</v>
      </c>
      <c r="AU6" s="14" t="str">
        <f aca="false">IFERROR(IF(ISNUMBER(AT6),(AT6-AVERAGEIF('Pemetaan Variant'!$A$5:$A$32,$B6,'Pemetaan Variant'!$G$5:$G$32))/AVERAGEIF('Pemetaan Variant'!$A$5:$A$32,$B6,'Pemetaan Variant'!$G$5:$G$32)*100,"n/a"),"n/a")</f>
        <v>n/a</v>
      </c>
      <c r="AV6" s="4" t="str">
        <f aca="false">IFERROR(IF(ISNUMBER(AU6),$C6*AU6,"n/a"),"n/a")</f>
        <v>n/a</v>
      </c>
      <c r="AW6" s="13" t="n">
        <f aca="false">IFERROR(AVERAGEIF('Pemetaan Variant'!$A$5:$A$32,$B6,'Pemetaan Variant'!$AE$5:$AE$32),"n/a")</f>
        <v>12500</v>
      </c>
      <c r="AX6" s="14" t="n">
        <f aca="false">IFERROR(IF(ISNUMBER(AW6),(AW6-AVERAGEIF('Pemetaan Variant'!$A$5:$A$32,$B6,'Pemetaan Variant'!$G$5:$G$32))/AVERAGEIF('Pemetaan Variant'!$A$5:$A$32,$B6,'Pemetaan Variant'!$G$5:$G$32)*100,"n/a"),"n/a")</f>
        <v>0</v>
      </c>
      <c r="AY6" s="4" t="n">
        <f aca="false">IFERROR(IF(ISNUMBER(AX6),$C6*AX6,"n/a"),"n/a")</f>
        <v>0</v>
      </c>
      <c r="AZ6" s="13" t="n">
        <f aca="false">IFERROR(AVERAGEIF('Pemetaan Variant'!$A$5:$A$32,$B6,'Pemetaan Variant'!$AF$5:$AF$32),"n/a")</f>
        <v>12500</v>
      </c>
      <c r="BA6" s="14" t="n">
        <f aca="false">IFERROR(IF(ISNUMBER(AZ6),(AZ6-AVERAGEIF('Pemetaan Variant'!$A$5:$A$32,$B6,'Pemetaan Variant'!$G$5:$G$32))/AVERAGEIF('Pemetaan Variant'!$A$5:$A$32,$B6,'Pemetaan Variant'!$G$5:$G$32)*100,"n/a"),"n/a")</f>
        <v>0</v>
      </c>
      <c r="BB6" s="4" t="n">
        <f aca="false">IFERROR(IF(ISNUMBER(BA6),$C6*BA6,"n/a"),"n/a")</f>
        <v>0</v>
      </c>
      <c r="BC6" s="13" t="n">
        <f aca="false">IFERROR(AVERAGEIF('Pemetaan Variant'!$A$5:$A$32,$B6,'Pemetaan Variant'!$AG$5:$AG$32),"n/a")</f>
        <v>12500</v>
      </c>
      <c r="BD6" s="14" t="n">
        <f aca="false">IFERROR(IF(ISNUMBER(BC6),(BC6-AVERAGEIF('Pemetaan Variant'!$A$5:$A$32,$B6,'Pemetaan Variant'!$G$5:$G$32))/AVERAGEIF('Pemetaan Variant'!$A$5:$A$32,$B6,'Pemetaan Variant'!$G$5:$G$32)*100,"n/a"),"n/a")</f>
        <v>0</v>
      </c>
      <c r="BE6" s="4" t="n">
        <f aca="false">IFERROR(IF(ISNUMBER(BD6),$C6*BD6,"n/a"),"n/a")</f>
        <v>0</v>
      </c>
      <c r="BF6" s="13" t="n">
        <f aca="false">IFERROR(AVERAGEIF('Pemetaan Variant'!$A$5:$A$32,$B6,'Pemetaan Variant'!$AH$5:$AH$32),"n/a")</f>
        <v>12500</v>
      </c>
      <c r="BG6" s="14" t="n">
        <f aca="false">IFERROR(IF(ISNUMBER(BF6),(BF6-AVERAGEIF('Pemetaan Variant'!$A$5:$A$32,$B6,'Pemetaan Variant'!$G$5:$G$32))/AVERAGEIF('Pemetaan Variant'!$A$5:$A$32,$B6,'Pemetaan Variant'!$G$5:$G$32)*100,"n/a"),"n/a")</f>
        <v>0</v>
      </c>
      <c r="BH6" s="4" t="n">
        <f aca="false">IFERROR(IF(ISNUMBER(BG6),$C6*BG6,"n/a"),"n/a")</f>
        <v>0</v>
      </c>
      <c r="BI6" s="13" t="n">
        <f aca="false">IFERROR(AVERAGEIF('Pemetaan Variant'!$A$5:$A$32,$B6,'Pemetaan Variant'!$AI$5:$AI$32),"n/a")</f>
        <v>12500</v>
      </c>
      <c r="BJ6" s="14" t="n">
        <f aca="false">IFERROR(IF(ISNUMBER(BI6),(BI6-AVERAGEIF('Pemetaan Variant'!$A$5:$A$32,$B6,'Pemetaan Variant'!$H$5:$H$32))/AVERAGEIF('Pemetaan Variant'!$A$5:$A$32,$B6,'Pemetaan Variant'!$H$5:$H$32)*100,"n/a"),"n/a")</f>
        <v>0</v>
      </c>
      <c r="BK6" s="4" t="n">
        <f aca="false">IFERROR(IF(ISNUMBER(BJ6),$C6*BJ6,"n/a"),"n/a")</f>
        <v>0</v>
      </c>
      <c r="BL6" s="13" t="n">
        <f aca="false">IFERROR(AVERAGEIF('Pemetaan Variant'!$A$5:$A$32,$B6,'Pemetaan Variant'!$AJ$5:$AJ$32),"n/a")</f>
        <v>12500</v>
      </c>
      <c r="BM6" s="14" t="n">
        <f aca="false">IFERROR(IF(ISNUMBER(BL6),(BL6-AVERAGEIF('Pemetaan Variant'!$A$5:$A$32,$B6,'Pemetaan Variant'!$H$5:$H$32))/AVERAGEIF('Pemetaan Variant'!$A$5:$A$32,$B6,'Pemetaan Variant'!$H$5:$H$32)*100,"n/a"),"n/a")</f>
        <v>0</v>
      </c>
      <c r="BN6" s="4" t="n">
        <f aca="false">IFERROR(IF(ISNUMBER(BM6),$C6*BM6,"n/a"),"n/a")</f>
        <v>0</v>
      </c>
      <c r="BO6" s="13" t="n">
        <f aca="false">IFERROR(AVERAGEIF('Pemetaan Variant'!$A$5:$A$32,$B6,'Pemetaan Variant'!$AK$5:$AK$32),"n/a")</f>
        <v>12500</v>
      </c>
      <c r="BP6" s="14" t="n">
        <f aca="false">IFERROR(IF(ISNUMBER(BO6),(BO6-AVERAGEIF('Pemetaan Variant'!$A$5:$A$32,$B6,'Pemetaan Variant'!$H$5:$H$32))/AVERAGEIF('Pemetaan Variant'!$A$5:$A$32,$B6,'Pemetaan Variant'!$H$5:$H$32)*100,"n/a"),"n/a")</f>
        <v>0</v>
      </c>
      <c r="BQ6" s="4" t="n">
        <f aca="false">IFERROR(IF(ISNUMBER(BP6),$C6*BP6,"n/a"),"n/a")</f>
        <v>0</v>
      </c>
      <c r="BR6" s="13" t="n">
        <f aca="false">IFERROR(AVERAGEIF('Pemetaan Variant'!$A$5:$A$32,$B6,'Pemetaan Variant'!$AL$5:$AL$32),"n/a")</f>
        <v>12500</v>
      </c>
      <c r="BS6" s="14" t="n">
        <f aca="false">IFERROR(IF(ISNUMBER(BR6),(BR6-AVERAGEIF('Pemetaan Variant'!$A$5:$A$32,$B6,'Pemetaan Variant'!$H$5:$H$32))/AVERAGEIF('Pemetaan Variant'!$A$5:$A$32,$B6,'Pemetaan Variant'!$H$5:$H$32)*100,"n/a"),"n/a")</f>
        <v>0</v>
      </c>
      <c r="BT6" s="4" t="n">
        <f aca="false">IFERROR(IF(ISNUMBER(BS6),$C6*BS6,"n/a"),"n/a")</f>
        <v>0</v>
      </c>
      <c r="BU6" s="13" t="n">
        <f aca="false">IFERROR(AVERAGEIF('Pemetaan Variant'!$A$5:$A$32,$B6,'Pemetaan Variant'!$AM$5:$AM$32),"n/a")</f>
        <v>12500</v>
      </c>
      <c r="BV6" s="14" t="n">
        <f aca="false">IFERROR(IF(ISNUMBER(BU6),(BU6-AVERAGEIF('Pemetaan Variant'!$A$5:$A$32,$B6,'Pemetaan Variant'!$H$5:$H$32))/AVERAGEIF('Pemetaan Variant'!$A$5:$A$32,$B6,'Pemetaan Variant'!$H$5:$H$32)*100,"n/a"),"n/a")</f>
        <v>0</v>
      </c>
      <c r="BW6" s="4" t="n">
        <f aca="false">IFERROR(IF(ISNUMBER(BV6),$C6*BV6,"n/a"),"n/a")</f>
        <v>0</v>
      </c>
      <c r="BX6" s="13" t="n">
        <f aca="false">IFERROR(AVERAGEIF('Pemetaan Variant'!$A$5:$A$32,$B6,'Pemetaan Variant'!$AN$5:$AN$32),"n/a")</f>
        <v>12500</v>
      </c>
      <c r="BY6" s="14" t="n">
        <f aca="false">IFERROR(IF(ISNUMBER(BX6),(BX6-AVERAGEIF('Pemetaan Variant'!$A$5:$A$32,$B6,'Pemetaan Variant'!$I$5:$I$32))/AVERAGEIF('Pemetaan Variant'!$A$5:$A$32,$B6,'Pemetaan Variant'!$I$5:$I$32)*100,"n/a"),"n/a")</f>
        <v>0</v>
      </c>
      <c r="BZ6" s="4" t="n">
        <f aca="false">IFERROR(IF(ISNUMBER(BY6),$C6*BY6,"n/a"),"n/a")</f>
        <v>0</v>
      </c>
      <c r="CA6" s="13" t="n">
        <f aca="false">IFERROR(AVERAGEIF('Pemetaan Variant'!$A$5:$A$32,$B6,'Pemetaan Variant'!$AO$5:$AO$32),"n/a")</f>
        <v>12500</v>
      </c>
      <c r="CB6" s="14" t="n">
        <f aca="false">IFERROR(IF(ISNUMBER(CA6),(CA6-AVERAGEIF('Pemetaan Variant'!$A$5:$A$32,$B6,'Pemetaan Variant'!$I$5:$I$32))/AVERAGEIF('Pemetaan Variant'!$A$5:$A$32,$B6,'Pemetaan Variant'!$I$5:$I$32)*100,"n/a"),"n/a")</f>
        <v>0</v>
      </c>
      <c r="CC6" s="4" t="n">
        <f aca="false">IFERROR(IF(ISNUMBER(CB6),$C6*CB6,"n/a"),"n/a")</f>
        <v>0</v>
      </c>
      <c r="CD6" s="13" t="n">
        <f aca="false">IFERROR(AVERAGEIF('Pemetaan Variant'!$A$5:$A$32,$B6,'Pemetaan Variant'!$AP$5:$AP$32),"n/a")</f>
        <v>12500</v>
      </c>
      <c r="CE6" s="14" t="n">
        <f aca="false">IFERROR(IF(ISNUMBER(CD6),(CD6-AVERAGEIF('Pemetaan Variant'!$A$5:$A$32,$B6,'Pemetaan Variant'!$I$5:$I$32))/AVERAGEIF('Pemetaan Variant'!$A$5:$A$32,$B6,'Pemetaan Variant'!$I$5:$I$32)*100,"n/a"),"n/a")</f>
        <v>0</v>
      </c>
      <c r="CF6" s="4" t="n">
        <f aca="false">IFERROR(IF(ISNUMBER(CE6),$C6*CE6,"n/a"),"n/a")</f>
        <v>0</v>
      </c>
      <c r="CG6" s="13" t="n">
        <f aca="false">IFERROR(AVERAGEIF('Pemetaan Variant'!$A$5:$A$32,$B6,'Pemetaan Variant'!$AQ$5:$AQ$32),"n/a")</f>
        <v>12500</v>
      </c>
      <c r="CH6" s="14" t="n">
        <f aca="false">IFERROR(IF(ISNUMBER(CG6),(CG6-AVERAGEIF('Pemetaan Variant'!$A$5:$A$32,$B6,'Pemetaan Variant'!$I$5:$I$32))/AVERAGEIF('Pemetaan Variant'!$A$5:$A$32,$B6,'Pemetaan Variant'!$I$5:$I$32)*100,"n/a"),"n/a")</f>
        <v>0</v>
      </c>
      <c r="CI6" s="4" t="n">
        <f aca="false">IFERROR(IF(ISNUMBER(CH6),$C6*CH6,"n/a"),"n/a")</f>
        <v>0</v>
      </c>
      <c r="CJ6" s="13" t="n">
        <f aca="false">IFERROR(AVERAGEIF('Pemetaan Variant'!$A$5:$A$32,$B6,'Pemetaan Variant'!$AR$5:$AR$32),"n/a")</f>
        <v>12500</v>
      </c>
      <c r="CK6" s="14" t="n">
        <f aca="false">IFERROR(IF(ISNUMBER(CJ6),(CJ6-AVERAGEIF('Pemetaan Variant'!$A$5:$A$32,$B6,'Pemetaan Variant'!$J$5:$J$32))/AVERAGEIF('Pemetaan Variant'!$A$5:$A$32,$B6,'Pemetaan Variant'!$J$5:$J$32)*100,"n/a"),"n/a")</f>
        <v>0</v>
      </c>
      <c r="CL6" s="4" t="n">
        <f aca="false">IFERROR(IF(ISNUMBER(CK6),$C6*CK6,"n/a"),"n/a")</f>
        <v>0</v>
      </c>
      <c r="CM6" s="13" t="n">
        <f aca="false">IFERROR(AVERAGEIF('Pemetaan Variant'!$A$5:$A$32,$B6,'Pemetaan Variant'!$AS$5:$AS$32),"n/a")</f>
        <v>12500</v>
      </c>
      <c r="CN6" s="14" t="n">
        <f aca="false">IFERROR(IF(ISNUMBER(CM6),(CM6-AVERAGEIF('Pemetaan Variant'!$A$5:$A$32,$B6,'Pemetaan Variant'!$J$5:$J$32))/AVERAGEIF('Pemetaan Variant'!$A$5:$A$32,$B6,'Pemetaan Variant'!$J$5:$J$32)*100,"n/a"),"n/a")</f>
        <v>0</v>
      </c>
      <c r="CO6" s="4" t="n">
        <f aca="false">IFERROR(IF(ISNUMBER(CN6),$C6*CN6,"n/a"),"n/a")</f>
        <v>0</v>
      </c>
      <c r="CP6" s="13" t="n">
        <f aca="false">IFERROR(AVERAGEIF('Pemetaan Variant'!$A$5:$A$32,$B6,'Pemetaan Variant'!$AT$5:$AT$32),"n/a")</f>
        <v>12500</v>
      </c>
      <c r="CQ6" s="14" t="n">
        <f aca="false">IFERROR(IF(ISNUMBER(CP6),(CP6-AVERAGEIF('Pemetaan Variant'!$A$5:$A$32,$B6,'Pemetaan Variant'!$J$5:$J$32))/AVERAGEIF('Pemetaan Variant'!$A$5:$A$32,$B6,'Pemetaan Variant'!$J$5:$J$32)*100,"n/a"),"n/a")</f>
        <v>0</v>
      </c>
      <c r="CR6" s="4" t="n">
        <f aca="false">IFERROR(IF(ISNUMBER(CQ6),$C6*CQ6,"n/a"),"n/a")</f>
        <v>0</v>
      </c>
      <c r="CS6" s="13" t="n">
        <f aca="false">IFERROR(AVERAGEIF('Pemetaan Variant'!$A$5:$A$32,$B6,'Pemetaan Variant'!$AU$5:$AU$32),"n/a")</f>
        <v>13166.6666666667</v>
      </c>
      <c r="CT6" s="14" t="n">
        <f aca="false">IFERROR(IF(ISNUMBER(CS6),(CS6-AVERAGEIF('Pemetaan Variant'!$A$5:$A$32,$B6,'Pemetaan Variant'!$J$5:$J$32))/AVERAGEIF('Pemetaan Variant'!$A$5:$A$32,$B6,'Pemetaan Variant'!$J$5:$J$32)*100,"n/a"),"n/a")</f>
        <v>5.33333333333333</v>
      </c>
      <c r="CU6" s="4" t="n">
        <f aca="false">IFERROR(IF(ISNUMBER(CT6),$C6*CT6,"n/a"),"n/a")</f>
        <v>0.667141636049845</v>
      </c>
      <c r="CV6" s="13" t="n">
        <f aca="false">IFERROR(AVERAGEIF('Pemetaan Variant'!$A$5:$A$32,$B6,'Pemetaan Variant'!$AV$5:$AV$32),"n/a")</f>
        <v>13166.6666666667</v>
      </c>
      <c r="CW6" s="14" t="n">
        <f aca="false">IFERROR(IF(ISNUMBER(CV6),(CV6-AVERAGEIF('Pemetaan Variant'!$A$5:$A$32,$B6,'Pemetaan Variant'!$J$5:$J$32))/AVERAGEIF('Pemetaan Variant'!$A$5:$A$32,$B6,'Pemetaan Variant'!$J$5:$J$32)*100,"n/a"),"n/a")</f>
        <v>5.33333333333333</v>
      </c>
      <c r="CX6" s="4" t="n">
        <f aca="false">IFERROR(IF(ISNUMBER(CW6),$C6*CW6,"n/a"),"n/a")</f>
        <v>0.667141636049845</v>
      </c>
      <c r="CY6" s="13" t="n">
        <f aca="false">IFERROR(AVERAGEIF('Pemetaan Variant'!$A$5:$A$32,$B6,'Pemetaan Variant'!$AW$5:$AW$32),"n/a")</f>
        <v>13000</v>
      </c>
      <c r="CZ6" s="14" t="n">
        <f aca="false">IFERROR(IF(ISNUMBER(CY6),(CY6-AVERAGEIF('Pemetaan Variant'!$A$5:$A$32,$B6,'Pemetaan Variant'!$K$5:$K$32))/AVERAGEIF('Pemetaan Variant'!$A$5:$A$32,$B6,'Pemetaan Variant'!$K$5:$K$32)*100,"n/a"),"n/a")</f>
        <v>1.87393526405451</v>
      </c>
      <c r="DA6" s="4" t="n">
        <f aca="false">IFERROR(IF(ISNUMBER(CZ6),$C6*CZ6,"n/a"),"n/a")</f>
        <v>0.234408794608655</v>
      </c>
      <c r="DB6" s="13" t="n">
        <f aca="false">IFERROR(AVERAGEIF('Pemetaan Variant'!$A$5:$A$32,$B6,'Pemetaan Variant'!$AX$5:$AX$32),"n/a")</f>
        <v>13000</v>
      </c>
      <c r="DC6" s="14" t="n">
        <f aca="false">IFERROR(IF(ISNUMBER(DB6),(DB6-AVERAGEIF('Pemetaan Variant'!$A$5:$A$32,$B6,'Pemetaan Variant'!$K$5:$K$32))/AVERAGEIF('Pemetaan Variant'!$A$5:$A$32,$B6,'Pemetaan Variant'!$K$5:$K$32)*100,"n/a"),"n/a")</f>
        <v>1.87393526405451</v>
      </c>
      <c r="DD6" s="4" t="n">
        <f aca="false">IFERROR(IF(ISNUMBER(DC6),$C6*DC6,"n/a"),"n/a")</f>
        <v>0.234408794608655</v>
      </c>
      <c r="DE6" s="13" t="n">
        <f aca="false">IFERROR(AVERAGEIF('Pemetaan Variant'!$A$5:$A$32,$B6,'Pemetaan Variant'!$AY$5:$AY$32),"n/a")</f>
        <v>13000</v>
      </c>
      <c r="DF6" s="14" t="n">
        <f aca="false">IFERROR(IF(ISNUMBER(DE6),(DE6-AVERAGEIF('Pemetaan Variant'!$A$5:$A$32,$B6,'Pemetaan Variant'!$K$5:$K$32))/AVERAGEIF('Pemetaan Variant'!$A$5:$A$32,$B6,'Pemetaan Variant'!$K$5:$K$32)*100,"n/a"),"n/a")</f>
        <v>1.87393526405451</v>
      </c>
      <c r="DG6" s="4" t="n">
        <f aca="false">IFERROR(IF(ISNUMBER(DF6),$C6*DF6,"n/a"),"n/a")</f>
        <v>0.234408794608655</v>
      </c>
      <c r="DH6" s="13" t="n">
        <f aca="false">IFERROR(AVERAGEIF('Pemetaan Variant'!$A$5:$A$32,$B6,'Pemetaan Variant'!$AZ$5:$AZ$32),"n/a")</f>
        <v>13000</v>
      </c>
      <c r="DI6" s="14" t="n">
        <f aca="false">IFERROR(IF(ISNUMBER(DH6),(DH6-AVERAGEIF('Pemetaan Variant'!$A$5:$A$32,$B6,'Pemetaan Variant'!$K$5:$K$32))/AVERAGEIF('Pemetaan Variant'!$A$5:$A$32,$B6,'Pemetaan Variant'!$K$5:$K$32)*100,"n/a"),"n/a")</f>
        <v>1.87393526405451</v>
      </c>
      <c r="DJ6" s="4" t="n">
        <f aca="false">IFERROR(IF(ISNUMBER(DI6),$C6*DI6,"n/a"),"n/a")</f>
        <v>0.234408794608655</v>
      </c>
      <c r="DK6" s="13" t="n">
        <f aca="false">IFERROR(AVERAGEIF('Pemetaan Variant'!$A$5:$A$32,$B6,'Pemetaan Variant'!$BA$5:$BA$32),"n/a")</f>
        <v>13000</v>
      </c>
      <c r="DL6" s="14" t="n">
        <f aca="false">IFERROR(IF(ISNUMBER(DK6),(DK6-AVERAGEIF('Pemetaan Variant'!$A$5:$A$32,$B6,'Pemetaan Variant'!$L$5:$L$32))/AVERAGEIF('Pemetaan Variant'!$A$5:$A$32,$B6,'Pemetaan Variant'!$L$5:$L$32)*100,"n/a"),"n/a")</f>
        <v>0</v>
      </c>
      <c r="DM6" s="4" t="n">
        <f aca="false">IFERROR(IF(ISNUMBER(DL6),$C6*DL6,"n/a"),"n/a")</f>
        <v>0</v>
      </c>
      <c r="DN6" s="13" t="n">
        <f aca="false">IFERROR(AVERAGEIF('Pemetaan Variant'!$A$5:$A$32,$B6,'Pemetaan Variant'!$BB$5:$BB$32),"n/a")</f>
        <v>13000</v>
      </c>
      <c r="DO6" s="14" t="n">
        <f aca="false">IFERROR(IF(ISNUMBER(DN6),(DN6-AVERAGEIF('Pemetaan Variant'!$A$5:$A$32,$B6,'Pemetaan Variant'!$L$5:$L$32))/AVERAGEIF('Pemetaan Variant'!$A$5:$A$32,$B6,'Pemetaan Variant'!$L$5:$L$32)*100,"n/a"),"n/a")</f>
        <v>0</v>
      </c>
      <c r="DP6" s="4" t="n">
        <f aca="false">IFERROR(IF(ISNUMBER(DO6),$C6*DO6,"n/a"),"n/a")</f>
        <v>0</v>
      </c>
      <c r="DQ6" s="13" t="n">
        <f aca="false">IFERROR(AVERAGEIF('Pemetaan Variant'!$A$5:$A$32,$B6,'Pemetaan Variant'!$BC$5:$BC$32),"n/a")</f>
        <v>13000</v>
      </c>
      <c r="DR6" s="14" t="n">
        <f aca="false">IFERROR(IF(ISNUMBER(DQ6),(DQ6-AVERAGEIF('Pemetaan Variant'!$A$5:$A$32,$B6,'Pemetaan Variant'!$L$5:$L$32))/AVERAGEIF('Pemetaan Variant'!$A$5:$A$32,$B6,'Pemetaan Variant'!$L$5:$L$32)*100,"n/a"),"n/a")</f>
        <v>0</v>
      </c>
      <c r="DS6" s="4" t="n">
        <f aca="false">IFERROR(IF(ISNUMBER(DR6),$C6*DR6,"n/a"),"n/a")</f>
        <v>0</v>
      </c>
      <c r="DT6" s="13" t="n">
        <f aca="false">IFERROR(AVERAGEIF('Pemetaan Variant'!$A$5:$A$32,$B6,'Pemetaan Variant'!$BD$5:$BD$32),"n/a")</f>
        <v>13000</v>
      </c>
      <c r="DU6" s="14" t="n">
        <f aca="false">IFERROR(IF(ISNUMBER(DT6),(DT6-AVERAGEIF('Pemetaan Variant'!$A$5:$A$32,$B6,'Pemetaan Variant'!$L$5:$L$32))/AVERAGEIF('Pemetaan Variant'!$A$5:$A$32,$B6,'Pemetaan Variant'!$L$5:$L$32)*100,"n/a"),"n/a")</f>
        <v>0</v>
      </c>
      <c r="DV6" s="4" t="n">
        <f aca="false">IFERROR(IF(ISNUMBER(DU6),$C6*DU6,"n/a"),"n/a")</f>
        <v>0</v>
      </c>
      <c r="DW6" s="13" t="n">
        <f aca="false">IFERROR(AVERAGEIF('Pemetaan Variant'!$A$5:$A$32,$B6,'Pemetaan Variant'!$BE$5:$BE$32),"n/a")</f>
        <v>13000</v>
      </c>
      <c r="DX6" s="14" t="n">
        <f aca="false">IFERROR(IF(ISNUMBER(DW6),(DW6-AVERAGEIF('Pemetaan Variant'!$A$5:$A$32,$B6,'Pemetaan Variant'!$M$5:$M$32))/AVERAGEIF('Pemetaan Variant'!$A$5:$A$32,$B6,'Pemetaan Variant'!$M$5:$M$32)*100,"n/a"),"n/a")</f>
        <v>0</v>
      </c>
      <c r="DY6" s="4" t="n">
        <f aca="false">IFERROR(IF(ISNUMBER(DX6),$C6*DX6,"n/a"),"n/a")</f>
        <v>0</v>
      </c>
      <c r="DZ6" s="13" t="n">
        <f aca="false">IFERROR(AVERAGEIF('Pemetaan Variant'!$A$5:$A$32,$B6,'Pemetaan Variant'!$BF$5:$BF$32),"n/a")</f>
        <v>13000</v>
      </c>
      <c r="EA6" s="14" t="n">
        <f aca="false">IFERROR(IF(ISNUMBER(DZ6),(DZ6-AVERAGEIF('Pemetaan Variant'!$A$5:$A$32,$B6,'Pemetaan Variant'!$M$5:$M$32))/AVERAGEIF('Pemetaan Variant'!$A$5:$A$32,$B6,'Pemetaan Variant'!$M$5:$M$32)*100,"n/a"),"n/a")</f>
        <v>0</v>
      </c>
      <c r="EB6" s="4" t="n">
        <f aca="false">IFERROR(IF(ISNUMBER(EA6),$C6*EA6,"n/a"),"n/a")</f>
        <v>0</v>
      </c>
      <c r="EC6" s="13" t="n">
        <f aca="false">IFERROR(AVERAGEIF('Pemetaan Variant'!$A$5:$A$32,$B6,'Pemetaan Variant'!$BG$5:$BG$32),"n/a")</f>
        <v>13000</v>
      </c>
      <c r="ED6" s="14" t="n">
        <f aca="false">IFERROR(IF(ISNUMBER(EC6),(EC6-AVERAGEIF('Pemetaan Variant'!$A$5:$A$32,$B6,'Pemetaan Variant'!$M$5:$M$32))/AVERAGEIF('Pemetaan Variant'!$A$5:$A$32,$B6,'Pemetaan Variant'!$M$5:$M$32)*100,"n/a"),"n/a")</f>
        <v>0</v>
      </c>
      <c r="EE6" s="4" t="n">
        <f aca="false">IFERROR(IF(ISNUMBER(ED6),$C6*ED6,"n/a"),"n/a")</f>
        <v>0</v>
      </c>
      <c r="EF6" s="13" t="n">
        <f aca="false">IFERROR(AVERAGEIF('Pemetaan Variant'!$A$5:$A$32,$B6,'Pemetaan Variant'!$BH$5:$BH$32),"n/a")</f>
        <v>13000</v>
      </c>
      <c r="EG6" s="14" t="n">
        <f aca="false">IFERROR(IF(ISNUMBER(EF6),(EF6-AVERAGEIF('Pemetaan Variant'!$A$5:$A$32,$B6,'Pemetaan Variant'!$M$5:$M$32))/AVERAGEIF('Pemetaan Variant'!$A$5:$A$32,$B6,'Pemetaan Variant'!$M$5:$M$32)*100,"n/a"),"n/a")</f>
        <v>0</v>
      </c>
      <c r="EH6" s="4" t="n">
        <f aca="false">IFERROR(IF(ISNUMBER(EG6),$C6*EG6,"n/a"),"n/a")</f>
        <v>0</v>
      </c>
      <c r="EI6" s="13" t="n">
        <f aca="false">IFERROR(AVERAGEIF('Pemetaan Variant'!$A$5:$A$32,$B6,'Pemetaan Variant'!$BI$5:$BI$32),"n/a")</f>
        <v>13000</v>
      </c>
      <c r="EJ6" s="14" t="n">
        <f aca="false">IFERROR(IF(ISNUMBER(EI6),(EI6-AVERAGEIF('Pemetaan Variant'!$A$5:$A$32,$B6,'Pemetaan Variant'!$M$5:$M$32))/AVERAGEIF('Pemetaan Variant'!$A$5:$A$32,$B6,'Pemetaan Variant'!$M$5:$M$32)*100,"n/a"),"n/a")</f>
        <v>0</v>
      </c>
      <c r="EK6" s="4" t="n">
        <f aca="false">IFERROR(IF(ISNUMBER(EJ6),$C6*EJ6,"n/a"),"n/a")</f>
        <v>0</v>
      </c>
      <c r="EL6" s="13" t="n">
        <f aca="false">IFERROR(AVERAGEIF('Pemetaan Variant'!$A$5:$A$32,$B6,'Pemetaan Variant'!$BJ$5:$BJ$32),"n/a")</f>
        <v>13000</v>
      </c>
      <c r="EM6" s="14" t="n">
        <f aca="false">IFERROR(IF(ISNUMBER(EL6),(EL6-AVERAGEIF('Pemetaan Variant'!$A$5:$A$32,$B6,'Pemetaan Variant'!$N$5:$N$32))/AVERAGEIF('Pemetaan Variant'!$A$5:$A$32,$B6,'Pemetaan Variant'!$N$5:$N$32)*100,"n/a"),"n/a")</f>
        <v>0</v>
      </c>
      <c r="EN6" s="4" t="n">
        <f aca="false">IFERROR(IF(ISNUMBER(EM6),$C6*EM6,"n/a"),"n/a")</f>
        <v>0</v>
      </c>
      <c r="EO6" s="13" t="n">
        <f aca="false">IFERROR(AVERAGEIF('Pemetaan Variant'!$A$5:$A$32,$B6,'Pemetaan Variant'!$BK$5:$BK$32),"n/a")</f>
        <v>13000</v>
      </c>
      <c r="EP6" s="14" t="n">
        <f aca="false">IFERROR(IF(ISNUMBER(EO6),(EO6-AVERAGEIF('Pemetaan Variant'!$A$5:$A$32,$B6,'Pemetaan Variant'!$N$5:$N$32))/AVERAGEIF('Pemetaan Variant'!$A$5:$A$32,$B6,'Pemetaan Variant'!$N$5:$N$32)*100,"n/a"),"n/a")</f>
        <v>0</v>
      </c>
      <c r="EQ6" s="4" t="n">
        <f aca="false">IFERROR(IF(ISNUMBER(EP6),$C6*EP6,"n/a"),"n/a")</f>
        <v>0</v>
      </c>
      <c r="ER6" s="13" t="n">
        <f aca="false">IFERROR(AVERAGEIF('Pemetaan Variant'!$A$5:$A$32,$B6,'Pemetaan Variant'!$BL$5:$BL$32),"n/a")</f>
        <v>13000</v>
      </c>
      <c r="ES6" s="14" t="n">
        <f aca="false">IFERROR(IF(ISNUMBER(ER6),(ER6-AVERAGEIF('Pemetaan Variant'!$A$5:$A$32,$B6,'Pemetaan Variant'!$N$5:$N$32))/AVERAGEIF('Pemetaan Variant'!$A$5:$A$32,$B6,'Pemetaan Variant'!$N$5:$N$32)*100,"n/a"),"n/a")</f>
        <v>0</v>
      </c>
      <c r="ET6" s="4" t="n">
        <f aca="false">IFERROR(IF(ISNUMBER(ES6),$C6*ES6,"n/a"),"n/a")</f>
        <v>0</v>
      </c>
      <c r="EU6" s="13" t="n">
        <f aca="false">IFERROR(AVERAGEIF('Pemetaan Variant'!$A$5:$A$32,$B6,'Pemetaan Variant'!$BM$5:$BM$32),"n/a")</f>
        <v>13000</v>
      </c>
      <c r="EV6" s="14" t="n">
        <f aca="false">IFERROR(IF(ISNUMBER(EU6),(EU6-AVERAGEIF('Pemetaan Variant'!$A$5:$A$32,$B6,'Pemetaan Variant'!$N$5:$N$32))/AVERAGEIF('Pemetaan Variant'!$A$5:$A$32,$B6,'Pemetaan Variant'!$N$5:$N$32)*100,"n/a"),"n/a")</f>
        <v>0</v>
      </c>
      <c r="EW6" s="4" t="n">
        <f aca="false">IFERROR(IF(ISNUMBER(EV6),$C6*EV6,"n/a"),"n/a")</f>
        <v>0</v>
      </c>
      <c r="EX6" s="13" t="n">
        <f aca="false">IFERROR(AVERAGEIF('Pemetaan Variant'!$A$5:$A$32,$B6,'Pemetaan Variant'!$BN$5:$BN$32),"n/a")</f>
        <v>13000</v>
      </c>
      <c r="EY6" s="14" t="n">
        <f aca="false">IFERROR(IF(ISNUMBER(EX6),(EX6-AVERAGEIF('Pemetaan Variant'!$A$5:$A$32,$B6,'Pemetaan Variant'!$O$5:$O$32))/AVERAGEIF('Pemetaan Variant'!$A$5:$A$32,$B6,'Pemetaan Variant'!$O$5:$O$32)*100,"n/a"),"n/a")</f>
        <v>0</v>
      </c>
      <c r="EZ6" s="4" t="n">
        <f aca="false">IFERROR(IF(ISNUMBER(EY6),$C6*EY6,"n/a"),"n/a")</f>
        <v>0</v>
      </c>
      <c r="FA6" s="13" t="n">
        <f aca="false">IFERROR(AVERAGEIF('Pemetaan Variant'!$A$5:$A$32,$B6,'Pemetaan Variant'!$BO$5:$BO$32),"n/a")</f>
        <v>13000</v>
      </c>
      <c r="FB6" s="14" t="n">
        <f aca="false">IFERROR(IF(ISNUMBER(FA6),(FA6-AVERAGEIF('Pemetaan Variant'!$A$5:$A$32,$B6,'Pemetaan Variant'!$O$5:$O$32))/AVERAGEIF('Pemetaan Variant'!$A$5:$A$32,$B6,'Pemetaan Variant'!$O$5:$O$32)*100,"n/a"),"n/a")</f>
        <v>0</v>
      </c>
      <c r="FC6" s="4" t="n">
        <f aca="false">IFERROR(IF(ISNUMBER(FB6),$C6*FB6,"n/a"),"n/a")</f>
        <v>0</v>
      </c>
      <c r="FD6" s="13" t="n">
        <f aca="false">IFERROR(AVERAGEIF('Pemetaan Variant'!$A$5:$A$32,$B6,'Pemetaan Variant'!$BP$5:$BP$32),"n/a")</f>
        <v>13000</v>
      </c>
      <c r="FE6" s="14" t="n">
        <f aca="false">IFERROR(IF(ISNUMBER(FD6),(FD6-AVERAGEIF('Pemetaan Variant'!$A$5:$A$32,$B6,'Pemetaan Variant'!$O$5:$O$32))/AVERAGEIF('Pemetaan Variant'!$A$5:$A$32,$B6,'Pemetaan Variant'!$O$5:$O$32)*100,"n/a"),"n/a")</f>
        <v>0</v>
      </c>
      <c r="FF6" s="4" t="n">
        <f aca="false">IFERROR(IF(ISNUMBER(FE6),$C6*FE6,"n/a"),"n/a")</f>
        <v>0</v>
      </c>
      <c r="FG6" s="13" t="n">
        <f aca="false">IFERROR(AVERAGEIF('Pemetaan Variant'!$A$5:$A$32,$B6,'Pemetaan Variant'!$BQ$5:$BQ$32),"n/a")</f>
        <v>13000</v>
      </c>
      <c r="FH6" s="14" t="n">
        <f aca="false">IFERROR(IF(ISNUMBER(FG6),(FG6-AVERAGEIF('Pemetaan Variant'!$A$5:$A$32,$B6,'Pemetaan Variant'!$O$5:$O$32))/AVERAGEIF('Pemetaan Variant'!$A$5:$A$32,$B6,'Pemetaan Variant'!$O$5:$O$32)*100,"n/a"),"n/a")</f>
        <v>0</v>
      </c>
      <c r="FI6" s="4" t="n">
        <f aca="false">IFERROR(IF(ISNUMBER(FH6),$C6*FH6,"n/a"),"n/a")</f>
        <v>0</v>
      </c>
      <c r="FJ6" s="13" t="n">
        <f aca="false">IFERROR(AVERAGEIF('Pemetaan Variant'!$A$5:$A$32,$B6,'Pemetaan Variant'!$BR$5:$BR$32),"n/a")</f>
        <v>13000</v>
      </c>
      <c r="FK6" s="14" t="n">
        <f aca="false">IFERROR(IF(ISNUMBER(FJ6),(FJ6-AVERAGEIF('Pemetaan Variant'!$A$5:$A$32,$B6,'Pemetaan Variant'!$O$5:$O$32))/AVERAGEIF('Pemetaan Variant'!$A$5:$A$32,$B6,'Pemetaan Variant'!$O$5:$O$32)*100,"n/a"),"n/a")</f>
        <v>0</v>
      </c>
      <c r="FL6" s="4" t="n">
        <f aca="false">IFERROR(IF(ISNUMBER(FK6),$C6*FK6,"n/a"),"n/a")</f>
        <v>0</v>
      </c>
      <c r="FM6" s="15"/>
      <c r="FO6" s="11" t="n">
        <f aca="false">IFERROR(ABS(F6),0)</f>
        <v>0</v>
      </c>
      <c r="FP6" s="11" t="n">
        <f aca="false">IFERROR(ABS(I6),0)</f>
        <v>0</v>
      </c>
      <c r="FQ6" s="11" t="n">
        <f aca="false">IFERROR(ABS(L6),0)</f>
        <v>0</v>
      </c>
      <c r="FR6" s="11" t="n">
        <f aca="false">IFERROR(ABS(O6),0)</f>
        <v>0</v>
      </c>
      <c r="FS6" s="11" t="n">
        <f aca="false">IFERROR(ABS(R6),0)</f>
        <v>0</v>
      </c>
      <c r="FT6" s="11" t="n">
        <f aca="false">IFERROR(ABS(U6),0)</f>
        <v>0</v>
      </c>
      <c r="FU6" s="11" t="n">
        <f aca="false">IFERROR(ABS(X6),0)</f>
        <v>0</v>
      </c>
      <c r="FV6" s="11" t="n">
        <f aca="false">IFERROR(ABS(AA6),0)</f>
        <v>0</v>
      </c>
      <c r="FW6" s="11" t="n">
        <f aca="false">IFERROR(ABS(AD6),0)</f>
        <v>0</v>
      </c>
      <c r="FX6" s="11" t="n">
        <f aca="false">IFERROR(ABS(AG6),0)</f>
        <v>0</v>
      </c>
      <c r="FY6" s="11" t="n">
        <f aca="false">IFERROR(ABS(AJ6),0)</f>
        <v>0</v>
      </c>
      <c r="FZ6" s="11" t="n">
        <f aca="false">IFERROR(ABS(AM6),0)</f>
        <v>0</v>
      </c>
      <c r="GA6" s="11" t="n">
        <f aca="false">IFERROR(ABS(AP6),0)</f>
        <v>0</v>
      </c>
      <c r="GB6" s="11" t="n">
        <f aca="false">IFERROR(ABS(AS6),0)</f>
        <v>0</v>
      </c>
      <c r="GC6" s="11" t="n">
        <f aca="false">IFERROR(ABS(AV6),0)</f>
        <v>0</v>
      </c>
      <c r="GD6" s="11" t="n">
        <f aca="false">IFERROR(ABS(AY6),0)</f>
        <v>0</v>
      </c>
      <c r="GE6" s="11" t="n">
        <f aca="false">IFERROR(ABS(BB6),0)</f>
        <v>0</v>
      </c>
      <c r="GF6" s="11" t="n">
        <f aca="false">IFERROR(ABS(BE6),0)</f>
        <v>0</v>
      </c>
      <c r="GG6" s="11" t="n">
        <f aca="false">IFERROR(ABS(BH6),0)</f>
        <v>0</v>
      </c>
      <c r="GH6" s="11" t="n">
        <f aca="false">IFERROR(ABS(BK6),0)</f>
        <v>0</v>
      </c>
      <c r="GI6" s="11" t="n">
        <f aca="false">IFERROR(ABS(BN6),0)</f>
        <v>0</v>
      </c>
      <c r="GJ6" s="11" t="n">
        <f aca="false">IFERROR(ABS(BQ6),0)</f>
        <v>0</v>
      </c>
      <c r="GK6" s="11" t="n">
        <f aca="false">IFERROR(ABS(BT6),0)</f>
        <v>0</v>
      </c>
      <c r="GL6" s="11" t="n">
        <f aca="false">IFERROR(ABS(BW6),0)</f>
        <v>0</v>
      </c>
      <c r="GM6" s="11" t="n">
        <f aca="false">IFERROR(ABS(BZ6),0)</f>
        <v>0</v>
      </c>
      <c r="GN6" s="11" t="n">
        <f aca="false">IFERROR(ABS(CC6),0)</f>
        <v>0</v>
      </c>
      <c r="GO6" s="11" t="n">
        <f aca="false">IFERROR(ABS(CF6),0)</f>
        <v>0</v>
      </c>
      <c r="GP6" s="11" t="n">
        <f aca="false">IFERROR(ABS(CI6),0)</f>
        <v>0</v>
      </c>
      <c r="GQ6" s="11" t="n">
        <f aca="false">IFERROR(ABS(CL6),0)</f>
        <v>0</v>
      </c>
      <c r="GR6" s="11" t="n">
        <f aca="false">IFERROR(ABS(CO6),0)</f>
        <v>0</v>
      </c>
      <c r="GS6" s="11" t="n">
        <f aca="false">IFERROR(ABS(CR6),0)</f>
        <v>0</v>
      </c>
      <c r="GT6" s="11" t="n">
        <f aca="false">IFERROR(ABS(CU6),0)</f>
        <v>0.667141636049845</v>
      </c>
      <c r="GU6" s="11" t="n">
        <f aca="false">IFERROR(ABS(CX6),0)</f>
        <v>0.667141636049845</v>
      </c>
      <c r="GV6" s="11" t="n">
        <f aca="false">IFERROR(ABS(DA6),0)</f>
        <v>0.234408794608655</v>
      </c>
      <c r="GW6" s="11" t="n">
        <f aca="false">IFERROR(ABS(DD6),0)</f>
        <v>0.234408794608655</v>
      </c>
      <c r="GX6" s="11" t="n">
        <f aca="false">IFERROR(ABS(DG6),0)</f>
        <v>0.234408794608655</v>
      </c>
      <c r="GY6" s="11" t="n">
        <f aca="false">IFERROR(ABS(DJ6),0)</f>
        <v>0.234408794608655</v>
      </c>
      <c r="GZ6" s="11" t="n">
        <f aca="false">IFERROR(ABS(DM6),0)</f>
        <v>0</v>
      </c>
      <c r="HA6" s="11" t="n">
        <f aca="false">IFERROR(ABS(DP6),0)</f>
        <v>0</v>
      </c>
      <c r="HB6" s="11" t="n">
        <f aca="false">IFERROR(ABS(DS6),0)</f>
        <v>0</v>
      </c>
      <c r="HC6" s="11" t="n">
        <f aca="false">IFERROR(ABS(DV6),0)</f>
        <v>0</v>
      </c>
      <c r="HD6" s="11" t="n">
        <f aca="false">IFERROR(ABS(DY6),0)</f>
        <v>0</v>
      </c>
      <c r="HE6" s="11" t="n">
        <f aca="false">IFERROR(ABS(EB6),0)</f>
        <v>0</v>
      </c>
      <c r="HF6" s="11" t="n">
        <f aca="false">IFERROR(ABS(EE6),0)</f>
        <v>0</v>
      </c>
      <c r="HG6" s="11" t="n">
        <f aca="false">IFERROR(ABS(EH6),0)</f>
        <v>0</v>
      </c>
      <c r="HH6" s="11" t="n">
        <f aca="false">IFERROR(ABS(EK6),0)</f>
        <v>0</v>
      </c>
      <c r="HI6" s="11" t="n">
        <f aca="false">IFERROR(ABS(EN6),0)</f>
        <v>0</v>
      </c>
      <c r="HJ6" s="11" t="n">
        <f aca="false">IFERROR(ABS(EQ6),0)</f>
        <v>0</v>
      </c>
      <c r="HK6" s="11" t="n">
        <f aca="false">IFERROR(ABS(ET6),0)</f>
        <v>0</v>
      </c>
      <c r="HL6" s="11" t="n">
        <f aca="false">IFERROR(ABS(EW6),0)</f>
        <v>0</v>
      </c>
      <c r="HM6" s="11" t="n">
        <f aca="false">IFERROR(ABS(EZ6),0)</f>
        <v>0</v>
      </c>
      <c r="HN6" s="11" t="n">
        <f aca="false">IFERROR(ABS(FC6),0)</f>
        <v>0</v>
      </c>
      <c r="HO6" s="11" t="n">
        <f aca="false">IFERROR(ABS(FF6),0)</f>
        <v>0</v>
      </c>
      <c r="HP6" s="11" t="n">
        <f aca="false">IFERROR(ABS(FI6),0)</f>
        <v>0</v>
      </c>
      <c r="HQ6" s="11" t="n">
        <f aca="false">IFERROR(ABS(FL6),0)</f>
        <v>0</v>
      </c>
    </row>
    <row r="7" customFormat="false" ht="15" hidden="false" customHeight="false" outlineLevel="0" collapsed="false">
      <c r="A7" s="3" t="n">
        <v>2</v>
      </c>
      <c r="B7" s="3" t="s">
        <v>235</v>
      </c>
      <c r="C7" s="12" t="n">
        <f aca="false">'P0Q0 Dasar 2022'!F6</f>
        <v>0.00793664049050366</v>
      </c>
      <c r="D7" s="13" t="n">
        <f aca="false">IFERROR(AVERAGEIF('Pemetaan Variant'!$A$5:$A$32,$B7,'Pemetaan Variant'!$P$5:$P$32),"n/a")</f>
        <v>9500</v>
      </c>
      <c r="E7" s="14" t="n">
        <f aca="false">IFERROR(IF(ISNUMBER(D7),(D7-AVERAGEIF('Pemetaan Variant'!$A$5:$A$32,$B7,'Pemetaan Variant'!$D$5:$D$32))/AVERAGEIF('Pemetaan Variant'!$A$5:$A$32,$B7,'Pemetaan Variant'!$D$5:$D$32)*100,"n/a"),"n/a")</f>
        <v>0</v>
      </c>
      <c r="F7" s="4" t="n">
        <f aca="false">IFERROR(IF(ISNUMBER(E7),$C7*E7,"n/a"),"n/a")</f>
        <v>0</v>
      </c>
      <c r="G7" s="13" t="n">
        <f aca="false">IFERROR(AVERAGEIF('Pemetaan Variant'!$A$5:$A$32,$B7,'Pemetaan Variant'!$Q$5:$Q$32),"n/a")</f>
        <v>9400</v>
      </c>
      <c r="H7" s="14" t="n">
        <f aca="false">IFERROR(IF(ISNUMBER(G7),(G7-AVERAGEIF('Pemetaan Variant'!$A$5:$A$32,$B7,'Pemetaan Variant'!$D$5:$D$32))/AVERAGEIF('Pemetaan Variant'!$A$5:$A$32,$B7,'Pemetaan Variant'!$D$5:$D$32)*100,"n/a"),"n/a")</f>
        <v>-1.05263157894737</v>
      </c>
      <c r="I7" s="4" t="n">
        <f aca="false">IFERROR(IF(ISNUMBER(H7),$C7*H7,"n/a"),"n/a")</f>
        <v>-0.00835435841105648</v>
      </c>
      <c r="J7" s="13" t="n">
        <f aca="false">IFERROR(AVERAGEIF('Pemetaan Variant'!$A$5:$A$32,$B7,'Pemetaan Variant'!$R$5:$R$32),"n/a")</f>
        <v>9000</v>
      </c>
      <c r="K7" s="14" t="n">
        <f aca="false">IFERROR(IF(ISNUMBER(J7),(J7-AVERAGEIF('Pemetaan Variant'!$A$5:$A$32,$B7,'Pemetaan Variant'!$D$5:$D$32))/AVERAGEIF('Pemetaan Variant'!$A$5:$A$32,$B7,'Pemetaan Variant'!$D$5:$D$32)*100,"n/a"),"n/a")</f>
        <v>-5.26315789473684</v>
      </c>
      <c r="L7" s="4" t="n">
        <f aca="false">IFERROR(IF(ISNUMBER(K7),$C7*K7,"n/a"),"n/a")</f>
        <v>-0.0417717920552824</v>
      </c>
      <c r="M7" s="13" t="n">
        <f aca="false">IFERROR(AVERAGEIF('Pemetaan Variant'!$A$5:$A$32,$B7,'Pemetaan Variant'!$S$5:$S$32),"n/a")</f>
        <v>9000</v>
      </c>
      <c r="N7" s="14" t="n">
        <f aca="false">IFERROR(IF(ISNUMBER(M7),(M7-AVERAGEIF('Pemetaan Variant'!$A$5:$A$32,$B7,'Pemetaan Variant'!$D$5:$D$32))/AVERAGEIF('Pemetaan Variant'!$A$5:$A$32,$B7,'Pemetaan Variant'!$D$5:$D$32)*100,"n/a"),"n/a")</f>
        <v>-5.26315789473684</v>
      </c>
      <c r="O7" s="4" t="n">
        <f aca="false">IFERROR(IF(ISNUMBER(N7),$C7*N7,"n/a"),"n/a")</f>
        <v>-0.0417717920552824</v>
      </c>
      <c r="P7" s="13" t="n">
        <f aca="false">IFERROR(AVERAGEIF('Pemetaan Variant'!$A$5:$A$32,$B7,'Pemetaan Variant'!$T$5:$T$32),"n/a")</f>
        <v>9000</v>
      </c>
      <c r="Q7" s="14" t="n">
        <f aca="false">IFERROR(IF(ISNUMBER(P7),(P7-AVERAGEIF('Pemetaan Variant'!$A$5:$A$32,$B7,'Pemetaan Variant'!$D$5:$D$32))/AVERAGEIF('Pemetaan Variant'!$A$5:$A$32,$B7,'Pemetaan Variant'!$D$5:$D$32)*100,"n/a"),"n/a")</f>
        <v>-5.26315789473684</v>
      </c>
      <c r="R7" s="4" t="n">
        <f aca="false">IFERROR(IF(ISNUMBER(Q7),$C7*Q7,"n/a"),"n/a")</f>
        <v>-0.0417717920552824</v>
      </c>
      <c r="S7" s="13" t="n">
        <f aca="false">IFERROR(AVERAGEIF('Pemetaan Variant'!$A$5:$A$32,$B7,'Pemetaan Variant'!$U$5:$U$32),"n/a")</f>
        <v>9000</v>
      </c>
      <c r="T7" s="14" t="n">
        <f aca="false">IFERROR(IF(ISNUMBER(S7),(S7-AVERAGEIF('Pemetaan Variant'!$A$5:$A$32,$B7,'Pemetaan Variant'!$E$5:$E$32))/AVERAGEIF('Pemetaan Variant'!$A$5:$A$32,$B7,'Pemetaan Variant'!$E$5:$E$32)*100,"n/a"),"n/a")</f>
        <v>-1.72413793103448</v>
      </c>
      <c r="U7" s="4" t="n">
        <f aca="false">IFERROR(IF(ISNUMBER(T7),$C7*T7,"n/a"),"n/a")</f>
        <v>-0.0136838629146615</v>
      </c>
      <c r="V7" s="13" t="n">
        <f aca="false">IFERROR(AVERAGEIF('Pemetaan Variant'!$A$5:$A$32,$B7,'Pemetaan Variant'!$V$5:$V$32),"n/a")</f>
        <v>9000</v>
      </c>
      <c r="W7" s="14" t="n">
        <f aca="false">IFERROR(IF(ISNUMBER(V7),(V7-AVERAGEIF('Pemetaan Variant'!$A$5:$A$32,$B7,'Pemetaan Variant'!$E$5:$E$32))/AVERAGEIF('Pemetaan Variant'!$A$5:$A$32,$B7,'Pemetaan Variant'!$E$5:$E$32)*100,"n/a"),"n/a")</f>
        <v>-1.72413793103448</v>
      </c>
      <c r="X7" s="4" t="n">
        <f aca="false">IFERROR(IF(ISNUMBER(W7),$C7*W7,"n/a"),"n/a")</f>
        <v>-0.0136838629146615</v>
      </c>
      <c r="Y7" s="13" t="n">
        <f aca="false">IFERROR(AVERAGEIF('Pemetaan Variant'!$A$5:$A$32,$B7,'Pemetaan Variant'!$W$5:$W$32),"n/a")</f>
        <v>9000</v>
      </c>
      <c r="Z7" s="14" t="n">
        <f aca="false">IFERROR(IF(ISNUMBER(Y7),(Y7-AVERAGEIF('Pemetaan Variant'!$A$5:$A$32,$B7,'Pemetaan Variant'!$E$5:$E$32))/AVERAGEIF('Pemetaan Variant'!$A$5:$A$32,$B7,'Pemetaan Variant'!$E$5:$E$32)*100,"n/a"),"n/a")</f>
        <v>-1.72413793103448</v>
      </c>
      <c r="AA7" s="4" t="n">
        <f aca="false">IFERROR(IF(ISNUMBER(Z7),$C7*Z7,"n/a"),"n/a")</f>
        <v>-0.0136838629146615</v>
      </c>
      <c r="AB7" s="13" t="n">
        <f aca="false">IFERROR(AVERAGEIF('Pemetaan Variant'!$A$5:$A$32,$B7,'Pemetaan Variant'!$X$5:$X$32),"n/a")</f>
        <v>9000</v>
      </c>
      <c r="AC7" s="14" t="n">
        <f aca="false">IFERROR(IF(ISNUMBER(AB7),(AB7-AVERAGEIF('Pemetaan Variant'!$A$5:$A$32,$B7,'Pemetaan Variant'!$E$5:$E$32))/AVERAGEIF('Pemetaan Variant'!$A$5:$A$32,$B7,'Pemetaan Variant'!$E$5:$E$32)*100,"n/a"),"n/a")</f>
        <v>-1.72413793103448</v>
      </c>
      <c r="AD7" s="4" t="n">
        <f aca="false">IFERROR(IF(ISNUMBER(AC7),$C7*AC7,"n/a"),"n/a")</f>
        <v>-0.0136838629146615</v>
      </c>
      <c r="AE7" s="13" t="n">
        <f aca="false">IFERROR(AVERAGEIF('Pemetaan Variant'!$A$5:$A$32,$B7,'Pemetaan Variant'!$Y$5:$Y$32),"n/a")</f>
        <v>9000</v>
      </c>
      <c r="AF7" s="14" t="n">
        <f aca="false">IFERROR(IF(ISNUMBER(AE7),(AE7-AVERAGEIF('Pemetaan Variant'!$A$5:$A$32,$B7,'Pemetaan Variant'!$F$5:$F$32))/AVERAGEIF('Pemetaan Variant'!$A$5:$A$32,$B7,'Pemetaan Variant'!$F$5:$F$32)*100,"n/a"),"n/a")</f>
        <v>0</v>
      </c>
      <c r="AG7" s="4" t="n">
        <f aca="false">IFERROR(IF(ISNUMBER(AF7),$C7*AF7,"n/a"),"n/a")</f>
        <v>0</v>
      </c>
      <c r="AH7" s="13" t="n">
        <f aca="false">IFERROR(AVERAGEIF('Pemetaan Variant'!$A$5:$A$32,$B7,'Pemetaan Variant'!$Z$5:$Z$32),"n/a")</f>
        <v>9000</v>
      </c>
      <c r="AI7" s="14" t="n">
        <f aca="false">IFERROR(IF(ISNUMBER(AH7),(AH7-AVERAGEIF('Pemetaan Variant'!$A$5:$A$32,$B7,'Pemetaan Variant'!$F$5:$F$32))/AVERAGEIF('Pemetaan Variant'!$A$5:$A$32,$B7,'Pemetaan Variant'!$F$5:$F$32)*100,"n/a"),"n/a")</f>
        <v>0</v>
      </c>
      <c r="AJ7" s="4" t="n">
        <f aca="false">IFERROR(IF(ISNUMBER(AI7),$C7*AI7,"n/a"),"n/a")</f>
        <v>0</v>
      </c>
      <c r="AK7" s="13" t="n">
        <f aca="false">IFERROR(AVERAGEIF('Pemetaan Variant'!$A$5:$A$32,$B7,'Pemetaan Variant'!$AA$5:$AA$32),"n/a")</f>
        <v>9000</v>
      </c>
      <c r="AL7" s="14" t="n">
        <f aca="false">IFERROR(IF(ISNUMBER(AK7),(AK7-AVERAGEIF('Pemetaan Variant'!$A$5:$A$32,$B7,'Pemetaan Variant'!$F$5:$F$32))/AVERAGEIF('Pemetaan Variant'!$A$5:$A$32,$B7,'Pemetaan Variant'!$F$5:$F$32)*100,"n/a"),"n/a")</f>
        <v>0</v>
      </c>
      <c r="AM7" s="4" t="n">
        <f aca="false">IFERROR(IF(ISNUMBER(AL7),$C7*AL7,"n/a"),"n/a")</f>
        <v>0</v>
      </c>
      <c r="AN7" s="13" t="n">
        <f aca="false">IFERROR(AVERAGEIF('Pemetaan Variant'!$A$5:$A$32,$B7,'Pemetaan Variant'!$AB$5:$AB$32),"n/a")</f>
        <v>9000</v>
      </c>
      <c r="AO7" s="14" t="n">
        <f aca="false">IFERROR(IF(ISNUMBER(AN7),(AN7-AVERAGEIF('Pemetaan Variant'!$A$5:$A$32,$B7,'Pemetaan Variant'!$F$5:$F$32))/AVERAGEIF('Pemetaan Variant'!$A$5:$A$32,$B7,'Pemetaan Variant'!$F$5:$F$32)*100,"n/a"),"n/a")</f>
        <v>0</v>
      </c>
      <c r="AP7" s="4" t="n">
        <f aca="false">IFERROR(IF(ISNUMBER(AO7),$C7*AO7,"n/a"),"n/a")</f>
        <v>0</v>
      </c>
      <c r="AQ7" s="13" t="str">
        <f aca="false">IFERROR(AVERAGEIF('Pemetaan Variant'!$A$5:$A$32,$B7,'Pemetaan Variant'!$AC$5:$AC$32),"n/a")</f>
        <v>n/a</v>
      </c>
      <c r="AR7" s="14" t="str">
        <f aca="false">IFERROR(IF(ISNUMBER(AQ7),(AQ7-AVERAGEIF('Pemetaan Variant'!$A$5:$A$32,$B7,'Pemetaan Variant'!$F$5:$F$32))/AVERAGEIF('Pemetaan Variant'!$A$5:$A$32,$B7,'Pemetaan Variant'!$F$5:$F$32)*100,"n/a"),"n/a")</f>
        <v>n/a</v>
      </c>
      <c r="AS7" s="4" t="str">
        <f aca="false">IFERROR(IF(ISNUMBER(AR7),$C7*AR7,"n/a"),"n/a")</f>
        <v>n/a</v>
      </c>
      <c r="AT7" s="13" t="str">
        <f aca="false">IFERROR(AVERAGEIF('Pemetaan Variant'!$A$5:$A$32,$B7,'Pemetaan Variant'!$AD$5:$AD$32),"n/a")</f>
        <v>n/a</v>
      </c>
      <c r="AU7" s="14" t="str">
        <f aca="false">IFERROR(IF(ISNUMBER(AT7),(AT7-AVERAGEIF('Pemetaan Variant'!$A$5:$A$32,$B7,'Pemetaan Variant'!$G$5:$G$32))/AVERAGEIF('Pemetaan Variant'!$A$5:$A$32,$B7,'Pemetaan Variant'!$G$5:$G$32)*100,"n/a"),"n/a")</f>
        <v>n/a</v>
      </c>
      <c r="AV7" s="4" t="str">
        <f aca="false">IFERROR(IF(ISNUMBER(AU7),$C7*AU7,"n/a"),"n/a")</f>
        <v>n/a</v>
      </c>
      <c r="AW7" s="13" t="n">
        <f aca="false">IFERROR(AVERAGEIF('Pemetaan Variant'!$A$5:$A$32,$B7,'Pemetaan Variant'!$AE$5:$AE$32),"n/a")</f>
        <v>9000</v>
      </c>
      <c r="AX7" s="14" t="n">
        <f aca="false">IFERROR(IF(ISNUMBER(AW7),(AW7-AVERAGEIF('Pemetaan Variant'!$A$5:$A$32,$B7,'Pemetaan Variant'!$G$5:$G$32))/AVERAGEIF('Pemetaan Variant'!$A$5:$A$32,$B7,'Pemetaan Variant'!$G$5:$G$32)*100,"n/a"),"n/a")</f>
        <v>0</v>
      </c>
      <c r="AY7" s="4" t="n">
        <f aca="false">IFERROR(IF(ISNUMBER(AX7),$C7*AX7,"n/a"),"n/a")</f>
        <v>0</v>
      </c>
      <c r="AZ7" s="13" t="n">
        <f aca="false">IFERROR(AVERAGEIF('Pemetaan Variant'!$A$5:$A$32,$B7,'Pemetaan Variant'!$AF$5:$AF$32),"n/a")</f>
        <v>9000</v>
      </c>
      <c r="BA7" s="14" t="n">
        <f aca="false">IFERROR(IF(ISNUMBER(AZ7),(AZ7-AVERAGEIF('Pemetaan Variant'!$A$5:$A$32,$B7,'Pemetaan Variant'!$G$5:$G$32))/AVERAGEIF('Pemetaan Variant'!$A$5:$A$32,$B7,'Pemetaan Variant'!$G$5:$G$32)*100,"n/a"),"n/a")</f>
        <v>0</v>
      </c>
      <c r="BB7" s="4" t="n">
        <f aca="false">IFERROR(IF(ISNUMBER(BA7),$C7*BA7,"n/a"),"n/a")</f>
        <v>0</v>
      </c>
      <c r="BC7" s="13" t="n">
        <f aca="false">IFERROR(AVERAGEIF('Pemetaan Variant'!$A$5:$A$32,$B7,'Pemetaan Variant'!$AG$5:$AG$32),"n/a")</f>
        <v>9000</v>
      </c>
      <c r="BD7" s="14" t="n">
        <f aca="false">IFERROR(IF(ISNUMBER(BC7),(BC7-AVERAGEIF('Pemetaan Variant'!$A$5:$A$32,$B7,'Pemetaan Variant'!$G$5:$G$32))/AVERAGEIF('Pemetaan Variant'!$A$5:$A$32,$B7,'Pemetaan Variant'!$G$5:$G$32)*100,"n/a"),"n/a")</f>
        <v>0</v>
      </c>
      <c r="BE7" s="4" t="n">
        <f aca="false">IFERROR(IF(ISNUMBER(BD7),$C7*BD7,"n/a"),"n/a")</f>
        <v>0</v>
      </c>
      <c r="BF7" s="13" t="n">
        <f aca="false">IFERROR(AVERAGEIF('Pemetaan Variant'!$A$5:$A$32,$B7,'Pemetaan Variant'!$AH$5:$AH$32),"n/a")</f>
        <v>9000</v>
      </c>
      <c r="BG7" s="14" t="n">
        <f aca="false">IFERROR(IF(ISNUMBER(BF7),(BF7-AVERAGEIF('Pemetaan Variant'!$A$5:$A$32,$B7,'Pemetaan Variant'!$G$5:$G$32))/AVERAGEIF('Pemetaan Variant'!$A$5:$A$32,$B7,'Pemetaan Variant'!$G$5:$G$32)*100,"n/a"),"n/a")</f>
        <v>0</v>
      </c>
      <c r="BH7" s="4" t="n">
        <f aca="false">IFERROR(IF(ISNUMBER(BG7),$C7*BG7,"n/a"),"n/a")</f>
        <v>0</v>
      </c>
      <c r="BI7" s="13" t="n">
        <f aca="false">IFERROR(AVERAGEIF('Pemetaan Variant'!$A$5:$A$32,$B7,'Pemetaan Variant'!$AI$5:$AI$32),"n/a")</f>
        <v>9000</v>
      </c>
      <c r="BJ7" s="14" t="n">
        <f aca="false">IFERROR(IF(ISNUMBER(BI7),(BI7-AVERAGEIF('Pemetaan Variant'!$A$5:$A$32,$B7,'Pemetaan Variant'!$H$5:$H$32))/AVERAGEIF('Pemetaan Variant'!$A$5:$A$32,$B7,'Pemetaan Variant'!$H$5:$H$32)*100,"n/a"),"n/a")</f>
        <v>0</v>
      </c>
      <c r="BK7" s="4" t="n">
        <f aca="false">IFERROR(IF(ISNUMBER(BJ7),$C7*BJ7,"n/a"),"n/a")</f>
        <v>0</v>
      </c>
      <c r="BL7" s="13" t="n">
        <f aca="false">IFERROR(AVERAGEIF('Pemetaan Variant'!$A$5:$A$32,$B7,'Pemetaan Variant'!$AJ$5:$AJ$32),"n/a")</f>
        <v>9000</v>
      </c>
      <c r="BM7" s="14" t="n">
        <f aca="false">IFERROR(IF(ISNUMBER(BL7),(BL7-AVERAGEIF('Pemetaan Variant'!$A$5:$A$32,$B7,'Pemetaan Variant'!$H$5:$H$32))/AVERAGEIF('Pemetaan Variant'!$A$5:$A$32,$B7,'Pemetaan Variant'!$H$5:$H$32)*100,"n/a"),"n/a")</f>
        <v>0</v>
      </c>
      <c r="BN7" s="4" t="n">
        <f aca="false">IFERROR(IF(ISNUMBER(BM7),$C7*BM7,"n/a"),"n/a")</f>
        <v>0</v>
      </c>
      <c r="BO7" s="13" t="n">
        <f aca="false">IFERROR(AVERAGEIF('Pemetaan Variant'!$A$5:$A$32,$B7,'Pemetaan Variant'!$AK$5:$AK$32),"n/a")</f>
        <v>9000</v>
      </c>
      <c r="BP7" s="14" t="n">
        <f aca="false">IFERROR(IF(ISNUMBER(BO7),(BO7-AVERAGEIF('Pemetaan Variant'!$A$5:$A$32,$B7,'Pemetaan Variant'!$H$5:$H$32))/AVERAGEIF('Pemetaan Variant'!$A$5:$A$32,$B7,'Pemetaan Variant'!$H$5:$H$32)*100,"n/a"),"n/a")</f>
        <v>0</v>
      </c>
      <c r="BQ7" s="4" t="n">
        <f aca="false">IFERROR(IF(ISNUMBER(BP7),$C7*BP7,"n/a"),"n/a")</f>
        <v>0</v>
      </c>
      <c r="BR7" s="13" t="n">
        <f aca="false">IFERROR(AVERAGEIF('Pemetaan Variant'!$A$5:$A$32,$B7,'Pemetaan Variant'!$AL$5:$AL$32),"n/a")</f>
        <v>9000</v>
      </c>
      <c r="BS7" s="14" t="n">
        <f aca="false">IFERROR(IF(ISNUMBER(BR7),(BR7-AVERAGEIF('Pemetaan Variant'!$A$5:$A$32,$B7,'Pemetaan Variant'!$H$5:$H$32))/AVERAGEIF('Pemetaan Variant'!$A$5:$A$32,$B7,'Pemetaan Variant'!$H$5:$H$32)*100,"n/a"),"n/a")</f>
        <v>0</v>
      </c>
      <c r="BT7" s="4" t="n">
        <f aca="false">IFERROR(IF(ISNUMBER(BS7),$C7*BS7,"n/a"),"n/a")</f>
        <v>0</v>
      </c>
      <c r="BU7" s="13" t="n">
        <f aca="false">IFERROR(AVERAGEIF('Pemetaan Variant'!$A$5:$A$32,$B7,'Pemetaan Variant'!$AM$5:$AM$32),"n/a")</f>
        <v>9000</v>
      </c>
      <c r="BV7" s="14" t="n">
        <f aca="false">IFERROR(IF(ISNUMBER(BU7),(BU7-AVERAGEIF('Pemetaan Variant'!$A$5:$A$32,$B7,'Pemetaan Variant'!$H$5:$H$32))/AVERAGEIF('Pemetaan Variant'!$A$5:$A$32,$B7,'Pemetaan Variant'!$H$5:$H$32)*100,"n/a"),"n/a")</f>
        <v>0</v>
      </c>
      <c r="BW7" s="4" t="n">
        <f aca="false">IFERROR(IF(ISNUMBER(BV7),$C7*BV7,"n/a"),"n/a")</f>
        <v>0</v>
      </c>
      <c r="BX7" s="13" t="n">
        <f aca="false">IFERROR(AVERAGEIF('Pemetaan Variant'!$A$5:$A$32,$B7,'Pemetaan Variant'!$AN$5:$AN$32),"n/a")</f>
        <v>9000</v>
      </c>
      <c r="BY7" s="14" t="n">
        <f aca="false">IFERROR(IF(ISNUMBER(BX7),(BX7-AVERAGEIF('Pemetaan Variant'!$A$5:$A$32,$B7,'Pemetaan Variant'!$I$5:$I$32))/AVERAGEIF('Pemetaan Variant'!$A$5:$A$32,$B7,'Pemetaan Variant'!$I$5:$I$32)*100,"n/a"),"n/a")</f>
        <v>0</v>
      </c>
      <c r="BZ7" s="4" t="n">
        <f aca="false">IFERROR(IF(ISNUMBER(BY7),$C7*BY7,"n/a"),"n/a")</f>
        <v>0</v>
      </c>
      <c r="CA7" s="13" t="n">
        <f aca="false">IFERROR(AVERAGEIF('Pemetaan Variant'!$A$5:$A$32,$B7,'Pemetaan Variant'!$AO$5:$AO$32),"n/a")</f>
        <v>9000</v>
      </c>
      <c r="CB7" s="14" t="n">
        <f aca="false">IFERROR(IF(ISNUMBER(CA7),(CA7-AVERAGEIF('Pemetaan Variant'!$A$5:$A$32,$B7,'Pemetaan Variant'!$I$5:$I$32))/AVERAGEIF('Pemetaan Variant'!$A$5:$A$32,$B7,'Pemetaan Variant'!$I$5:$I$32)*100,"n/a"),"n/a")</f>
        <v>0</v>
      </c>
      <c r="CC7" s="4" t="n">
        <f aca="false">IFERROR(IF(ISNUMBER(CB7),$C7*CB7,"n/a"),"n/a")</f>
        <v>0</v>
      </c>
      <c r="CD7" s="13" t="n">
        <f aca="false">IFERROR(AVERAGEIF('Pemetaan Variant'!$A$5:$A$32,$B7,'Pemetaan Variant'!$AP$5:$AP$32),"n/a")</f>
        <v>9000</v>
      </c>
      <c r="CE7" s="14" t="n">
        <f aca="false">IFERROR(IF(ISNUMBER(CD7),(CD7-AVERAGEIF('Pemetaan Variant'!$A$5:$A$32,$B7,'Pemetaan Variant'!$I$5:$I$32))/AVERAGEIF('Pemetaan Variant'!$A$5:$A$32,$B7,'Pemetaan Variant'!$I$5:$I$32)*100,"n/a"),"n/a")</f>
        <v>0</v>
      </c>
      <c r="CF7" s="4" t="n">
        <f aca="false">IFERROR(IF(ISNUMBER(CE7),$C7*CE7,"n/a"),"n/a")</f>
        <v>0</v>
      </c>
      <c r="CG7" s="13" t="n">
        <f aca="false">IFERROR(AVERAGEIF('Pemetaan Variant'!$A$5:$A$32,$B7,'Pemetaan Variant'!$AQ$5:$AQ$32),"n/a")</f>
        <v>11375</v>
      </c>
      <c r="CH7" s="14" t="n">
        <f aca="false">IFERROR(IF(ISNUMBER(CG7),(CG7-AVERAGEIF('Pemetaan Variant'!$A$5:$A$32,$B7,'Pemetaan Variant'!$I$5:$I$32))/AVERAGEIF('Pemetaan Variant'!$A$5:$A$32,$B7,'Pemetaan Variant'!$I$5:$I$32)*100,"n/a"),"n/a")</f>
        <v>26.3888888888889</v>
      </c>
      <c r="CI7" s="4" t="n">
        <f aca="false">IFERROR(IF(ISNUMBER(CH7),$C7*CH7,"n/a"),"n/a")</f>
        <v>0.209439124054958</v>
      </c>
      <c r="CJ7" s="13" t="n">
        <f aca="false">IFERROR(AVERAGEIF('Pemetaan Variant'!$A$5:$A$32,$B7,'Pemetaan Variant'!$AR$5:$AR$32),"n/a")</f>
        <v>11500</v>
      </c>
      <c r="CK7" s="14" t="n">
        <f aca="false">IFERROR(IF(ISNUMBER(CJ7),(CJ7-AVERAGEIF('Pemetaan Variant'!$A$5:$A$32,$B7,'Pemetaan Variant'!$J$5:$J$32))/AVERAGEIF('Pemetaan Variant'!$A$5:$A$32,$B7,'Pemetaan Variant'!$J$5:$J$32)*100,"n/a"),"n/a")</f>
        <v>20.3076923076923</v>
      </c>
      <c r="CL7" s="4" t="n">
        <f aca="false">IFERROR(IF(ISNUMBER(CK7),$C7*CK7,"n/a"),"n/a")</f>
        <v>0.161174853037921</v>
      </c>
      <c r="CM7" s="13" t="n">
        <f aca="false">IFERROR(AVERAGEIF('Pemetaan Variant'!$A$5:$A$32,$B7,'Pemetaan Variant'!$AS$5:$AS$32),"n/a")</f>
        <v>11500</v>
      </c>
      <c r="CN7" s="14" t="n">
        <f aca="false">IFERROR(IF(ISNUMBER(CM7),(CM7-AVERAGEIF('Pemetaan Variant'!$A$5:$A$32,$B7,'Pemetaan Variant'!$J$5:$J$32))/AVERAGEIF('Pemetaan Variant'!$A$5:$A$32,$B7,'Pemetaan Variant'!$J$5:$J$32)*100,"n/a"),"n/a")</f>
        <v>20.3076923076923</v>
      </c>
      <c r="CO7" s="4" t="n">
        <f aca="false">IFERROR(IF(ISNUMBER(CN7),$C7*CN7,"n/a"),"n/a")</f>
        <v>0.161174853037921</v>
      </c>
      <c r="CP7" s="13" t="n">
        <f aca="false">IFERROR(AVERAGEIF('Pemetaan Variant'!$A$5:$A$32,$B7,'Pemetaan Variant'!$AT$5:$AT$32),"n/a")</f>
        <v>11500</v>
      </c>
      <c r="CQ7" s="14" t="n">
        <f aca="false">IFERROR(IF(ISNUMBER(CP7),(CP7-AVERAGEIF('Pemetaan Variant'!$A$5:$A$32,$B7,'Pemetaan Variant'!$J$5:$J$32))/AVERAGEIF('Pemetaan Variant'!$A$5:$A$32,$B7,'Pemetaan Variant'!$J$5:$J$32)*100,"n/a"),"n/a")</f>
        <v>20.3076923076923</v>
      </c>
      <c r="CR7" s="4" t="n">
        <f aca="false">IFERROR(IF(ISNUMBER(CQ7),$C7*CQ7,"n/a"),"n/a")</f>
        <v>0.161174853037921</v>
      </c>
      <c r="CS7" s="13" t="n">
        <f aca="false">IFERROR(AVERAGEIF('Pemetaan Variant'!$A$5:$A$32,$B7,'Pemetaan Variant'!$AU$5:$AU$32),"n/a")</f>
        <v>11500</v>
      </c>
      <c r="CT7" s="14" t="n">
        <f aca="false">IFERROR(IF(ISNUMBER(CS7),(CS7-AVERAGEIF('Pemetaan Variant'!$A$5:$A$32,$B7,'Pemetaan Variant'!$J$5:$J$32))/AVERAGEIF('Pemetaan Variant'!$A$5:$A$32,$B7,'Pemetaan Variant'!$J$5:$J$32)*100,"n/a"),"n/a")</f>
        <v>20.3076923076923</v>
      </c>
      <c r="CU7" s="4" t="n">
        <f aca="false">IFERROR(IF(ISNUMBER(CT7),$C7*CT7,"n/a"),"n/a")</f>
        <v>0.161174853037921</v>
      </c>
      <c r="CV7" s="13" t="n">
        <f aca="false">IFERROR(AVERAGEIF('Pemetaan Variant'!$A$5:$A$32,$B7,'Pemetaan Variant'!$AV$5:$AV$32),"n/a")</f>
        <v>11500</v>
      </c>
      <c r="CW7" s="14" t="n">
        <f aca="false">IFERROR(IF(ISNUMBER(CV7),(CV7-AVERAGEIF('Pemetaan Variant'!$A$5:$A$32,$B7,'Pemetaan Variant'!$J$5:$J$32))/AVERAGEIF('Pemetaan Variant'!$A$5:$A$32,$B7,'Pemetaan Variant'!$J$5:$J$32)*100,"n/a"),"n/a")</f>
        <v>20.3076923076923</v>
      </c>
      <c r="CX7" s="4" t="n">
        <f aca="false">IFERROR(IF(ISNUMBER(CW7),$C7*CW7,"n/a"),"n/a")</f>
        <v>0.161174853037921</v>
      </c>
      <c r="CY7" s="13" t="n">
        <f aca="false">IFERROR(AVERAGEIF('Pemetaan Variant'!$A$5:$A$32,$B7,'Pemetaan Variant'!$AW$5:$AW$32),"n/a")</f>
        <v>11000</v>
      </c>
      <c r="CZ7" s="14" t="n">
        <f aca="false">IFERROR(IF(ISNUMBER(CY7),(CY7-AVERAGEIF('Pemetaan Variant'!$A$5:$A$32,$B7,'Pemetaan Variant'!$K$5:$K$32))/AVERAGEIF('Pemetaan Variant'!$A$5:$A$32,$B7,'Pemetaan Variant'!$K$5:$K$32)*100,"n/a"),"n/a")</f>
        <v>-4.34782608695652</v>
      </c>
      <c r="DA7" s="4" t="n">
        <f aca="false">IFERROR(IF(ISNUMBER(CZ7),$C7*CZ7,"n/a"),"n/a")</f>
        <v>-0.0345071325674072</v>
      </c>
      <c r="DB7" s="13" t="n">
        <f aca="false">IFERROR(AVERAGEIF('Pemetaan Variant'!$A$5:$A$32,$B7,'Pemetaan Variant'!$AX$5:$AX$32),"n/a")</f>
        <v>11000</v>
      </c>
      <c r="DC7" s="14" t="n">
        <f aca="false">IFERROR(IF(ISNUMBER(DB7),(DB7-AVERAGEIF('Pemetaan Variant'!$A$5:$A$32,$B7,'Pemetaan Variant'!$K$5:$K$32))/AVERAGEIF('Pemetaan Variant'!$A$5:$A$32,$B7,'Pemetaan Variant'!$K$5:$K$32)*100,"n/a"),"n/a")</f>
        <v>-4.34782608695652</v>
      </c>
      <c r="DD7" s="4" t="n">
        <f aca="false">IFERROR(IF(ISNUMBER(DC7),$C7*DC7,"n/a"),"n/a")</f>
        <v>-0.0345071325674072</v>
      </c>
      <c r="DE7" s="13" t="n">
        <f aca="false">IFERROR(AVERAGEIF('Pemetaan Variant'!$A$5:$A$32,$B7,'Pemetaan Variant'!$AY$5:$AY$32),"n/a")</f>
        <v>11000</v>
      </c>
      <c r="DF7" s="14" t="n">
        <f aca="false">IFERROR(IF(ISNUMBER(DE7),(DE7-AVERAGEIF('Pemetaan Variant'!$A$5:$A$32,$B7,'Pemetaan Variant'!$K$5:$K$32))/AVERAGEIF('Pemetaan Variant'!$A$5:$A$32,$B7,'Pemetaan Variant'!$K$5:$K$32)*100,"n/a"),"n/a")</f>
        <v>-4.34782608695652</v>
      </c>
      <c r="DG7" s="4" t="n">
        <f aca="false">IFERROR(IF(ISNUMBER(DF7),$C7*DF7,"n/a"),"n/a")</f>
        <v>-0.0345071325674072</v>
      </c>
      <c r="DH7" s="13" t="n">
        <f aca="false">IFERROR(AVERAGEIF('Pemetaan Variant'!$A$5:$A$32,$B7,'Pemetaan Variant'!$AZ$5:$AZ$32),"n/a")</f>
        <v>11000</v>
      </c>
      <c r="DI7" s="14" t="n">
        <f aca="false">IFERROR(IF(ISNUMBER(DH7),(DH7-AVERAGEIF('Pemetaan Variant'!$A$5:$A$32,$B7,'Pemetaan Variant'!$K$5:$K$32))/AVERAGEIF('Pemetaan Variant'!$A$5:$A$32,$B7,'Pemetaan Variant'!$K$5:$K$32)*100,"n/a"),"n/a")</f>
        <v>-4.34782608695652</v>
      </c>
      <c r="DJ7" s="4" t="n">
        <f aca="false">IFERROR(IF(ISNUMBER(DI7),$C7*DI7,"n/a"),"n/a")</f>
        <v>-0.0345071325674072</v>
      </c>
      <c r="DK7" s="13" t="n">
        <f aca="false">IFERROR(AVERAGEIF('Pemetaan Variant'!$A$5:$A$32,$B7,'Pemetaan Variant'!$BA$5:$BA$32),"n/a")</f>
        <v>11000</v>
      </c>
      <c r="DL7" s="14" t="n">
        <f aca="false">IFERROR(IF(ISNUMBER(DK7),(DK7-AVERAGEIF('Pemetaan Variant'!$A$5:$A$32,$B7,'Pemetaan Variant'!$L$5:$L$32))/AVERAGEIF('Pemetaan Variant'!$A$5:$A$32,$B7,'Pemetaan Variant'!$L$5:$L$32)*100,"n/a"),"n/a")</f>
        <v>0</v>
      </c>
      <c r="DM7" s="4" t="n">
        <f aca="false">IFERROR(IF(ISNUMBER(DL7),$C7*DL7,"n/a"),"n/a")</f>
        <v>0</v>
      </c>
      <c r="DN7" s="13" t="n">
        <f aca="false">IFERROR(AVERAGEIF('Pemetaan Variant'!$A$5:$A$32,$B7,'Pemetaan Variant'!$BB$5:$BB$32),"n/a")</f>
        <v>11000</v>
      </c>
      <c r="DO7" s="14" t="n">
        <f aca="false">IFERROR(IF(ISNUMBER(DN7),(DN7-AVERAGEIF('Pemetaan Variant'!$A$5:$A$32,$B7,'Pemetaan Variant'!$L$5:$L$32))/AVERAGEIF('Pemetaan Variant'!$A$5:$A$32,$B7,'Pemetaan Variant'!$L$5:$L$32)*100,"n/a"),"n/a")</f>
        <v>0</v>
      </c>
      <c r="DP7" s="4" t="n">
        <f aca="false">IFERROR(IF(ISNUMBER(DO7),$C7*DO7,"n/a"),"n/a")</f>
        <v>0</v>
      </c>
      <c r="DQ7" s="13" t="n">
        <f aca="false">IFERROR(AVERAGEIF('Pemetaan Variant'!$A$5:$A$32,$B7,'Pemetaan Variant'!$BC$5:$BC$32),"n/a")</f>
        <v>11000</v>
      </c>
      <c r="DR7" s="14" t="n">
        <f aca="false">IFERROR(IF(ISNUMBER(DQ7),(DQ7-AVERAGEIF('Pemetaan Variant'!$A$5:$A$32,$B7,'Pemetaan Variant'!$L$5:$L$32))/AVERAGEIF('Pemetaan Variant'!$A$5:$A$32,$B7,'Pemetaan Variant'!$L$5:$L$32)*100,"n/a"),"n/a")</f>
        <v>0</v>
      </c>
      <c r="DS7" s="4" t="n">
        <f aca="false">IFERROR(IF(ISNUMBER(DR7),$C7*DR7,"n/a"),"n/a")</f>
        <v>0</v>
      </c>
      <c r="DT7" s="13" t="n">
        <f aca="false">IFERROR(AVERAGEIF('Pemetaan Variant'!$A$5:$A$32,$B7,'Pemetaan Variant'!$BD$5:$BD$32),"n/a")</f>
        <v>11000</v>
      </c>
      <c r="DU7" s="14" t="n">
        <f aca="false">IFERROR(IF(ISNUMBER(DT7),(DT7-AVERAGEIF('Pemetaan Variant'!$A$5:$A$32,$B7,'Pemetaan Variant'!$L$5:$L$32))/AVERAGEIF('Pemetaan Variant'!$A$5:$A$32,$B7,'Pemetaan Variant'!$L$5:$L$32)*100,"n/a"),"n/a")</f>
        <v>0</v>
      </c>
      <c r="DV7" s="4" t="n">
        <f aca="false">IFERROR(IF(ISNUMBER(DU7),$C7*DU7,"n/a"),"n/a")</f>
        <v>0</v>
      </c>
      <c r="DW7" s="13" t="n">
        <f aca="false">IFERROR(AVERAGEIF('Pemetaan Variant'!$A$5:$A$32,$B7,'Pemetaan Variant'!$BE$5:$BE$32),"n/a")</f>
        <v>11000</v>
      </c>
      <c r="DX7" s="14" t="n">
        <f aca="false">IFERROR(IF(ISNUMBER(DW7),(DW7-AVERAGEIF('Pemetaan Variant'!$A$5:$A$32,$B7,'Pemetaan Variant'!$M$5:$M$32))/AVERAGEIF('Pemetaan Variant'!$A$5:$A$32,$B7,'Pemetaan Variant'!$M$5:$M$32)*100,"n/a"),"n/a")</f>
        <v>0</v>
      </c>
      <c r="DY7" s="4" t="n">
        <f aca="false">IFERROR(IF(ISNUMBER(DX7),$C7*DX7,"n/a"),"n/a")</f>
        <v>0</v>
      </c>
      <c r="DZ7" s="13" t="n">
        <f aca="false">IFERROR(AVERAGEIF('Pemetaan Variant'!$A$5:$A$32,$B7,'Pemetaan Variant'!$BF$5:$BF$32),"n/a")</f>
        <v>10900</v>
      </c>
      <c r="EA7" s="14" t="n">
        <f aca="false">IFERROR(IF(ISNUMBER(DZ7),(DZ7-AVERAGEIF('Pemetaan Variant'!$A$5:$A$32,$B7,'Pemetaan Variant'!$M$5:$M$32))/AVERAGEIF('Pemetaan Variant'!$A$5:$A$32,$B7,'Pemetaan Variant'!$M$5:$M$32)*100,"n/a"),"n/a")</f>
        <v>-0.909090909090909</v>
      </c>
      <c r="EB7" s="4" t="n">
        <f aca="false">IFERROR(IF(ISNUMBER(EA7),$C7*EA7,"n/a"),"n/a")</f>
        <v>-0.00721512771863969</v>
      </c>
      <c r="EC7" s="13" t="n">
        <f aca="false">IFERROR(AVERAGEIF('Pemetaan Variant'!$A$5:$A$32,$B7,'Pemetaan Variant'!$BG$5:$BG$32),"n/a")</f>
        <v>10500</v>
      </c>
      <c r="ED7" s="14" t="n">
        <f aca="false">IFERROR(IF(ISNUMBER(EC7),(EC7-AVERAGEIF('Pemetaan Variant'!$A$5:$A$32,$B7,'Pemetaan Variant'!$M$5:$M$32))/AVERAGEIF('Pemetaan Variant'!$A$5:$A$32,$B7,'Pemetaan Variant'!$M$5:$M$32)*100,"n/a"),"n/a")</f>
        <v>-4.54545454545455</v>
      </c>
      <c r="EE7" s="4" t="n">
        <f aca="false">IFERROR(IF(ISNUMBER(ED7),$C7*ED7,"n/a"),"n/a")</f>
        <v>-0.0360756385931985</v>
      </c>
      <c r="EF7" s="13" t="n">
        <f aca="false">IFERROR(AVERAGEIF('Pemetaan Variant'!$A$5:$A$32,$B7,'Pemetaan Variant'!$BH$5:$BH$32),"n/a")</f>
        <v>10800</v>
      </c>
      <c r="EG7" s="14" t="n">
        <f aca="false">IFERROR(IF(ISNUMBER(EF7),(EF7-AVERAGEIF('Pemetaan Variant'!$A$5:$A$32,$B7,'Pemetaan Variant'!$M$5:$M$32))/AVERAGEIF('Pemetaan Variant'!$A$5:$A$32,$B7,'Pemetaan Variant'!$M$5:$M$32)*100,"n/a"),"n/a")</f>
        <v>-1.81818181818182</v>
      </c>
      <c r="EH7" s="4" t="n">
        <f aca="false">IFERROR(IF(ISNUMBER(EG7),$C7*EG7,"n/a"),"n/a")</f>
        <v>-0.0144302554372794</v>
      </c>
      <c r="EI7" s="13" t="n">
        <f aca="false">IFERROR(AVERAGEIF('Pemetaan Variant'!$A$5:$A$32,$B7,'Pemetaan Variant'!$BI$5:$BI$32),"n/a")</f>
        <v>11000</v>
      </c>
      <c r="EJ7" s="14" t="n">
        <f aca="false">IFERROR(IF(ISNUMBER(EI7),(EI7-AVERAGEIF('Pemetaan Variant'!$A$5:$A$32,$B7,'Pemetaan Variant'!$M$5:$M$32))/AVERAGEIF('Pemetaan Variant'!$A$5:$A$32,$B7,'Pemetaan Variant'!$M$5:$M$32)*100,"n/a"),"n/a")</f>
        <v>0</v>
      </c>
      <c r="EK7" s="4" t="n">
        <f aca="false">IFERROR(IF(ISNUMBER(EJ7),$C7*EJ7,"n/a"),"n/a")</f>
        <v>0</v>
      </c>
      <c r="EL7" s="13" t="n">
        <f aca="false">IFERROR(AVERAGEIF('Pemetaan Variant'!$A$5:$A$32,$B7,'Pemetaan Variant'!$BJ$5:$BJ$32),"n/a")</f>
        <v>10800</v>
      </c>
      <c r="EM7" s="14" t="n">
        <f aca="false">IFERROR(IF(ISNUMBER(EL7),(EL7-AVERAGEIF('Pemetaan Variant'!$A$5:$A$32,$B7,'Pemetaan Variant'!$N$5:$N$32))/AVERAGEIF('Pemetaan Variant'!$A$5:$A$32,$B7,'Pemetaan Variant'!$N$5:$N$32)*100,"n/a"),"n/a")</f>
        <v>-0.240963855421694</v>
      </c>
      <c r="EN7" s="4" t="n">
        <f aca="false">IFERROR(IF(ISNUMBER(EM7),$C7*EM7,"n/a"),"n/a")</f>
        <v>-0.00191244349168769</v>
      </c>
      <c r="EO7" s="13" t="n">
        <f aca="false">IFERROR(AVERAGEIF('Pemetaan Variant'!$A$5:$A$32,$B7,'Pemetaan Variant'!$BK$5:$BK$32),"n/a")</f>
        <v>10500</v>
      </c>
      <c r="EP7" s="14" t="n">
        <f aca="false">IFERROR(IF(ISNUMBER(EO7),(EO7-AVERAGEIF('Pemetaan Variant'!$A$5:$A$32,$B7,'Pemetaan Variant'!$N$5:$N$32))/AVERAGEIF('Pemetaan Variant'!$A$5:$A$32,$B7,'Pemetaan Variant'!$N$5:$N$32)*100,"n/a"),"n/a")</f>
        <v>-3.01204819277109</v>
      </c>
      <c r="EQ7" s="4" t="n">
        <f aca="false">IFERROR(IF(ISNUMBER(EP7),$C7*EP7,"n/a"),"n/a")</f>
        <v>-0.0239055436460954</v>
      </c>
      <c r="ER7" s="13" t="n">
        <f aca="false">IFERROR(AVERAGEIF('Pemetaan Variant'!$A$5:$A$32,$B7,'Pemetaan Variant'!$BL$5:$BL$32),"n/a")</f>
        <v>10500</v>
      </c>
      <c r="ES7" s="14" t="n">
        <f aca="false">IFERROR(IF(ISNUMBER(ER7),(ER7-AVERAGEIF('Pemetaan Variant'!$A$5:$A$32,$B7,'Pemetaan Variant'!$N$5:$N$32))/AVERAGEIF('Pemetaan Variant'!$A$5:$A$32,$B7,'Pemetaan Variant'!$N$5:$N$32)*100,"n/a"),"n/a")</f>
        <v>-3.01204819277109</v>
      </c>
      <c r="ET7" s="4" t="n">
        <f aca="false">IFERROR(IF(ISNUMBER(ES7),$C7*ES7,"n/a"),"n/a")</f>
        <v>-0.0239055436460954</v>
      </c>
      <c r="EU7" s="13" t="n">
        <f aca="false">IFERROR(AVERAGEIF('Pemetaan Variant'!$A$5:$A$32,$B7,'Pemetaan Variant'!$BM$5:$BM$32),"n/a")</f>
        <v>10500</v>
      </c>
      <c r="EV7" s="14" t="n">
        <f aca="false">IFERROR(IF(ISNUMBER(EU7),(EU7-AVERAGEIF('Pemetaan Variant'!$A$5:$A$32,$B7,'Pemetaan Variant'!$N$5:$N$32))/AVERAGEIF('Pemetaan Variant'!$A$5:$A$32,$B7,'Pemetaan Variant'!$N$5:$N$32)*100,"n/a"),"n/a")</f>
        <v>-3.01204819277109</v>
      </c>
      <c r="EW7" s="4" t="n">
        <f aca="false">IFERROR(IF(ISNUMBER(EV7),$C7*EV7,"n/a"),"n/a")</f>
        <v>-0.0239055436460954</v>
      </c>
      <c r="EX7" s="13" t="n">
        <f aca="false">IFERROR(AVERAGEIF('Pemetaan Variant'!$A$5:$A$32,$B7,'Pemetaan Variant'!$BN$5:$BN$32),"n/a")</f>
        <v>11000</v>
      </c>
      <c r="EY7" s="14" t="n">
        <f aca="false">IFERROR(IF(ISNUMBER(EX7),(EX7-AVERAGEIF('Pemetaan Variant'!$A$5:$A$32,$B7,'Pemetaan Variant'!$O$5:$O$32))/AVERAGEIF('Pemetaan Variant'!$A$5:$A$32,$B7,'Pemetaan Variant'!$O$5:$O$32)*100,"n/a"),"n/a")</f>
        <v>4.01891252955083</v>
      </c>
      <c r="EZ7" s="4" t="n">
        <f aca="false">IFERROR(IF(ISNUMBER(EY7),$C7*EY7,"n/a"),"n/a")</f>
        <v>0.0318966639098256</v>
      </c>
      <c r="FA7" s="13" t="n">
        <f aca="false">IFERROR(AVERAGEIF('Pemetaan Variant'!$A$5:$A$32,$B7,'Pemetaan Variant'!$BO$5:$BO$32),"n/a")</f>
        <v>11000</v>
      </c>
      <c r="FB7" s="14" t="n">
        <f aca="false">IFERROR(IF(ISNUMBER(FA7),(FA7-AVERAGEIF('Pemetaan Variant'!$A$5:$A$32,$B7,'Pemetaan Variant'!$O$5:$O$32))/AVERAGEIF('Pemetaan Variant'!$A$5:$A$32,$B7,'Pemetaan Variant'!$O$5:$O$32)*100,"n/a"),"n/a")</f>
        <v>4.01891252955083</v>
      </c>
      <c r="FC7" s="4" t="n">
        <f aca="false">IFERROR(IF(ISNUMBER(FB7),$C7*FB7,"n/a"),"n/a")</f>
        <v>0.0318966639098256</v>
      </c>
      <c r="FD7" s="13" t="n">
        <f aca="false">IFERROR(AVERAGEIF('Pemetaan Variant'!$A$5:$A$32,$B7,'Pemetaan Variant'!$BP$5:$BP$32),"n/a")</f>
        <v>11000</v>
      </c>
      <c r="FE7" s="14" t="n">
        <f aca="false">IFERROR(IF(ISNUMBER(FD7),(FD7-AVERAGEIF('Pemetaan Variant'!$A$5:$A$32,$B7,'Pemetaan Variant'!$O$5:$O$32))/AVERAGEIF('Pemetaan Variant'!$A$5:$A$32,$B7,'Pemetaan Variant'!$O$5:$O$32)*100,"n/a"),"n/a")</f>
        <v>4.01891252955083</v>
      </c>
      <c r="FF7" s="4" t="n">
        <f aca="false">IFERROR(IF(ISNUMBER(FE7),$C7*FE7,"n/a"),"n/a")</f>
        <v>0.0318966639098256</v>
      </c>
      <c r="FG7" s="13" t="n">
        <f aca="false">IFERROR(AVERAGEIF('Pemetaan Variant'!$A$5:$A$32,$B7,'Pemetaan Variant'!$BQ$5:$BQ$32),"n/a")</f>
        <v>11000</v>
      </c>
      <c r="FH7" s="14" t="n">
        <f aca="false">IFERROR(IF(ISNUMBER(FG7),(FG7-AVERAGEIF('Pemetaan Variant'!$A$5:$A$32,$B7,'Pemetaan Variant'!$O$5:$O$32))/AVERAGEIF('Pemetaan Variant'!$A$5:$A$32,$B7,'Pemetaan Variant'!$O$5:$O$32)*100,"n/a"),"n/a")</f>
        <v>4.01891252955083</v>
      </c>
      <c r="FI7" s="4" t="n">
        <f aca="false">IFERROR(IF(ISNUMBER(FH7),$C7*FH7,"n/a"),"n/a")</f>
        <v>0.0318966639098256</v>
      </c>
      <c r="FJ7" s="13" t="n">
        <f aca="false">IFERROR(AVERAGEIF('Pemetaan Variant'!$A$5:$A$32,$B7,'Pemetaan Variant'!$BR$5:$BR$32),"n/a")</f>
        <v>11000</v>
      </c>
      <c r="FK7" s="14" t="n">
        <f aca="false">IFERROR(IF(ISNUMBER(FJ7),(FJ7-AVERAGEIF('Pemetaan Variant'!$A$5:$A$32,$B7,'Pemetaan Variant'!$O$5:$O$32))/AVERAGEIF('Pemetaan Variant'!$A$5:$A$32,$B7,'Pemetaan Variant'!$O$5:$O$32)*100,"n/a"),"n/a")</f>
        <v>4.01891252955083</v>
      </c>
      <c r="FL7" s="4" t="n">
        <f aca="false">IFERROR(IF(ISNUMBER(FK7),$C7*FK7,"n/a"),"n/a")</f>
        <v>0.0318966639098256</v>
      </c>
      <c r="FM7" s="15"/>
      <c r="FO7" s="11" t="n">
        <f aca="false">IFERROR(ABS(F7),0)</f>
        <v>0</v>
      </c>
      <c r="FP7" s="11" t="n">
        <f aca="false">IFERROR(ABS(I7),0)</f>
        <v>0.00835435841105648</v>
      </c>
      <c r="FQ7" s="11" t="n">
        <f aca="false">IFERROR(ABS(L7),0)</f>
        <v>0.0417717920552824</v>
      </c>
      <c r="FR7" s="11" t="n">
        <f aca="false">IFERROR(ABS(O7),0)</f>
        <v>0.0417717920552824</v>
      </c>
      <c r="FS7" s="11" t="n">
        <f aca="false">IFERROR(ABS(R7),0)</f>
        <v>0.0417717920552824</v>
      </c>
      <c r="FT7" s="11" t="n">
        <f aca="false">IFERROR(ABS(U7),0)</f>
        <v>0.0136838629146615</v>
      </c>
      <c r="FU7" s="11" t="n">
        <f aca="false">IFERROR(ABS(X7),0)</f>
        <v>0.0136838629146615</v>
      </c>
      <c r="FV7" s="11" t="n">
        <f aca="false">IFERROR(ABS(AA7),0)</f>
        <v>0.0136838629146615</v>
      </c>
      <c r="FW7" s="11" t="n">
        <f aca="false">IFERROR(ABS(AD7),0)</f>
        <v>0.0136838629146615</v>
      </c>
      <c r="FX7" s="11" t="n">
        <f aca="false">IFERROR(ABS(AG7),0)</f>
        <v>0</v>
      </c>
      <c r="FY7" s="11" t="n">
        <f aca="false">IFERROR(ABS(AJ7),0)</f>
        <v>0</v>
      </c>
      <c r="FZ7" s="11" t="n">
        <f aca="false">IFERROR(ABS(AM7),0)</f>
        <v>0</v>
      </c>
      <c r="GA7" s="11" t="n">
        <f aca="false">IFERROR(ABS(AP7),0)</f>
        <v>0</v>
      </c>
      <c r="GB7" s="11" t="n">
        <f aca="false">IFERROR(ABS(AS7),0)</f>
        <v>0</v>
      </c>
      <c r="GC7" s="11" t="n">
        <f aca="false">IFERROR(ABS(AV7),0)</f>
        <v>0</v>
      </c>
      <c r="GD7" s="11" t="n">
        <f aca="false">IFERROR(ABS(AY7),0)</f>
        <v>0</v>
      </c>
      <c r="GE7" s="11" t="n">
        <f aca="false">IFERROR(ABS(BB7),0)</f>
        <v>0</v>
      </c>
      <c r="GF7" s="11" t="n">
        <f aca="false">IFERROR(ABS(BE7),0)</f>
        <v>0</v>
      </c>
      <c r="GG7" s="11" t="n">
        <f aca="false">IFERROR(ABS(BH7),0)</f>
        <v>0</v>
      </c>
      <c r="GH7" s="11" t="n">
        <f aca="false">IFERROR(ABS(BK7),0)</f>
        <v>0</v>
      </c>
      <c r="GI7" s="11" t="n">
        <f aca="false">IFERROR(ABS(BN7),0)</f>
        <v>0</v>
      </c>
      <c r="GJ7" s="11" t="n">
        <f aca="false">IFERROR(ABS(BQ7),0)</f>
        <v>0</v>
      </c>
      <c r="GK7" s="11" t="n">
        <f aca="false">IFERROR(ABS(BT7),0)</f>
        <v>0</v>
      </c>
      <c r="GL7" s="11" t="n">
        <f aca="false">IFERROR(ABS(BW7),0)</f>
        <v>0</v>
      </c>
      <c r="GM7" s="11" t="n">
        <f aca="false">IFERROR(ABS(BZ7),0)</f>
        <v>0</v>
      </c>
      <c r="GN7" s="11" t="n">
        <f aca="false">IFERROR(ABS(CC7),0)</f>
        <v>0</v>
      </c>
      <c r="GO7" s="11" t="n">
        <f aca="false">IFERROR(ABS(CF7),0)</f>
        <v>0</v>
      </c>
      <c r="GP7" s="11" t="n">
        <f aca="false">IFERROR(ABS(CI7),0)</f>
        <v>0.209439124054958</v>
      </c>
      <c r="GQ7" s="11" t="n">
        <f aca="false">IFERROR(ABS(CL7),0)</f>
        <v>0.161174853037921</v>
      </c>
      <c r="GR7" s="11" t="n">
        <f aca="false">IFERROR(ABS(CO7),0)</f>
        <v>0.161174853037921</v>
      </c>
      <c r="GS7" s="11" t="n">
        <f aca="false">IFERROR(ABS(CR7),0)</f>
        <v>0.161174853037921</v>
      </c>
      <c r="GT7" s="11" t="n">
        <f aca="false">IFERROR(ABS(CU7),0)</f>
        <v>0.161174853037921</v>
      </c>
      <c r="GU7" s="11" t="n">
        <f aca="false">IFERROR(ABS(CX7),0)</f>
        <v>0.161174853037921</v>
      </c>
      <c r="GV7" s="11" t="n">
        <f aca="false">IFERROR(ABS(DA7),0)</f>
        <v>0.0345071325674072</v>
      </c>
      <c r="GW7" s="11" t="n">
        <f aca="false">IFERROR(ABS(DD7),0)</f>
        <v>0.0345071325674072</v>
      </c>
      <c r="GX7" s="11" t="n">
        <f aca="false">IFERROR(ABS(DG7),0)</f>
        <v>0.0345071325674072</v>
      </c>
      <c r="GY7" s="11" t="n">
        <f aca="false">IFERROR(ABS(DJ7),0)</f>
        <v>0.0345071325674072</v>
      </c>
      <c r="GZ7" s="11" t="n">
        <f aca="false">IFERROR(ABS(DM7),0)</f>
        <v>0</v>
      </c>
      <c r="HA7" s="11" t="n">
        <f aca="false">IFERROR(ABS(DP7),0)</f>
        <v>0</v>
      </c>
      <c r="HB7" s="11" t="n">
        <f aca="false">IFERROR(ABS(DS7),0)</f>
        <v>0</v>
      </c>
      <c r="HC7" s="11" t="n">
        <f aca="false">IFERROR(ABS(DV7),0)</f>
        <v>0</v>
      </c>
      <c r="HD7" s="11" t="n">
        <f aca="false">IFERROR(ABS(DY7),0)</f>
        <v>0</v>
      </c>
      <c r="HE7" s="11" t="n">
        <f aca="false">IFERROR(ABS(EB7),0)</f>
        <v>0.00721512771863969</v>
      </c>
      <c r="HF7" s="11" t="n">
        <f aca="false">IFERROR(ABS(EE7),0)</f>
        <v>0.0360756385931985</v>
      </c>
      <c r="HG7" s="11" t="n">
        <f aca="false">IFERROR(ABS(EH7),0)</f>
        <v>0.0144302554372794</v>
      </c>
      <c r="HH7" s="11" t="n">
        <f aca="false">IFERROR(ABS(EK7),0)</f>
        <v>0</v>
      </c>
      <c r="HI7" s="11" t="n">
        <f aca="false">IFERROR(ABS(EN7),0)</f>
        <v>0.00191244349168769</v>
      </c>
      <c r="HJ7" s="11" t="n">
        <f aca="false">IFERROR(ABS(EQ7),0)</f>
        <v>0.0239055436460954</v>
      </c>
      <c r="HK7" s="11" t="n">
        <f aca="false">IFERROR(ABS(ET7),0)</f>
        <v>0.0239055436460954</v>
      </c>
      <c r="HL7" s="11" t="n">
        <f aca="false">IFERROR(ABS(EW7),0)</f>
        <v>0.0239055436460954</v>
      </c>
      <c r="HM7" s="11" t="n">
        <f aca="false">IFERROR(ABS(EZ7),0)</f>
        <v>0.0318966639098256</v>
      </c>
      <c r="HN7" s="11" t="n">
        <f aca="false">IFERROR(ABS(FC7),0)</f>
        <v>0.0318966639098256</v>
      </c>
      <c r="HO7" s="11" t="n">
        <f aca="false">IFERROR(ABS(FF7),0)</f>
        <v>0.0318966639098256</v>
      </c>
      <c r="HP7" s="11" t="n">
        <f aca="false">IFERROR(ABS(FI7),0)</f>
        <v>0.0318966639098256</v>
      </c>
      <c r="HQ7" s="11" t="n">
        <f aca="false">IFERROR(ABS(FL7),0)</f>
        <v>0.0318966639098256</v>
      </c>
    </row>
    <row r="8" customFormat="false" ht="15" hidden="false" customHeight="false" outlineLevel="0" collapsed="false">
      <c r="A8" s="3" t="n">
        <v>3</v>
      </c>
      <c r="B8" s="3" t="s">
        <v>236</v>
      </c>
      <c r="C8" s="12" t="n">
        <f aca="false">'P0Q0 Dasar 2022'!F7</f>
        <v>0.0213321576646518</v>
      </c>
      <c r="D8" s="13" t="n">
        <f aca="false">IFERROR(AVERAGEIF('Pemetaan Variant'!$A$5:$A$32,$B8,'Pemetaan Variant'!$P$5:$P$32),"n/a")</f>
        <v>4750</v>
      </c>
      <c r="E8" s="14" t="n">
        <f aca="false">IFERROR(IF(ISNUMBER(D8),(D8-AVERAGEIF('Pemetaan Variant'!$A$5:$A$32,$B8,'Pemetaan Variant'!$D$5:$D$32))/AVERAGEIF('Pemetaan Variant'!$A$5:$A$32,$B8,'Pemetaan Variant'!$D$5:$D$32)*100,"n/a"),"n/a")</f>
        <v>0</v>
      </c>
      <c r="F8" s="4" t="n">
        <f aca="false">IFERROR(IF(ISNUMBER(E8),$C8*E8,"n/a"),"n/a")</f>
        <v>0</v>
      </c>
      <c r="G8" s="13" t="n">
        <f aca="false">IFERROR(AVERAGEIF('Pemetaan Variant'!$A$5:$A$32,$B8,'Pemetaan Variant'!$Q$5:$Q$32),"n/a")</f>
        <v>4750</v>
      </c>
      <c r="H8" s="14" t="n">
        <f aca="false">IFERROR(IF(ISNUMBER(G8),(G8-AVERAGEIF('Pemetaan Variant'!$A$5:$A$32,$B8,'Pemetaan Variant'!$D$5:$D$32))/AVERAGEIF('Pemetaan Variant'!$A$5:$A$32,$B8,'Pemetaan Variant'!$D$5:$D$32)*100,"n/a"),"n/a")</f>
        <v>0</v>
      </c>
      <c r="I8" s="4" t="n">
        <f aca="false">IFERROR(IF(ISNUMBER(H8),$C8*H8,"n/a"),"n/a")</f>
        <v>0</v>
      </c>
      <c r="J8" s="13" t="n">
        <f aca="false">IFERROR(AVERAGEIF('Pemetaan Variant'!$A$5:$A$32,$B8,'Pemetaan Variant'!$R$5:$R$32),"n/a")</f>
        <v>4750</v>
      </c>
      <c r="K8" s="14" t="n">
        <f aca="false">IFERROR(IF(ISNUMBER(J8),(J8-AVERAGEIF('Pemetaan Variant'!$A$5:$A$32,$B8,'Pemetaan Variant'!$D$5:$D$32))/AVERAGEIF('Pemetaan Variant'!$A$5:$A$32,$B8,'Pemetaan Variant'!$D$5:$D$32)*100,"n/a"),"n/a")</f>
        <v>0</v>
      </c>
      <c r="L8" s="4" t="n">
        <f aca="false">IFERROR(IF(ISNUMBER(K8),$C8*K8,"n/a"),"n/a")</f>
        <v>0</v>
      </c>
      <c r="M8" s="13" t="n">
        <f aca="false">IFERROR(AVERAGEIF('Pemetaan Variant'!$A$5:$A$32,$B8,'Pemetaan Variant'!$S$5:$S$32),"n/a")</f>
        <v>4750</v>
      </c>
      <c r="N8" s="14" t="n">
        <f aca="false">IFERROR(IF(ISNUMBER(M8),(M8-AVERAGEIF('Pemetaan Variant'!$A$5:$A$32,$B8,'Pemetaan Variant'!$D$5:$D$32))/AVERAGEIF('Pemetaan Variant'!$A$5:$A$32,$B8,'Pemetaan Variant'!$D$5:$D$32)*100,"n/a"),"n/a")</f>
        <v>0</v>
      </c>
      <c r="O8" s="4" t="n">
        <f aca="false">IFERROR(IF(ISNUMBER(N8),$C8*N8,"n/a"),"n/a")</f>
        <v>0</v>
      </c>
      <c r="P8" s="13" t="n">
        <f aca="false">IFERROR(AVERAGEIF('Pemetaan Variant'!$A$5:$A$32,$B8,'Pemetaan Variant'!$T$5:$T$32),"n/a")</f>
        <v>4750</v>
      </c>
      <c r="Q8" s="14" t="n">
        <f aca="false">IFERROR(IF(ISNUMBER(P8),(P8-AVERAGEIF('Pemetaan Variant'!$A$5:$A$32,$B8,'Pemetaan Variant'!$D$5:$D$32))/AVERAGEIF('Pemetaan Variant'!$A$5:$A$32,$B8,'Pemetaan Variant'!$D$5:$D$32)*100,"n/a"),"n/a")</f>
        <v>0</v>
      </c>
      <c r="R8" s="4" t="n">
        <f aca="false">IFERROR(IF(ISNUMBER(Q8),$C8*Q8,"n/a"),"n/a")</f>
        <v>0</v>
      </c>
      <c r="S8" s="13" t="n">
        <f aca="false">IFERROR(AVERAGEIF('Pemetaan Variant'!$A$5:$A$32,$B8,'Pemetaan Variant'!$U$5:$U$32),"n/a")</f>
        <v>4750</v>
      </c>
      <c r="T8" s="14" t="n">
        <f aca="false">IFERROR(IF(ISNUMBER(S8),(S8-AVERAGEIF('Pemetaan Variant'!$A$5:$A$32,$B8,'Pemetaan Variant'!$E$5:$E$32))/AVERAGEIF('Pemetaan Variant'!$A$5:$A$32,$B8,'Pemetaan Variant'!$E$5:$E$32)*100,"n/a"),"n/a")</f>
        <v>0</v>
      </c>
      <c r="U8" s="4" t="n">
        <f aca="false">IFERROR(IF(ISNUMBER(T8),$C8*T8,"n/a"),"n/a")</f>
        <v>0</v>
      </c>
      <c r="V8" s="13" t="n">
        <f aca="false">IFERROR(AVERAGEIF('Pemetaan Variant'!$A$5:$A$32,$B8,'Pemetaan Variant'!$V$5:$V$32),"n/a")</f>
        <v>4750</v>
      </c>
      <c r="W8" s="14" t="n">
        <f aca="false">IFERROR(IF(ISNUMBER(V8),(V8-AVERAGEIF('Pemetaan Variant'!$A$5:$A$32,$B8,'Pemetaan Variant'!$E$5:$E$32))/AVERAGEIF('Pemetaan Variant'!$A$5:$A$32,$B8,'Pemetaan Variant'!$E$5:$E$32)*100,"n/a"),"n/a")</f>
        <v>0</v>
      </c>
      <c r="X8" s="4" t="n">
        <f aca="false">IFERROR(IF(ISNUMBER(W8),$C8*W8,"n/a"),"n/a")</f>
        <v>0</v>
      </c>
      <c r="Y8" s="13" t="n">
        <f aca="false">IFERROR(AVERAGEIF('Pemetaan Variant'!$A$5:$A$32,$B8,'Pemetaan Variant'!$W$5:$W$32),"n/a")</f>
        <v>4750</v>
      </c>
      <c r="Z8" s="14" t="n">
        <f aca="false">IFERROR(IF(ISNUMBER(Y8),(Y8-AVERAGEIF('Pemetaan Variant'!$A$5:$A$32,$B8,'Pemetaan Variant'!$E$5:$E$32))/AVERAGEIF('Pemetaan Variant'!$A$5:$A$32,$B8,'Pemetaan Variant'!$E$5:$E$32)*100,"n/a"),"n/a")</f>
        <v>0</v>
      </c>
      <c r="AA8" s="4" t="n">
        <f aca="false">IFERROR(IF(ISNUMBER(Z8),$C8*Z8,"n/a"),"n/a")</f>
        <v>0</v>
      </c>
      <c r="AB8" s="13" t="n">
        <f aca="false">IFERROR(AVERAGEIF('Pemetaan Variant'!$A$5:$A$32,$B8,'Pemetaan Variant'!$X$5:$X$32),"n/a")</f>
        <v>4750</v>
      </c>
      <c r="AC8" s="14" t="n">
        <f aca="false">IFERROR(IF(ISNUMBER(AB8),(AB8-AVERAGEIF('Pemetaan Variant'!$A$5:$A$32,$B8,'Pemetaan Variant'!$E$5:$E$32))/AVERAGEIF('Pemetaan Variant'!$A$5:$A$32,$B8,'Pemetaan Variant'!$E$5:$E$32)*100,"n/a"),"n/a")</f>
        <v>0</v>
      </c>
      <c r="AD8" s="4" t="n">
        <f aca="false">IFERROR(IF(ISNUMBER(AC8),$C8*AC8,"n/a"),"n/a")</f>
        <v>0</v>
      </c>
      <c r="AE8" s="13" t="n">
        <f aca="false">IFERROR(AVERAGEIF('Pemetaan Variant'!$A$5:$A$32,$B8,'Pemetaan Variant'!$Y$5:$Y$32),"n/a")</f>
        <v>4750</v>
      </c>
      <c r="AF8" s="14" t="n">
        <f aca="false">IFERROR(IF(ISNUMBER(AE8),(AE8-AVERAGEIF('Pemetaan Variant'!$A$5:$A$32,$B8,'Pemetaan Variant'!$F$5:$F$32))/AVERAGEIF('Pemetaan Variant'!$A$5:$A$32,$B8,'Pemetaan Variant'!$F$5:$F$32)*100,"n/a"),"n/a")</f>
        <v>0</v>
      </c>
      <c r="AG8" s="4" t="n">
        <f aca="false">IFERROR(IF(ISNUMBER(AF8),$C8*AF8,"n/a"),"n/a")</f>
        <v>0</v>
      </c>
      <c r="AH8" s="13" t="n">
        <f aca="false">IFERROR(AVERAGEIF('Pemetaan Variant'!$A$5:$A$32,$B8,'Pemetaan Variant'!$Z$5:$Z$32),"n/a")</f>
        <v>4750</v>
      </c>
      <c r="AI8" s="14" t="n">
        <f aca="false">IFERROR(IF(ISNUMBER(AH8),(AH8-AVERAGEIF('Pemetaan Variant'!$A$5:$A$32,$B8,'Pemetaan Variant'!$F$5:$F$32))/AVERAGEIF('Pemetaan Variant'!$A$5:$A$32,$B8,'Pemetaan Variant'!$F$5:$F$32)*100,"n/a"),"n/a")</f>
        <v>0</v>
      </c>
      <c r="AJ8" s="4" t="n">
        <f aca="false">IFERROR(IF(ISNUMBER(AI8),$C8*AI8,"n/a"),"n/a")</f>
        <v>0</v>
      </c>
      <c r="AK8" s="13" t="n">
        <f aca="false">IFERROR(AVERAGEIF('Pemetaan Variant'!$A$5:$A$32,$B8,'Pemetaan Variant'!$AA$5:$AA$32),"n/a")</f>
        <v>4750</v>
      </c>
      <c r="AL8" s="14" t="n">
        <f aca="false">IFERROR(IF(ISNUMBER(AK8),(AK8-AVERAGEIF('Pemetaan Variant'!$A$5:$A$32,$B8,'Pemetaan Variant'!$F$5:$F$32))/AVERAGEIF('Pemetaan Variant'!$A$5:$A$32,$B8,'Pemetaan Variant'!$F$5:$F$32)*100,"n/a"),"n/a")</f>
        <v>0</v>
      </c>
      <c r="AM8" s="4" t="n">
        <f aca="false">IFERROR(IF(ISNUMBER(AL8),$C8*AL8,"n/a"),"n/a")</f>
        <v>0</v>
      </c>
      <c r="AN8" s="13" t="n">
        <f aca="false">IFERROR(AVERAGEIF('Pemetaan Variant'!$A$5:$A$32,$B8,'Pemetaan Variant'!$AB$5:$AB$32),"n/a")</f>
        <v>4750</v>
      </c>
      <c r="AO8" s="14" t="n">
        <f aca="false">IFERROR(IF(ISNUMBER(AN8),(AN8-AVERAGEIF('Pemetaan Variant'!$A$5:$A$32,$B8,'Pemetaan Variant'!$F$5:$F$32))/AVERAGEIF('Pemetaan Variant'!$A$5:$A$32,$B8,'Pemetaan Variant'!$F$5:$F$32)*100,"n/a"),"n/a")</f>
        <v>0</v>
      </c>
      <c r="AP8" s="4" t="n">
        <f aca="false">IFERROR(IF(ISNUMBER(AO8),$C8*AO8,"n/a"),"n/a")</f>
        <v>0</v>
      </c>
      <c r="AQ8" s="13" t="str">
        <f aca="false">IFERROR(AVERAGEIF('Pemetaan Variant'!$A$5:$A$32,$B8,'Pemetaan Variant'!$AC$5:$AC$32),"n/a")</f>
        <v>n/a</v>
      </c>
      <c r="AR8" s="14" t="str">
        <f aca="false">IFERROR(IF(ISNUMBER(AQ8),(AQ8-AVERAGEIF('Pemetaan Variant'!$A$5:$A$32,$B8,'Pemetaan Variant'!$F$5:$F$32))/AVERAGEIF('Pemetaan Variant'!$A$5:$A$32,$B8,'Pemetaan Variant'!$F$5:$F$32)*100,"n/a"),"n/a")</f>
        <v>n/a</v>
      </c>
      <c r="AS8" s="4" t="str">
        <f aca="false">IFERROR(IF(ISNUMBER(AR8),$C8*AR8,"n/a"),"n/a")</f>
        <v>n/a</v>
      </c>
      <c r="AT8" s="13" t="str">
        <f aca="false">IFERROR(AVERAGEIF('Pemetaan Variant'!$A$5:$A$32,$B8,'Pemetaan Variant'!$AD$5:$AD$32),"n/a")</f>
        <v>n/a</v>
      </c>
      <c r="AU8" s="14" t="str">
        <f aca="false">IFERROR(IF(ISNUMBER(AT8),(AT8-AVERAGEIF('Pemetaan Variant'!$A$5:$A$32,$B8,'Pemetaan Variant'!$G$5:$G$32))/AVERAGEIF('Pemetaan Variant'!$A$5:$A$32,$B8,'Pemetaan Variant'!$G$5:$G$32)*100,"n/a"),"n/a")</f>
        <v>n/a</v>
      </c>
      <c r="AV8" s="4" t="str">
        <f aca="false">IFERROR(IF(ISNUMBER(AU8),$C8*AU8,"n/a"),"n/a")</f>
        <v>n/a</v>
      </c>
      <c r="AW8" s="13" t="n">
        <f aca="false">IFERROR(AVERAGEIF('Pemetaan Variant'!$A$5:$A$32,$B8,'Pemetaan Variant'!$AE$5:$AE$32),"n/a")</f>
        <v>4750</v>
      </c>
      <c r="AX8" s="14" t="n">
        <f aca="false">IFERROR(IF(ISNUMBER(AW8),(AW8-AVERAGEIF('Pemetaan Variant'!$A$5:$A$32,$B8,'Pemetaan Variant'!$G$5:$G$32))/AVERAGEIF('Pemetaan Variant'!$A$5:$A$32,$B8,'Pemetaan Variant'!$G$5:$G$32)*100,"n/a"),"n/a")</f>
        <v>0</v>
      </c>
      <c r="AY8" s="4" t="n">
        <f aca="false">IFERROR(IF(ISNUMBER(AX8),$C8*AX8,"n/a"),"n/a")</f>
        <v>0</v>
      </c>
      <c r="AZ8" s="13" t="n">
        <f aca="false">IFERROR(AVERAGEIF('Pemetaan Variant'!$A$5:$A$32,$B8,'Pemetaan Variant'!$AF$5:$AF$32),"n/a")</f>
        <v>4750</v>
      </c>
      <c r="BA8" s="14" t="n">
        <f aca="false">IFERROR(IF(ISNUMBER(AZ8),(AZ8-AVERAGEIF('Pemetaan Variant'!$A$5:$A$32,$B8,'Pemetaan Variant'!$G$5:$G$32))/AVERAGEIF('Pemetaan Variant'!$A$5:$A$32,$B8,'Pemetaan Variant'!$G$5:$G$32)*100,"n/a"),"n/a")</f>
        <v>0</v>
      </c>
      <c r="BB8" s="4" t="n">
        <f aca="false">IFERROR(IF(ISNUMBER(BA8),$C8*BA8,"n/a"),"n/a")</f>
        <v>0</v>
      </c>
      <c r="BC8" s="13" t="n">
        <f aca="false">IFERROR(AVERAGEIF('Pemetaan Variant'!$A$5:$A$32,$B8,'Pemetaan Variant'!$AG$5:$AG$32),"n/a")</f>
        <v>4750</v>
      </c>
      <c r="BD8" s="14" t="n">
        <f aca="false">IFERROR(IF(ISNUMBER(BC8),(BC8-AVERAGEIF('Pemetaan Variant'!$A$5:$A$32,$B8,'Pemetaan Variant'!$G$5:$G$32))/AVERAGEIF('Pemetaan Variant'!$A$5:$A$32,$B8,'Pemetaan Variant'!$G$5:$G$32)*100,"n/a"),"n/a")</f>
        <v>0</v>
      </c>
      <c r="BE8" s="4" t="n">
        <f aca="false">IFERROR(IF(ISNUMBER(BD8),$C8*BD8,"n/a"),"n/a")</f>
        <v>0</v>
      </c>
      <c r="BF8" s="13" t="n">
        <f aca="false">IFERROR(AVERAGEIF('Pemetaan Variant'!$A$5:$A$32,$B8,'Pemetaan Variant'!$AH$5:$AH$32),"n/a")</f>
        <v>4750</v>
      </c>
      <c r="BG8" s="14" t="n">
        <f aca="false">IFERROR(IF(ISNUMBER(BF8),(BF8-AVERAGEIF('Pemetaan Variant'!$A$5:$A$32,$B8,'Pemetaan Variant'!$G$5:$G$32))/AVERAGEIF('Pemetaan Variant'!$A$5:$A$32,$B8,'Pemetaan Variant'!$G$5:$G$32)*100,"n/a"),"n/a")</f>
        <v>0</v>
      </c>
      <c r="BH8" s="4" t="n">
        <f aca="false">IFERROR(IF(ISNUMBER(BG8),$C8*BG8,"n/a"),"n/a")</f>
        <v>0</v>
      </c>
      <c r="BI8" s="13" t="n">
        <f aca="false">IFERROR(AVERAGEIF('Pemetaan Variant'!$A$5:$A$32,$B8,'Pemetaan Variant'!$AI$5:$AI$32),"n/a")</f>
        <v>4750</v>
      </c>
      <c r="BJ8" s="14" t="n">
        <f aca="false">IFERROR(IF(ISNUMBER(BI8),(BI8-AVERAGEIF('Pemetaan Variant'!$A$5:$A$32,$B8,'Pemetaan Variant'!$H$5:$H$32))/AVERAGEIF('Pemetaan Variant'!$A$5:$A$32,$B8,'Pemetaan Variant'!$H$5:$H$32)*100,"n/a"),"n/a")</f>
        <v>0</v>
      </c>
      <c r="BK8" s="4" t="n">
        <f aca="false">IFERROR(IF(ISNUMBER(BJ8),$C8*BJ8,"n/a"),"n/a")</f>
        <v>0</v>
      </c>
      <c r="BL8" s="13" t="n">
        <f aca="false">IFERROR(AVERAGEIF('Pemetaan Variant'!$A$5:$A$32,$B8,'Pemetaan Variant'!$AJ$5:$AJ$32),"n/a")</f>
        <v>4750</v>
      </c>
      <c r="BM8" s="14" t="n">
        <f aca="false">IFERROR(IF(ISNUMBER(BL8),(BL8-AVERAGEIF('Pemetaan Variant'!$A$5:$A$32,$B8,'Pemetaan Variant'!$H$5:$H$32))/AVERAGEIF('Pemetaan Variant'!$A$5:$A$32,$B8,'Pemetaan Variant'!$H$5:$H$32)*100,"n/a"),"n/a")</f>
        <v>0</v>
      </c>
      <c r="BN8" s="4" t="n">
        <f aca="false">IFERROR(IF(ISNUMBER(BM8),$C8*BM8,"n/a"),"n/a")</f>
        <v>0</v>
      </c>
      <c r="BO8" s="13" t="n">
        <f aca="false">IFERROR(AVERAGEIF('Pemetaan Variant'!$A$5:$A$32,$B8,'Pemetaan Variant'!$AK$5:$AK$32),"n/a")</f>
        <v>4750</v>
      </c>
      <c r="BP8" s="14" t="n">
        <f aca="false">IFERROR(IF(ISNUMBER(BO8),(BO8-AVERAGEIF('Pemetaan Variant'!$A$5:$A$32,$B8,'Pemetaan Variant'!$H$5:$H$32))/AVERAGEIF('Pemetaan Variant'!$A$5:$A$32,$B8,'Pemetaan Variant'!$H$5:$H$32)*100,"n/a"),"n/a")</f>
        <v>0</v>
      </c>
      <c r="BQ8" s="4" t="n">
        <f aca="false">IFERROR(IF(ISNUMBER(BP8),$C8*BP8,"n/a"),"n/a")</f>
        <v>0</v>
      </c>
      <c r="BR8" s="13" t="n">
        <f aca="false">IFERROR(AVERAGEIF('Pemetaan Variant'!$A$5:$A$32,$B8,'Pemetaan Variant'!$AL$5:$AL$32),"n/a")</f>
        <v>4750</v>
      </c>
      <c r="BS8" s="14" t="n">
        <f aca="false">IFERROR(IF(ISNUMBER(BR8),(BR8-AVERAGEIF('Pemetaan Variant'!$A$5:$A$32,$B8,'Pemetaan Variant'!$H$5:$H$32))/AVERAGEIF('Pemetaan Variant'!$A$5:$A$32,$B8,'Pemetaan Variant'!$H$5:$H$32)*100,"n/a"),"n/a")</f>
        <v>0</v>
      </c>
      <c r="BT8" s="4" t="n">
        <f aca="false">IFERROR(IF(ISNUMBER(BS8),$C8*BS8,"n/a"),"n/a")</f>
        <v>0</v>
      </c>
      <c r="BU8" s="13" t="n">
        <f aca="false">IFERROR(AVERAGEIF('Pemetaan Variant'!$A$5:$A$32,$B8,'Pemetaan Variant'!$AM$5:$AM$32),"n/a")</f>
        <v>4750</v>
      </c>
      <c r="BV8" s="14" t="n">
        <f aca="false">IFERROR(IF(ISNUMBER(BU8),(BU8-AVERAGEIF('Pemetaan Variant'!$A$5:$A$32,$B8,'Pemetaan Variant'!$H$5:$H$32))/AVERAGEIF('Pemetaan Variant'!$A$5:$A$32,$B8,'Pemetaan Variant'!$H$5:$H$32)*100,"n/a"),"n/a")</f>
        <v>0</v>
      </c>
      <c r="BW8" s="4" t="n">
        <f aca="false">IFERROR(IF(ISNUMBER(BV8),$C8*BV8,"n/a"),"n/a")</f>
        <v>0</v>
      </c>
      <c r="BX8" s="13" t="n">
        <f aca="false">IFERROR(AVERAGEIF('Pemetaan Variant'!$A$5:$A$32,$B8,'Pemetaan Variant'!$AN$5:$AN$32),"n/a")</f>
        <v>4750</v>
      </c>
      <c r="BY8" s="14" t="n">
        <f aca="false">IFERROR(IF(ISNUMBER(BX8),(BX8-AVERAGEIF('Pemetaan Variant'!$A$5:$A$32,$B8,'Pemetaan Variant'!$I$5:$I$32))/AVERAGEIF('Pemetaan Variant'!$A$5:$A$32,$B8,'Pemetaan Variant'!$I$5:$I$32)*100,"n/a"),"n/a")</f>
        <v>0</v>
      </c>
      <c r="BZ8" s="4" t="n">
        <f aca="false">IFERROR(IF(ISNUMBER(BY8),$C8*BY8,"n/a"),"n/a")</f>
        <v>0</v>
      </c>
      <c r="CA8" s="13" t="n">
        <f aca="false">IFERROR(AVERAGEIF('Pemetaan Variant'!$A$5:$A$32,$B8,'Pemetaan Variant'!$AO$5:$AO$32),"n/a")</f>
        <v>4750</v>
      </c>
      <c r="CB8" s="14" t="n">
        <f aca="false">IFERROR(IF(ISNUMBER(CA8),(CA8-AVERAGEIF('Pemetaan Variant'!$A$5:$A$32,$B8,'Pemetaan Variant'!$I$5:$I$32))/AVERAGEIF('Pemetaan Variant'!$A$5:$A$32,$B8,'Pemetaan Variant'!$I$5:$I$32)*100,"n/a"),"n/a")</f>
        <v>0</v>
      </c>
      <c r="CC8" s="4" t="n">
        <f aca="false">IFERROR(IF(ISNUMBER(CB8),$C8*CB8,"n/a"),"n/a")</f>
        <v>0</v>
      </c>
      <c r="CD8" s="13" t="n">
        <f aca="false">IFERROR(AVERAGEIF('Pemetaan Variant'!$A$5:$A$32,$B8,'Pemetaan Variant'!$AP$5:$AP$32),"n/a")</f>
        <v>4750</v>
      </c>
      <c r="CE8" s="14" t="n">
        <f aca="false">IFERROR(IF(ISNUMBER(CD8),(CD8-AVERAGEIF('Pemetaan Variant'!$A$5:$A$32,$B8,'Pemetaan Variant'!$I$5:$I$32))/AVERAGEIF('Pemetaan Variant'!$A$5:$A$32,$B8,'Pemetaan Variant'!$I$5:$I$32)*100,"n/a"),"n/a")</f>
        <v>0</v>
      </c>
      <c r="CF8" s="4" t="n">
        <f aca="false">IFERROR(IF(ISNUMBER(CE8),$C8*CE8,"n/a"),"n/a")</f>
        <v>0</v>
      </c>
      <c r="CG8" s="13" t="n">
        <f aca="false">IFERROR(AVERAGEIF('Pemetaan Variant'!$A$5:$A$32,$B8,'Pemetaan Variant'!$AQ$5:$AQ$32),"n/a")</f>
        <v>4750</v>
      </c>
      <c r="CH8" s="14" t="n">
        <f aca="false">IFERROR(IF(ISNUMBER(CG8),(CG8-AVERAGEIF('Pemetaan Variant'!$A$5:$A$32,$B8,'Pemetaan Variant'!$I$5:$I$32))/AVERAGEIF('Pemetaan Variant'!$A$5:$A$32,$B8,'Pemetaan Variant'!$I$5:$I$32)*100,"n/a"),"n/a")</f>
        <v>0</v>
      </c>
      <c r="CI8" s="4" t="n">
        <f aca="false">IFERROR(IF(ISNUMBER(CH8),$C8*CH8,"n/a"),"n/a")</f>
        <v>0</v>
      </c>
      <c r="CJ8" s="13" t="n">
        <f aca="false">IFERROR(AVERAGEIF('Pemetaan Variant'!$A$5:$A$32,$B8,'Pemetaan Variant'!$AR$5:$AR$32),"n/a")</f>
        <v>4750</v>
      </c>
      <c r="CK8" s="14" t="n">
        <f aca="false">IFERROR(IF(ISNUMBER(CJ8),(CJ8-AVERAGEIF('Pemetaan Variant'!$A$5:$A$32,$B8,'Pemetaan Variant'!$J$5:$J$32))/AVERAGEIF('Pemetaan Variant'!$A$5:$A$32,$B8,'Pemetaan Variant'!$J$5:$J$32)*100,"n/a"),"n/a")</f>
        <v>0</v>
      </c>
      <c r="CL8" s="4" t="n">
        <f aca="false">IFERROR(IF(ISNUMBER(CK8),$C8*CK8,"n/a"),"n/a")</f>
        <v>0</v>
      </c>
      <c r="CM8" s="13" t="n">
        <f aca="false">IFERROR(AVERAGEIF('Pemetaan Variant'!$A$5:$A$32,$B8,'Pemetaan Variant'!$AS$5:$AS$32),"n/a")</f>
        <v>4750</v>
      </c>
      <c r="CN8" s="14" t="n">
        <f aca="false">IFERROR(IF(ISNUMBER(CM8),(CM8-AVERAGEIF('Pemetaan Variant'!$A$5:$A$32,$B8,'Pemetaan Variant'!$J$5:$J$32))/AVERAGEIF('Pemetaan Variant'!$A$5:$A$32,$B8,'Pemetaan Variant'!$J$5:$J$32)*100,"n/a"),"n/a")</f>
        <v>0</v>
      </c>
      <c r="CO8" s="4" t="n">
        <f aca="false">IFERROR(IF(ISNUMBER(CN8),$C8*CN8,"n/a"),"n/a")</f>
        <v>0</v>
      </c>
      <c r="CP8" s="13" t="n">
        <f aca="false">IFERROR(AVERAGEIF('Pemetaan Variant'!$A$5:$A$32,$B8,'Pemetaan Variant'!$AT$5:$AT$32),"n/a")</f>
        <v>4750</v>
      </c>
      <c r="CQ8" s="14" t="n">
        <f aca="false">IFERROR(IF(ISNUMBER(CP8),(CP8-AVERAGEIF('Pemetaan Variant'!$A$5:$A$32,$B8,'Pemetaan Variant'!$J$5:$J$32))/AVERAGEIF('Pemetaan Variant'!$A$5:$A$32,$B8,'Pemetaan Variant'!$J$5:$J$32)*100,"n/a"),"n/a")</f>
        <v>0</v>
      </c>
      <c r="CR8" s="4" t="n">
        <f aca="false">IFERROR(IF(ISNUMBER(CQ8),$C8*CQ8,"n/a"),"n/a")</f>
        <v>0</v>
      </c>
      <c r="CS8" s="13" t="n">
        <f aca="false">IFERROR(AVERAGEIF('Pemetaan Variant'!$A$5:$A$32,$B8,'Pemetaan Variant'!$AU$5:$AU$32),"n/a")</f>
        <v>4750</v>
      </c>
      <c r="CT8" s="14" t="n">
        <f aca="false">IFERROR(IF(ISNUMBER(CS8),(CS8-AVERAGEIF('Pemetaan Variant'!$A$5:$A$32,$B8,'Pemetaan Variant'!$J$5:$J$32))/AVERAGEIF('Pemetaan Variant'!$A$5:$A$32,$B8,'Pemetaan Variant'!$J$5:$J$32)*100,"n/a"),"n/a")</f>
        <v>0</v>
      </c>
      <c r="CU8" s="4" t="n">
        <f aca="false">IFERROR(IF(ISNUMBER(CT8),$C8*CT8,"n/a"),"n/a")</f>
        <v>0</v>
      </c>
      <c r="CV8" s="13" t="n">
        <f aca="false">IFERROR(AVERAGEIF('Pemetaan Variant'!$A$5:$A$32,$B8,'Pemetaan Variant'!$AV$5:$AV$32),"n/a")</f>
        <v>4750</v>
      </c>
      <c r="CW8" s="14" t="n">
        <f aca="false">IFERROR(IF(ISNUMBER(CV8),(CV8-AVERAGEIF('Pemetaan Variant'!$A$5:$A$32,$B8,'Pemetaan Variant'!$J$5:$J$32))/AVERAGEIF('Pemetaan Variant'!$A$5:$A$32,$B8,'Pemetaan Variant'!$J$5:$J$32)*100,"n/a"),"n/a")</f>
        <v>0</v>
      </c>
      <c r="CX8" s="4" t="n">
        <f aca="false">IFERROR(IF(ISNUMBER(CW8),$C8*CW8,"n/a"),"n/a")</f>
        <v>0</v>
      </c>
      <c r="CY8" s="13" t="n">
        <f aca="false">IFERROR(AVERAGEIF('Pemetaan Variant'!$A$5:$A$32,$B8,'Pemetaan Variant'!$AW$5:$AW$32),"n/a")</f>
        <v>4750</v>
      </c>
      <c r="CZ8" s="14" t="n">
        <f aca="false">IFERROR(IF(ISNUMBER(CY8),(CY8-AVERAGEIF('Pemetaan Variant'!$A$5:$A$32,$B8,'Pemetaan Variant'!$K$5:$K$32))/AVERAGEIF('Pemetaan Variant'!$A$5:$A$32,$B8,'Pemetaan Variant'!$K$5:$K$32)*100,"n/a"),"n/a")</f>
        <v>0</v>
      </c>
      <c r="DA8" s="4" t="n">
        <f aca="false">IFERROR(IF(ISNUMBER(CZ8),$C8*CZ8,"n/a"),"n/a")</f>
        <v>0</v>
      </c>
      <c r="DB8" s="13" t="n">
        <f aca="false">IFERROR(AVERAGEIF('Pemetaan Variant'!$A$5:$A$32,$B8,'Pemetaan Variant'!$AX$5:$AX$32),"n/a")</f>
        <v>4750</v>
      </c>
      <c r="DC8" s="14" t="n">
        <f aca="false">IFERROR(IF(ISNUMBER(DB8),(DB8-AVERAGEIF('Pemetaan Variant'!$A$5:$A$32,$B8,'Pemetaan Variant'!$K$5:$K$32))/AVERAGEIF('Pemetaan Variant'!$A$5:$A$32,$B8,'Pemetaan Variant'!$K$5:$K$32)*100,"n/a"),"n/a")</f>
        <v>0</v>
      </c>
      <c r="DD8" s="4" t="n">
        <f aca="false">IFERROR(IF(ISNUMBER(DC8),$C8*DC8,"n/a"),"n/a")</f>
        <v>0</v>
      </c>
      <c r="DE8" s="13" t="n">
        <f aca="false">IFERROR(AVERAGEIF('Pemetaan Variant'!$A$5:$A$32,$B8,'Pemetaan Variant'!$AY$5:$AY$32),"n/a")</f>
        <v>4750</v>
      </c>
      <c r="DF8" s="14" t="n">
        <f aca="false">IFERROR(IF(ISNUMBER(DE8),(DE8-AVERAGEIF('Pemetaan Variant'!$A$5:$A$32,$B8,'Pemetaan Variant'!$K$5:$K$32))/AVERAGEIF('Pemetaan Variant'!$A$5:$A$32,$B8,'Pemetaan Variant'!$K$5:$K$32)*100,"n/a"),"n/a")</f>
        <v>0</v>
      </c>
      <c r="DG8" s="4" t="n">
        <f aca="false">IFERROR(IF(ISNUMBER(DF8),$C8*DF8,"n/a"),"n/a")</f>
        <v>0</v>
      </c>
      <c r="DH8" s="13" t="n">
        <f aca="false">IFERROR(AVERAGEIF('Pemetaan Variant'!$A$5:$A$32,$B8,'Pemetaan Variant'!$AZ$5:$AZ$32),"n/a")</f>
        <v>5750</v>
      </c>
      <c r="DI8" s="14" t="n">
        <f aca="false">IFERROR(IF(ISNUMBER(DH8),(DH8-AVERAGEIF('Pemetaan Variant'!$A$5:$A$32,$B8,'Pemetaan Variant'!$K$5:$K$32))/AVERAGEIF('Pemetaan Variant'!$A$5:$A$32,$B8,'Pemetaan Variant'!$K$5:$K$32)*100,"n/a"),"n/a")</f>
        <v>21.0526315789474</v>
      </c>
      <c r="DJ8" s="4" t="n">
        <f aca="false">IFERROR(IF(ISNUMBER(DI8),$C8*DI8,"n/a"),"n/a")</f>
        <v>0.449098056097933</v>
      </c>
      <c r="DK8" s="13" t="n">
        <f aca="false">IFERROR(AVERAGEIF('Pemetaan Variant'!$A$5:$A$32,$B8,'Pemetaan Variant'!$BA$5:$BA$32),"n/a")</f>
        <v>6000</v>
      </c>
      <c r="DL8" s="14" t="n">
        <f aca="false">IFERROR(IF(ISNUMBER(DK8),(DK8-AVERAGEIF('Pemetaan Variant'!$A$5:$A$32,$B8,'Pemetaan Variant'!$L$5:$L$32))/AVERAGEIF('Pemetaan Variant'!$A$5:$A$32,$B8,'Pemetaan Variant'!$L$5:$L$32)*100,"n/a"),"n/a")</f>
        <v>19.6850393700787</v>
      </c>
      <c r="DM8" s="4" t="n">
        <f aca="false">IFERROR(IF(ISNUMBER(DL8),$C8*DL8,"n/a"),"n/a")</f>
        <v>0.419924363477397</v>
      </c>
      <c r="DN8" s="13" t="n">
        <f aca="false">IFERROR(AVERAGEIF('Pemetaan Variant'!$A$5:$A$32,$B8,'Pemetaan Variant'!$BB$5:$BB$32),"n/a")</f>
        <v>6000</v>
      </c>
      <c r="DO8" s="14" t="n">
        <f aca="false">IFERROR(IF(ISNUMBER(DN8),(DN8-AVERAGEIF('Pemetaan Variant'!$A$5:$A$32,$B8,'Pemetaan Variant'!$L$5:$L$32))/AVERAGEIF('Pemetaan Variant'!$A$5:$A$32,$B8,'Pemetaan Variant'!$L$5:$L$32)*100,"n/a"),"n/a")</f>
        <v>19.6850393700787</v>
      </c>
      <c r="DP8" s="4" t="n">
        <f aca="false">IFERROR(IF(ISNUMBER(DO8),$C8*DO8,"n/a"),"n/a")</f>
        <v>0.419924363477397</v>
      </c>
      <c r="DQ8" s="13" t="n">
        <f aca="false">IFERROR(AVERAGEIF('Pemetaan Variant'!$A$5:$A$32,$B8,'Pemetaan Variant'!$BC$5:$BC$32),"n/a")</f>
        <v>6000</v>
      </c>
      <c r="DR8" s="14" t="n">
        <f aca="false">IFERROR(IF(ISNUMBER(DQ8),(DQ8-AVERAGEIF('Pemetaan Variant'!$A$5:$A$32,$B8,'Pemetaan Variant'!$L$5:$L$32))/AVERAGEIF('Pemetaan Variant'!$A$5:$A$32,$B8,'Pemetaan Variant'!$L$5:$L$32)*100,"n/a"),"n/a")</f>
        <v>19.6850393700787</v>
      </c>
      <c r="DS8" s="4" t="n">
        <f aca="false">IFERROR(IF(ISNUMBER(DR8),$C8*DR8,"n/a"),"n/a")</f>
        <v>0.419924363477397</v>
      </c>
      <c r="DT8" s="13" t="n">
        <f aca="false">IFERROR(AVERAGEIF('Pemetaan Variant'!$A$5:$A$32,$B8,'Pemetaan Variant'!$BD$5:$BD$32),"n/a")</f>
        <v>6000</v>
      </c>
      <c r="DU8" s="14" t="n">
        <f aca="false">IFERROR(IF(ISNUMBER(DT8),(DT8-AVERAGEIF('Pemetaan Variant'!$A$5:$A$32,$B8,'Pemetaan Variant'!$L$5:$L$32))/AVERAGEIF('Pemetaan Variant'!$A$5:$A$32,$B8,'Pemetaan Variant'!$L$5:$L$32)*100,"n/a"),"n/a")</f>
        <v>19.6850393700787</v>
      </c>
      <c r="DV8" s="4" t="n">
        <f aca="false">IFERROR(IF(ISNUMBER(DU8),$C8*DU8,"n/a"),"n/a")</f>
        <v>0.419924363477397</v>
      </c>
      <c r="DW8" s="13" t="n">
        <f aca="false">IFERROR(AVERAGEIF('Pemetaan Variant'!$A$5:$A$32,$B8,'Pemetaan Variant'!$BE$5:$BE$32),"n/a")</f>
        <v>6000</v>
      </c>
      <c r="DX8" s="14" t="n">
        <f aca="false">IFERROR(IF(ISNUMBER(DW8),(DW8-AVERAGEIF('Pemetaan Variant'!$A$5:$A$32,$B8,'Pemetaan Variant'!$M$5:$M$32))/AVERAGEIF('Pemetaan Variant'!$A$5:$A$32,$B8,'Pemetaan Variant'!$M$5:$M$32)*100,"n/a"),"n/a")</f>
        <v>0</v>
      </c>
      <c r="DY8" s="4" t="n">
        <f aca="false">IFERROR(IF(ISNUMBER(DX8),$C8*DX8,"n/a"),"n/a")</f>
        <v>0</v>
      </c>
      <c r="DZ8" s="13" t="n">
        <f aca="false">IFERROR(AVERAGEIF('Pemetaan Variant'!$A$5:$A$32,$B8,'Pemetaan Variant'!$BF$5:$BF$32),"n/a")</f>
        <v>6000</v>
      </c>
      <c r="EA8" s="14" t="n">
        <f aca="false">IFERROR(IF(ISNUMBER(DZ8),(DZ8-AVERAGEIF('Pemetaan Variant'!$A$5:$A$32,$B8,'Pemetaan Variant'!$M$5:$M$32))/AVERAGEIF('Pemetaan Variant'!$A$5:$A$32,$B8,'Pemetaan Variant'!$M$5:$M$32)*100,"n/a"),"n/a")</f>
        <v>0</v>
      </c>
      <c r="EB8" s="4" t="n">
        <f aca="false">IFERROR(IF(ISNUMBER(EA8),$C8*EA8,"n/a"),"n/a")</f>
        <v>0</v>
      </c>
      <c r="EC8" s="13" t="n">
        <f aca="false">IFERROR(AVERAGEIF('Pemetaan Variant'!$A$5:$A$32,$B8,'Pemetaan Variant'!$BG$5:$BG$32),"n/a")</f>
        <v>6000</v>
      </c>
      <c r="ED8" s="14" t="n">
        <f aca="false">IFERROR(IF(ISNUMBER(EC8),(EC8-AVERAGEIF('Pemetaan Variant'!$A$5:$A$32,$B8,'Pemetaan Variant'!$M$5:$M$32))/AVERAGEIF('Pemetaan Variant'!$A$5:$A$32,$B8,'Pemetaan Variant'!$M$5:$M$32)*100,"n/a"),"n/a")</f>
        <v>0</v>
      </c>
      <c r="EE8" s="4" t="n">
        <f aca="false">IFERROR(IF(ISNUMBER(ED8),$C8*ED8,"n/a"),"n/a")</f>
        <v>0</v>
      </c>
      <c r="EF8" s="13" t="n">
        <f aca="false">IFERROR(AVERAGEIF('Pemetaan Variant'!$A$5:$A$32,$B8,'Pemetaan Variant'!$BH$5:$BH$32),"n/a")</f>
        <v>6000</v>
      </c>
      <c r="EG8" s="14" t="n">
        <f aca="false">IFERROR(IF(ISNUMBER(EF8),(EF8-AVERAGEIF('Pemetaan Variant'!$A$5:$A$32,$B8,'Pemetaan Variant'!$M$5:$M$32))/AVERAGEIF('Pemetaan Variant'!$A$5:$A$32,$B8,'Pemetaan Variant'!$M$5:$M$32)*100,"n/a"),"n/a")</f>
        <v>0</v>
      </c>
      <c r="EH8" s="4" t="n">
        <f aca="false">IFERROR(IF(ISNUMBER(EG8),$C8*EG8,"n/a"),"n/a")</f>
        <v>0</v>
      </c>
      <c r="EI8" s="13" t="n">
        <f aca="false">IFERROR(AVERAGEIF('Pemetaan Variant'!$A$5:$A$32,$B8,'Pemetaan Variant'!$BI$5:$BI$32),"n/a")</f>
        <v>6000</v>
      </c>
      <c r="EJ8" s="14" t="n">
        <f aca="false">IFERROR(IF(ISNUMBER(EI8),(EI8-AVERAGEIF('Pemetaan Variant'!$A$5:$A$32,$B8,'Pemetaan Variant'!$M$5:$M$32))/AVERAGEIF('Pemetaan Variant'!$A$5:$A$32,$B8,'Pemetaan Variant'!$M$5:$M$32)*100,"n/a"),"n/a")</f>
        <v>0</v>
      </c>
      <c r="EK8" s="4" t="n">
        <f aca="false">IFERROR(IF(ISNUMBER(EJ8),$C8*EJ8,"n/a"),"n/a")</f>
        <v>0</v>
      </c>
      <c r="EL8" s="13" t="n">
        <f aca="false">IFERROR(AVERAGEIF('Pemetaan Variant'!$A$5:$A$32,$B8,'Pemetaan Variant'!$BJ$5:$BJ$32),"n/a")</f>
        <v>6000</v>
      </c>
      <c r="EM8" s="14" t="n">
        <f aca="false">IFERROR(IF(ISNUMBER(EL8),(EL8-AVERAGEIF('Pemetaan Variant'!$A$5:$A$32,$B8,'Pemetaan Variant'!$N$5:$N$32))/AVERAGEIF('Pemetaan Variant'!$A$5:$A$32,$B8,'Pemetaan Variant'!$N$5:$N$32)*100,"n/a"),"n/a")</f>
        <v>0</v>
      </c>
      <c r="EN8" s="4" t="n">
        <f aca="false">IFERROR(IF(ISNUMBER(EM8),$C8*EM8,"n/a"),"n/a")</f>
        <v>0</v>
      </c>
      <c r="EO8" s="13" t="n">
        <f aca="false">IFERROR(AVERAGEIF('Pemetaan Variant'!$A$5:$A$32,$B8,'Pemetaan Variant'!$BK$5:$BK$32),"n/a")</f>
        <v>6000</v>
      </c>
      <c r="EP8" s="14" t="n">
        <f aca="false">IFERROR(IF(ISNUMBER(EO8),(EO8-AVERAGEIF('Pemetaan Variant'!$A$5:$A$32,$B8,'Pemetaan Variant'!$N$5:$N$32))/AVERAGEIF('Pemetaan Variant'!$A$5:$A$32,$B8,'Pemetaan Variant'!$N$5:$N$32)*100,"n/a"),"n/a")</f>
        <v>0</v>
      </c>
      <c r="EQ8" s="4" t="n">
        <f aca="false">IFERROR(IF(ISNUMBER(EP8),$C8*EP8,"n/a"),"n/a")</f>
        <v>0</v>
      </c>
      <c r="ER8" s="13" t="n">
        <f aca="false">IFERROR(AVERAGEIF('Pemetaan Variant'!$A$5:$A$32,$B8,'Pemetaan Variant'!$BL$5:$BL$32),"n/a")</f>
        <v>6000</v>
      </c>
      <c r="ES8" s="14" t="n">
        <f aca="false">IFERROR(IF(ISNUMBER(ER8),(ER8-AVERAGEIF('Pemetaan Variant'!$A$5:$A$32,$B8,'Pemetaan Variant'!$N$5:$N$32))/AVERAGEIF('Pemetaan Variant'!$A$5:$A$32,$B8,'Pemetaan Variant'!$N$5:$N$32)*100,"n/a"),"n/a")</f>
        <v>0</v>
      </c>
      <c r="ET8" s="4" t="n">
        <f aca="false">IFERROR(IF(ISNUMBER(ES8),$C8*ES8,"n/a"),"n/a")</f>
        <v>0</v>
      </c>
      <c r="EU8" s="13" t="n">
        <f aca="false">IFERROR(AVERAGEIF('Pemetaan Variant'!$A$5:$A$32,$B8,'Pemetaan Variant'!$BM$5:$BM$32),"n/a")</f>
        <v>6000</v>
      </c>
      <c r="EV8" s="14" t="n">
        <f aca="false">IFERROR(IF(ISNUMBER(EU8),(EU8-AVERAGEIF('Pemetaan Variant'!$A$5:$A$32,$B8,'Pemetaan Variant'!$N$5:$N$32))/AVERAGEIF('Pemetaan Variant'!$A$5:$A$32,$B8,'Pemetaan Variant'!$N$5:$N$32)*100,"n/a"),"n/a")</f>
        <v>0</v>
      </c>
      <c r="EW8" s="4" t="n">
        <f aca="false">IFERROR(IF(ISNUMBER(EV8),$C8*EV8,"n/a"),"n/a")</f>
        <v>0</v>
      </c>
      <c r="EX8" s="13" t="n">
        <f aca="false">IFERROR(AVERAGEIF('Pemetaan Variant'!$A$5:$A$32,$B8,'Pemetaan Variant'!$BN$5:$BN$32),"n/a")</f>
        <v>6000</v>
      </c>
      <c r="EY8" s="14" t="n">
        <f aca="false">IFERROR(IF(ISNUMBER(EX8),(EX8-AVERAGEIF('Pemetaan Variant'!$A$5:$A$32,$B8,'Pemetaan Variant'!$O$5:$O$32))/AVERAGEIF('Pemetaan Variant'!$A$5:$A$32,$B8,'Pemetaan Variant'!$O$5:$O$32)*100,"n/a"),"n/a")</f>
        <v>0</v>
      </c>
      <c r="EZ8" s="4" t="n">
        <f aca="false">IFERROR(IF(ISNUMBER(EY8),$C8*EY8,"n/a"),"n/a")</f>
        <v>0</v>
      </c>
      <c r="FA8" s="13" t="n">
        <f aca="false">IFERROR(AVERAGEIF('Pemetaan Variant'!$A$5:$A$32,$B8,'Pemetaan Variant'!$BO$5:$BO$32),"n/a")</f>
        <v>6000</v>
      </c>
      <c r="FB8" s="14" t="n">
        <f aca="false">IFERROR(IF(ISNUMBER(FA8),(FA8-AVERAGEIF('Pemetaan Variant'!$A$5:$A$32,$B8,'Pemetaan Variant'!$O$5:$O$32))/AVERAGEIF('Pemetaan Variant'!$A$5:$A$32,$B8,'Pemetaan Variant'!$O$5:$O$32)*100,"n/a"),"n/a")</f>
        <v>0</v>
      </c>
      <c r="FC8" s="4" t="n">
        <f aca="false">IFERROR(IF(ISNUMBER(FB8),$C8*FB8,"n/a"),"n/a")</f>
        <v>0</v>
      </c>
      <c r="FD8" s="13" t="n">
        <f aca="false">IFERROR(AVERAGEIF('Pemetaan Variant'!$A$5:$A$32,$B8,'Pemetaan Variant'!$BP$5:$BP$32),"n/a")</f>
        <v>6000</v>
      </c>
      <c r="FE8" s="14" t="n">
        <f aca="false">IFERROR(IF(ISNUMBER(FD8),(FD8-AVERAGEIF('Pemetaan Variant'!$A$5:$A$32,$B8,'Pemetaan Variant'!$O$5:$O$32))/AVERAGEIF('Pemetaan Variant'!$A$5:$A$32,$B8,'Pemetaan Variant'!$O$5:$O$32)*100,"n/a"),"n/a")</f>
        <v>0</v>
      </c>
      <c r="FF8" s="4" t="n">
        <f aca="false">IFERROR(IF(ISNUMBER(FE8),$C8*FE8,"n/a"),"n/a")</f>
        <v>0</v>
      </c>
      <c r="FG8" s="13" t="n">
        <f aca="false">IFERROR(AVERAGEIF('Pemetaan Variant'!$A$5:$A$32,$B8,'Pemetaan Variant'!$BQ$5:$BQ$32),"n/a")</f>
        <v>6000</v>
      </c>
      <c r="FH8" s="14" t="n">
        <f aca="false">IFERROR(IF(ISNUMBER(FG8),(FG8-AVERAGEIF('Pemetaan Variant'!$A$5:$A$32,$B8,'Pemetaan Variant'!$O$5:$O$32))/AVERAGEIF('Pemetaan Variant'!$A$5:$A$32,$B8,'Pemetaan Variant'!$O$5:$O$32)*100,"n/a"),"n/a")</f>
        <v>0</v>
      </c>
      <c r="FI8" s="4" t="n">
        <f aca="false">IFERROR(IF(ISNUMBER(FH8),$C8*FH8,"n/a"),"n/a")</f>
        <v>0</v>
      </c>
      <c r="FJ8" s="13" t="n">
        <f aca="false">IFERROR(AVERAGEIF('Pemetaan Variant'!$A$5:$A$32,$B8,'Pemetaan Variant'!$BR$5:$BR$32),"n/a")</f>
        <v>6000</v>
      </c>
      <c r="FK8" s="14" t="n">
        <f aca="false">IFERROR(IF(ISNUMBER(FJ8),(FJ8-AVERAGEIF('Pemetaan Variant'!$A$5:$A$32,$B8,'Pemetaan Variant'!$O$5:$O$32))/AVERAGEIF('Pemetaan Variant'!$A$5:$A$32,$B8,'Pemetaan Variant'!$O$5:$O$32)*100,"n/a"),"n/a")</f>
        <v>0</v>
      </c>
      <c r="FL8" s="4" t="n">
        <f aca="false">IFERROR(IF(ISNUMBER(FK8),$C8*FK8,"n/a"),"n/a")</f>
        <v>0</v>
      </c>
      <c r="FM8" s="15"/>
      <c r="FO8" s="11" t="n">
        <f aca="false">IFERROR(ABS(F8),0)</f>
        <v>0</v>
      </c>
      <c r="FP8" s="11" t="n">
        <f aca="false">IFERROR(ABS(I8),0)</f>
        <v>0</v>
      </c>
      <c r="FQ8" s="11" t="n">
        <f aca="false">IFERROR(ABS(L8),0)</f>
        <v>0</v>
      </c>
      <c r="FR8" s="11" t="n">
        <f aca="false">IFERROR(ABS(O8),0)</f>
        <v>0</v>
      </c>
      <c r="FS8" s="11" t="n">
        <f aca="false">IFERROR(ABS(R8),0)</f>
        <v>0</v>
      </c>
      <c r="FT8" s="11" t="n">
        <f aca="false">IFERROR(ABS(U8),0)</f>
        <v>0</v>
      </c>
      <c r="FU8" s="11" t="n">
        <f aca="false">IFERROR(ABS(X8),0)</f>
        <v>0</v>
      </c>
      <c r="FV8" s="11" t="n">
        <f aca="false">IFERROR(ABS(AA8),0)</f>
        <v>0</v>
      </c>
      <c r="FW8" s="11" t="n">
        <f aca="false">IFERROR(ABS(AD8),0)</f>
        <v>0</v>
      </c>
      <c r="FX8" s="11" t="n">
        <f aca="false">IFERROR(ABS(AG8),0)</f>
        <v>0</v>
      </c>
      <c r="FY8" s="11" t="n">
        <f aca="false">IFERROR(ABS(AJ8),0)</f>
        <v>0</v>
      </c>
      <c r="FZ8" s="11" t="n">
        <f aca="false">IFERROR(ABS(AM8),0)</f>
        <v>0</v>
      </c>
      <c r="GA8" s="11" t="n">
        <f aca="false">IFERROR(ABS(AP8),0)</f>
        <v>0</v>
      </c>
      <c r="GB8" s="11" t="n">
        <f aca="false">IFERROR(ABS(AS8),0)</f>
        <v>0</v>
      </c>
      <c r="GC8" s="11" t="n">
        <f aca="false">IFERROR(ABS(AV8),0)</f>
        <v>0</v>
      </c>
      <c r="GD8" s="11" t="n">
        <f aca="false">IFERROR(ABS(AY8),0)</f>
        <v>0</v>
      </c>
      <c r="GE8" s="11" t="n">
        <f aca="false">IFERROR(ABS(BB8),0)</f>
        <v>0</v>
      </c>
      <c r="GF8" s="11" t="n">
        <f aca="false">IFERROR(ABS(BE8),0)</f>
        <v>0</v>
      </c>
      <c r="GG8" s="11" t="n">
        <f aca="false">IFERROR(ABS(BH8),0)</f>
        <v>0</v>
      </c>
      <c r="GH8" s="11" t="n">
        <f aca="false">IFERROR(ABS(BK8),0)</f>
        <v>0</v>
      </c>
      <c r="GI8" s="11" t="n">
        <f aca="false">IFERROR(ABS(BN8),0)</f>
        <v>0</v>
      </c>
      <c r="GJ8" s="11" t="n">
        <f aca="false">IFERROR(ABS(BQ8),0)</f>
        <v>0</v>
      </c>
      <c r="GK8" s="11" t="n">
        <f aca="false">IFERROR(ABS(BT8),0)</f>
        <v>0</v>
      </c>
      <c r="GL8" s="11" t="n">
        <f aca="false">IFERROR(ABS(BW8),0)</f>
        <v>0</v>
      </c>
      <c r="GM8" s="11" t="n">
        <f aca="false">IFERROR(ABS(BZ8),0)</f>
        <v>0</v>
      </c>
      <c r="GN8" s="11" t="n">
        <f aca="false">IFERROR(ABS(CC8),0)</f>
        <v>0</v>
      </c>
      <c r="GO8" s="11" t="n">
        <f aca="false">IFERROR(ABS(CF8),0)</f>
        <v>0</v>
      </c>
      <c r="GP8" s="11" t="n">
        <f aca="false">IFERROR(ABS(CI8),0)</f>
        <v>0</v>
      </c>
      <c r="GQ8" s="11" t="n">
        <f aca="false">IFERROR(ABS(CL8),0)</f>
        <v>0</v>
      </c>
      <c r="GR8" s="11" t="n">
        <f aca="false">IFERROR(ABS(CO8),0)</f>
        <v>0</v>
      </c>
      <c r="GS8" s="11" t="n">
        <f aca="false">IFERROR(ABS(CR8),0)</f>
        <v>0</v>
      </c>
      <c r="GT8" s="11" t="n">
        <f aca="false">IFERROR(ABS(CU8),0)</f>
        <v>0</v>
      </c>
      <c r="GU8" s="11" t="n">
        <f aca="false">IFERROR(ABS(CX8),0)</f>
        <v>0</v>
      </c>
      <c r="GV8" s="11" t="n">
        <f aca="false">IFERROR(ABS(DA8),0)</f>
        <v>0</v>
      </c>
      <c r="GW8" s="11" t="n">
        <f aca="false">IFERROR(ABS(DD8),0)</f>
        <v>0</v>
      </c>
      <c r="GX8" s="11" t="n">
        <f aca="false">IFERROR(ABS(DG8),0)</f>
        <v>0</v>
      </c>
      <c r="GY8" s="11" t="n">
        <f aca="false">IFERROR(ABS(DJ8),0)</f>
        <v>0.449098056097933</v>
      </c>
      <c r="GZ8" s="11" t="n">
        <f aca="false">IFERROR(ABS(DM8),0)</f>
        <v>0.419924363477397</v>
      </c>
      <c r="HA8" s="11" t="n">
        <f aca="false">IFERROR(ABS(DP8),0)</f>
        <v>0.419924363477397</v>
      </c>
      <c r="HB8" s="11" t="n">
        <f aca="false">IFERROR(ABS(DS8),0)</f>
        <v>0.419924363477397</v>
      </c>
      <c r="HC8" s="11" t="n">
        <f aca="false">IFERROR(ABS(DV8),0)</f>
        <v>0.419924363477397</v>
      </c>
      <c r="HD8" s="11" t="n">
        <f aca="false">IFERROR(ABS(DY8),0)</f>
        <v>0</v>
      </c>
      <c r="HE8" s="11" t="n">
        <f aca="false">IFERROR(ABS(EB8),0)</f>
        <v>0</v>
      </c>
      <c r="HF8" s="11" t="n">
        <f aca="false">IFERROR(ABS(EE8),0)</f>
        <v>0</v>
      </c>
      <c r="HG8" s="11" t="n">
        <f aca="false">IFERROR(ABS(EH8),0)</f>
        <v>0</v>
      </c>
      <c r="HH8" s="11" t="n">
        <f aca="false">IFERROR(ABS(EK8),0)</f>
        <v>0</v>
      </c>
      <c r="HI8" s="11" t="n">
        <f aca="false">IFERROR(ABS(EN8),0)</f>
        <v>0</v>
      </c>
      <c r="HJ8" s="11" t="n">
        <f aca="false">IFERROR(ABS(EQ8),0)</f>
        <v>0</v>
      </c>
      <c r="HK8" s="11" t="n">
        <f aca="false">IFERROR(ABS(ET8),0)</f>
        <v>0</v>
      </c>
      <c r="HL8" s="11" t="n">
        <f aca="false">IFERROR(ABS(EW8),0)</f>
        <v>0</v>
      </c>
      <c r="HM8" s="11" t="n">
        <f aca="false">IFERROR(ABS(EZ8),0)</f>
        <v>0</v>
      </c>
      <c r="HN8" s="11" t="n">
        <f aca="false">IFERROR(ABS(FC8),0)</f>
        <v>0</v>
      </c>
      <c r="HO8" s="11" t="n">
        <f aca="false">IFERROR(ABS(FF8),0)</f>
        <v>0</v>
      </c>
      <c r="HP8" s="11" t="n">
        <f aca="false">IFERROR(ABS(FI8),0)</f>
        <v>0</v>
      </c>
      <c r="HQ8" s="11" t="n">
        <f aca="false">IFERROR(ABS(FL8),0)</f>
        <v>0</v>
      </c>
    </row>
    <row r="9" customFormat="false" ht="15" hidden="false" customHeight="false" outlineLevel="0" collapsed="false">
      <c r="A9" s="3" t="n">
        <v>4</v>
      </c>
      <c r="B9" s="3" t="s">
        <v>237</v>
      </c>
      <c r="C9" s="12" t="n">
        <f aca="false">'P0Q0 Dasar 2022'!F8</f>
        <v>0.0479107777850277</v>
      </c>
      <c r="D9" s="13" t="n">
        <f aca="false">IFERROR(AVERAGEIF('Pemetaan Variant'!$A$5:$A$32,$B9,'Pemetaan Variant'!$P$5:$P$32),"n/a")</f>
        <v>33000</v>
      </c>
      <c r="E9" s="14" t="n">
        <f aca="false">IFERROR(IF(ISNUMBER(D9),(D9-AVERAGEIF('Pemetaan Variant'!$A$5:$A$32,$B9,'Pemetaan Variant'!$D$5:$D$32))/AVERAGEIF('Pemetaan Variant'!$A$5:$A$32,$B9,'Pemetaan Variant'!$D$5:$D$32)*100,"n/a"),"n/a")</f>
        <v>3.30434782608695</v>
      </c>
      <c r="F9" s="4" t="n">
        <f aca="false">IFERROR(IF(ISNUMBER(E9),$C9*E9,"n/a"),"n/a")</f>
        <v>0.158313874420091</v>
      </c>
      <c r="G9" s="13" t="n">
        <f aca="false">IFERROR(AVERAGEIF('Pemetaan Variant'!$A$5:$A$32,$B9,'Pemetaan Variant'!$Q$5:$Q$32),"n/a")</f>
        <v>29800</v>
      </c>
      <c r="H9" s="14" t="n">
        <f aca="false">IFERROR(IF(ISNUMBER(G9),(G9-AVERAGEIF('Pemetaan Variant'!$A$5:$A$32,$B9,'Pemetaan Variant'!$D$5:$D$32))/AVERAGEIF('Pemetaan Variant'!$A$5:$A$32,$B9,'Pemetaan Variant'!$D$5:$D$32)*100,"n/a"),"n/a")</f>
        <v>-6.71304347826087</v>
      </c>
      <c r="I9" s="4" t="n">
        <f aca="false">IFERROR(IF(ISNUMBER(H9),$C9*H9,"n/a"),"n/a")</f>
        <v>-0.321627134348186</v>
      </c>
      <c r="J9" s="13" t="n">
        <f aca="false">IFERROR(AVERAGEIF('Pemetaan Variant'!$A$5:$A$32,$B9,'Pemetaan Variant'!$R$5:$R$32),"n/a")</f>
        <v>29000</v>
      </c>
      <c r="K9" s="14" t="n">
        <f aca="false">IFERROR(IF(ISNUMBER(J9),(J9-AVERAGEIF('Pemetaan Variant'!$A$5:$A$32,$B9,'Pemetaan Variant'!$D$5:$D$32))/AVERAGEIF('Pemetaan Variant'!$A$5:$A$32,$B9,'Pemetaan Variant'!$D$5:$D$32)*100,"n/a"),"n/a")</f>
        <v>-9.21739130434783</v>
      </c>
      <c r="L9" s="4" t="n">
        <f aca="false">IFERROR(IF(ISNUMBER(K9),$C9*K9,"n/a"),"n/a")</f>
        <v>-0.441612386540255</v>
      </c>
      <c r="M9" s="13" t="n">
        <f aca="false">IFERROR(AVERAGEIF('Pemetaan Variant'!$A$5:$A$32,$B9,'Pemetaan Variant'!$S$5:$S$32),"n/a")</f>
        <v>29000</v>
      </c>
      <c r="N9" s="14" t="n">
        <f aca="false">IFERROR(IF(ISNUMBER(M9),(M9-AVERAGEIF('Pemetaan Variant'!$A$5:$A$32,$B9,'Pemetaan Variant'!$D$5:$D$32))/AVERAGEIF('Pemetaan Variant'!$A$5:$A$32,$B9,'Pemetaan Variant'!$D$5:$D$32)*100,"n/a"),"n/a")</f>
        <v>-9.21739130434783</v>
      </c>
      <c r="O9" s="4" t="n">
        <f aca="false">IFERROR(IF(ISNUMBER(N9),$C9*N9,"n/a"),"n/a")</f>
        <v>-0.441612386540255</v>
      </c>
      <c r="P9" s="13" t="n">
        <f aca="false">IFERROR(AVERAGEIF('Pemetaan Variant'!$A$5:$A$32,$B9,'Pemetaan Variant'!$T$5:$T$32),"n/a")</f>
        <v>29000</v>
      </c>
      <c r="Q9" s="14" t="n">
        <f aca="false">IFERROR(IF(ISNUMBER(P9),(P9-AVERAGEIF('Pemetaan Variant'!$A$5:$A$32,$B9,'Pemetaan Variant'!$D$5:$D$32))/AVERAGEIF('Pemetaan Variant'!$A$5:$A$32,$B9,'Pemetaan Variant'!$D$5:$D$32)*100,"n/a"),"n/a")</f>
        <v>-9.21739130434783</v>
      </c>
      <c r="R9" s="4" t="n">
        <f aca="false">IFERROR(IF(ISNUMBER(Q9),$C9*Q9,"n/a"),"n/a")</f>
        <v>-0.441612386540255</v>
      </c>
      <c r="S9" s="13" t="n">
        <f aca="false">IFERROR(AVERAGEIF('Pemetaan Variant'!$A$5:$A$32,$B9,'Pemetaan Variant'!$U$5:$U$32),"n/a")</f>
        <v>29000</v>
      </c>
      <c r="T9" s="14" t="n">
        <f aca="false">IFERROR(IF(ISNUMBER(S9),(S9-AVERAGEIF('Pemetaan Variant'!$A$5:$A$32,$B9,'Pemetaan Variant'!$E$5:$E$32))/AVERAGEIF('Pemetaan Variant'!$A$5:$A$32,$B9,'Pemetaan Variant'!$E$5:$E$32)*100,"n/a"),"n/a")</f>
        <v>-2.13143872113676</v>
      </c>
      <c r="U9" s="4" t="n">
        <f aca="false">IFERROR(IF(ISNUMBER(T9),$C9*T9,"n/a"),"n/a")</f>
        <v>-0.102118886930787</v>
      </c>
      <c r="V9" s="13" t="n">
        <f aca="false">IFERROR(AVERAGEIF('Pemetaan Variant'!$A$5:$A$32,$B9,'Pemetaan Variant'!$V$5:$V$32),"n/a")</f>
        <v>30000</v>
      </c>
      <c r="W9" s="14" t="n">
        <f aca="false">IFERROR(IF(ISNUMBER(V9),(V9-AVERAGEIF('Pemetaan Variant'!$A$5:$A$32,$B9,'Pemetaan Variant'!$E$5:$E$32))/AVERAGEIF('Pemetaan Variant'!$A$5:$A$32,$B9,'Pemetaan Variant'!$E$5:$E$32)*100,"n/a"),"n/a")</f>
        <v>1.24333925399645</v>
      </c>
      <c r="X9" s="4" t="n">
        <f aca="false">IFERROR(IF(ISNUMBER(W9),$C9*W9,"n/a"),"n/a")</f>
        <v>0.0595693507096261</v>
      </c>
      <c r="Y9" s="13" t="n">
        <f aca="false">IFERROR(AVERAGEIF('Pemetaan Variant'!$A$5:$A$32,$B9,'Pemetaan Variant'!$W$5:$W$32),"n/a")</f>
        <v>30800</v>
      </c>
      <c r="Z9" s="14" t="n">
        <f aca="false">IFERROR(IF(ISNUMBER(Y9),(Y9-AVERAGEIF('Pemetaan Variant'!$A$5:$A$32,$B9,'Pemetaan Variant'!$E$5:$E$32))/AVERAGEIF('Pemetaan Variant'!$A$5:$A$32,$B9,'Pemetaan Variant'!$E$5:$E$32)*100,"n/a"),"n/a")</f>
        <v>3.94316163410302</v>
      </c>
      <c r="AA9" s="4" t="n">
        <f aca="false">IFERROR(IF(ISNUMBER(Z9),$C9*Z9,"n/a"),"n/a")</f>
        <v>0.188919940821957</v>
      </c>
      <c r="AB9" s="13" t="n">
        <f aca="false">IFERROR(AVERAGEIF('Pemetaan Variant'!$A$5:$A$32,$B9,'Pemetaan Variant'!$X$5:$X$32),"n/a")</f>
        <v>31000</v>
      </c>
      <c r="AC9" s="14" t="n">
        <f aca="false">IFERROR(IF(ISNUMBER(AB9),(AB9-AVERAGEIF('Pemetaan Variant'!$A$5:$A$32,$B9,'Pemetaan Variant'!$E$5:$E$32))/AVERAGEIF('Pemetaan Variant'!$A$5:$A$32,$B9,'Pemetaan Variant'!$E$5:$E$32)*100,"n/a"),"n/a")</f>
        <v>4.61811722912967</v>
      </c>
      <c r="AD9" s="4" t="n">
        <f aca="false">IFERROR(IF(ISNUMBER(AC9),$C9*AC9,"n/a"),"n/a")</f>
        <v>0.221257588350039</v>
      </c>
      <c r="AE9" s="13" t="n">
        <f aca="false">IFERROR(AVERAGEIF('Pemetaan Variant'!$A$5:$A$32,$B9,'Pemetaan Variant'!$Y$5:$Y$32),"n/a")</f>
        <v>30600</v>
      </c>
      <c r="AF9" s="14" t="n">
        <f aca="false">IFERROR(IF(ISNUMBER(AE9),(AE9-AVERAGEIF('Pemetaan Variant'!$A$5:$A$32,$B9,'Pemetaan Variant'!$F$5:$F$32))/AVERAGEIF('Pemetaan Variant'!$A$5:$A$32,$B9,'Pemetaan Variant'!$F$5:$F$32)*100,"n/a"),"n/a")</f>
        <v>1.46596858638743</v>
      </c>
      <c r="AG9" s="4" t="n">
        <f aca="false">IFERROR(IF(ISNUMBER(AF9),$C9*AF9,"n/a"),"n/a")</f>
        <v>0.0702356951822393</v>
      </c>
      <c r="AH9" s="13" t="n">
        <f aca="false">IFERROR(AVERAGEIF('Pemetaan Variant'!$A$5:$A$32,$B9,'Pemetaan Variant'!$Z$5:$Z$32),"n/a")</f>
        <v>30000</v>
      </c>
      <c r="AI9" s="14" t="n">
        <f aca="false">IFERROR(IF(ISNUMBER(AH9),(AH9-AVERAGEIF('Pemetaan Variant'!$A$5:$A$32,$B9,'Pemetaan Variant'!$F$5:$F$32))/AVERAGEIF('Pemetaan Variant'!$A$5:$A$32,$B9,'Pemetaan Variant'!$F$5:$F$32)*100,"n/a"),"n/a")</f>
        <v>-0.523560209424089</v>
      </c>
      <c r="AJ9" s="4" t="n">
        <f aca="false">IFERROR(IF(ISNUMBER(AI9),$C9*AI9,"n/a"),"n/a")</f>
        <v>-0.0250841768508001</v>
      </c>
      <c r="AK9" s="13" t="n">
        <f aca="false">IFERROR(AVERAGEIF('Pemetaan Variant'!$A$5:$A$32,$B9,'Pemetaan Variant'!$AA$5:$AA$32),"n/a")</f>
        <v>30000</v>
      </c>
      <c r="AL9" s="14" t="n">
        <f aca="false">IFERROR(IF(ISNUMBER(AK9),(AK9-AVERAGEIF('Pemetaan Variant'!$A$5:$A$32,$B9,'Pemetaan Variant'!$F$5:$F$32))/AVERAGEIF('Pemetaan Variant'!$A$5:$A$32,$B9,'Pemetaan Variant'!$F$5:$F$32)*100,"n/a"),"n/a")</f>
        <v>-0.523560209424089</v>
      </c>
      <c r="AM9" s="4" t="n">
        <f aca="false">IFERROR(IF(ISNUMBER(AL9),$C9*AL9,"n/a"),"n/a")</f>
        <v>-0.0250841768508001</v>
      </c>
      <c r="AN9" s="13" t="n">
        <f aca="false">IFERROR(AVERAGEIF('Pemetaan Variant'!$A$5:$A$32,$B9,'Pemetaan Variant'!$AB$5:$AB$32),"n/a")</f>
        <v>29750</v>
      </c>
      <c r="AO9" s="14" t="n">
        <f aca="false">IFERROR(IF(ISNUMBER(AN9),(AN9-AVERAGEIF('Pemetaan Variant'!$A$5:$A$32,$B9,'Pemetaan Variant'!$F$5:$F$32))/AVERAGEIF('Pemetaan Variant'!$A$5:$A$32,$B9,'Pemetaan Variant'!$F$5:$F$32)*100,"n/a"),"n/a")</f>
        <v>-1.35253054101222</v>
      </c>
      <c r="AP9" s="4" t="n">
        <f aca="false">IFERROR(IF(ISNUMBER(AO9),$C9*AO9,"n/a"),"n/a")</f>
        <v>-0.0648007901978998</v>
      </c>
      <c r="AQ9" s="13" t="str">
        <f aca="false">IFERROR(AVERAGEIF('Pemetaan Variant'!$A$5:$A$32,$B9,'Pemetaan Variant'!$AC$5:$AC$32),"n/a")</f>
        <v>n/a</v>
      </c>
      <c r="AR9" s="14" t="str">
        <f aca="false">IFERROR(IF(ISNUMBER(AQ9),(AQ9-AVERAGEIF('Pemetaan Variant'!$A$5:$A$32,$B9,'Pemetaan Variant'!$F$5:$F$32))/AVERAGEIF('Pemetaan Variant'!$A$5:$A$32,$B9,'Pemetaan Variant'!$F$5:$F$32)*100,"n/a"),"n/a")</f>
        <v>n/a</v>
      </c>
      <c r="AS9" s="4" t="str">
        <f aca="false">IFERROR(IF(ISNUMBER(AR9),$C9*AR9,"n/a"),"n/a")</f>
        <v>n/a</v>
      </c>
      <c r="AT9" s="13" t="str">
        <f aca="false">IFERROR(AVERAGEIF('Pemetaan Variant'!$A$5:$A$32,$B9,'Pemetaan Variant'!$AD$5:$AD$32),"n/a")</f>
        <v>n/a</v>
      </c>
      <c r="AU9" s="14" t="str">
        <f aca="false">IFERROR(IF(ISNUMBER(AT9),(AT9-AVERAGEIF('Pemetaan Variant'!$A$5:$A$32,$B9,'Pemetaan Variant'!$G$5:$G$32))/AVERAGEIF('Pemetaan Variant'!$A$5:$A$32,$B9,'Pemetaan Variant'!$G$5:$G$32)*100,"n/a"),"n/a")</f>
        <v>n/a</v>
      </c>
      <c r="AV9" s="4" t="str">
        <f aca="false">IFERROR(IF(ISNUMBER(AU9),$C9*AU9,"n/a"),"n/a")</f>
        <v>n/a</v>
      </c>
      <c r="AW9" s="13" t="n">
        <f aca="false">IFERROR(AVERAGEIF('Pemetaan Variant'!$A$5:$A$32,$B9,'Pemetaan Variant'!$AE$5:$AE$32),"n/a")</f>
        <v>29500</v>
      </c>
      <c r="AX9" s="14" t="n">
        <f aca="false">IFERROR(IF(ISNUMBER(AW9),(AW9-AVERAGEIF('Pemetaan Variant'!$A$5:$A$32,$B9,'Pemetaan Variant'!$G$5:$G$32))/AVERAGEIF('Pemetaan Variant'!$A$5:$A$32,$B9,'Pemetaan Variant'!$G$5:$G$32)*100,"n/a"),"n/a")</f>
        <v>-2.01048951048951</v>
      </c>
      <c r="AY9" s="4" t="n">
        <f aca="false">IFERROR(IF(ISNUMBER(AX9),$C9*AX9,"n/a"),"n/a")</f>
        <v>-0.096324116176192</v>
      </c>
      <c r="AZ9" s="13" t="n">
        <f aca="false">IFERROR(AVERAGEIF('Pemetaan Variant'!$A$5:$A$32,$B9,'Pemetaan Variant'!$AF$5:$AF$32),"n/a")</f>
        <v>25750</v>
      </c>
      <c r="BA9" s="14" t="n">
        <f aca="false">IFERROR(IF(ISNUMBER(AZ9),(AZ9-AVERAGEIF('Pemetaan Variant'!$A$5:$A$32,$B9,'Pemetaan Variant'!$G$5:$G$32))/AVERAGEIF('Pemetaan Variant'!$A$5:$A$32,$B9,'Pemetaan Variant'!$G$5:$G$32)*100,"n/a"),"n/a")</f>
        <v>-14.4667832167832</v>
      </c>
      <c r="BB9" s="4" t="n">
        <f aca="false">IFERROR(IF(ISNUMBER(BA9),$C9*BA9,"n/a"),"n/a")</f>
        <v>-0.693114835963469</v>
      </c>
      <c r="BC9" s="13" t="n">
        <f aca="false">IFERROR(AVERAGEIF('Pemetaan Variant'!$A$5:$A$32,$B9,'Pemetaan Variant'!$AG$5:$AG$32),"n/a")</f>
        <v>25000</v>
      </c>
      <c r="BD9" s="14" t="n">
        <f aca="false">IFERROR(IF(ISNUMBER(BC9),(BC9-AVERAGEIF('Pemetaan Variant'!$A$5:$A$32,$B9,'Pemetaan Variant'!$G$5:$G$32))/AVERAGEIF('Pemetaan Variant'!$A$5:$A$32,$B9,'Pemetaan Variant'!$G$5:$G$32)*100,"n/a"),"n/a")</f>
        <v>-16.958041958042</v>
      </c>
      <c r="BE9" s="4" t="n">
        <f aca="false">IFERROR(IF(ISNUMBER(BD9),$C9*BD9,"n/a"),"n/a")</f>
        <v>-0.812472979920924</v>
      </c>
      <c r="BF9" s="13" t="n">
        <f aca="false">IFERROR(AVERAGEIF('Pemetaan Variant'!$A$5:$A$32,$B9,'Pemetaan Variant'!$AH$5:$AH$32),"n/a")</f>
        <v>25000</v>
      </c>
      <c r="BG9" s="14" t="n">
        <f aca="false">IFERROR(IF(ISNUMBER(BF9),(BF9-AVERAGEIF('Pemetaan Variant'!$A$5:$A$32,$B9,'Pemetaan Variant'!$G$5:$G$32))/AVERAGEIF('Pemetaan Variant'!$A$5:$A$32,$B9,'Pemetaan Variant'!$G$5:$G$32)*100,"n/a"),"n/a")</f>
        <v>-16.958041958042</v>
      </c>
      <c r="BH9" s="4" t="n">
        <f aca="false">IFERROR(IF(ISNUMBER(BG9),$C9*BG9,"n/a"),"n/a")</f>
        <v>-0.812472979920924</v>
      </c>
      <c r="BI9" s="13" t="n">
        <f aca="false">IFERROR(AVERAGEIF('Pemetaan Variant'!$A$5:$A$32,$B9,'Pemetaan Variant'!$AI$5:$AI$32),"n/a")</f>
        <v>25000</v>
      </c>
      <c r="BJ9" s="14" t="n">
        <f aca="false">IFERROR(IF(ISNUMBER(BI9),(BI9-AVERAGEIF('Pemetaan Variant'!$A$5:$A$32,$B9,'Pemetaan Variant'!$H$5:$H$32))/AVERAGEIF('Pemetaan Variant'!$A$5:$A$32,$B9,'Pemetaan Variant'!$H$5:$H$32)*100,"n/a"),"n/a")</f>
        <v>-4.98812351543943</v>
      </c>
      <c r="BK9" s="4" t="n">
        <f aca="false">IFERROR(IF(ISNUMBER(BJ9),$C9*BJ9,"n/a"),"n/a")</f>
        <v>-0.23898487731249</v>
      </c>
      <c r="BL9" s="13" t="n">
        <f aca="false">IFERROR(AVERAGEIF('Pemetaan Variant'!$A$5:$A$32,$B9,'Pemetaan Variant'!$AJ$5:$AJ$32),"n/a")</f>
        <v>25800</v>
      </c>
      <c r="BM9" s="14" t="n">
        <f aca="false">IFERROR(IF(ISNUMBER(BL9),(BL9-AVERAGEIF('Pemetaan Variant'!$A$5:$A$32,$B9,'Pemetaan Variant'!$H$5:$H$32))/AVERAGEIF('Pemetaan Variant'!$A$5:$A$32,$B9,'Pemetaan Variant'!$H$5:$H$32)*100,"n/a"),"n/a")</f>
        <v>-1.94774346793349</v>
      </c>
      <c r="BN9" s="4" t="n">
        <f aca="false">IFERROR(IF(ISNUMBER(BM9),$C9*BM9,"n/a"),"n/a")</f>
        <v>-0.0933179044744008</v>
      </c>
      <c r="BO9" s="13" t="n">
        <f aca="false">IFERROR(AVERAGEIF('Pemetaan Variant'!$A$5:$A$32,$B9,'Pemetaan Variant'!$AK$5:$AK$32),"n/a")</f>
        <v>27000</v>
      </c>
      <c r="BP9" s="14" t="n">
        <f aca="false">IFERROR(IF(ISNUMBER(BO9),(BO9-AVERAGEIF('Pemetaan Variant'!$A$5:$A$32,$B9,'Pemetaan Variant'!$H$5:$H$32))/AVERAGEIF('Pemetaan Variant'!$A$5:$A$32,$B9,'Pemetaan Variant'!$H$5:$H$32)*100,"n/a"),"n/a")</f>
        <v>2.61282660332542</v>
      </c>
      <c r="BQ9" s="4" t="n">
        <f aca="false">IFERROR(IF(ISNUMBER(BP9),$C9*BP9,"n/a"),"n/a")</f>
        <v>0.125182554782733</v>
      </c>
      <c r="BR9" s="13" t="n">
        <f aca="false">IFERROR(AVERAGEIF('Pemetaan Variant'!$A$5:$A$32,$B9,'Pemetaan Variant'!$AL$5:$AL$32),"n/a")</f>
        <v>27000</v>
      </c>
      <c r="BS9" s="14" t="n">
        <f aca="false">IFERROR(IF(ISNUMBER(BR9),(BR9-AVERAGEIF('Pemetaan Variant'!$A$5:$A$32,$B9,'Pemetaan Variant'!$H$5:$H$32))/AVERAGEIF('Pemetaan Variant'!$A$5:$A$32,$B9,'Pemetaan Variant'!$H$5:$H$32)*100,"n/a"),"n/a")</f>
        <v>2.61282660332542</v>
      </c>
      <c r="BT9" s="4" t="n">
        <f aca="false">IFERROR(IF(ISNUMBER(BS9),$C9*BS9,"n/a"),"n/a")</f>
        <v>0.125182554782733</v>
      </c>
      <c r="BU9" s="13" t="n">
        <f aca="false">IFERROR(AVERAGEIF('Pemetaan Variant'!$A$5:$A$32,$B9,'Pemetaan Variant'!$AM$5:$AM$32),"n/a")</f>
        <v>28000</v>
      </c>
      <c r="BV9" s="14" t="n">
        <f aca="false">IFERROR(IF(ISNUMBER(BU9),(BU9-AVERAGEIF('Pemetaan Variant'!$A$5:$A$32,$B9,'Pemetaan Variant'!$H$5:$H$32))/AVERAGEIF('Pemetaan Variant'!$A$5:$A$32,$B9,'Pemetaan Variant'!$H$5:$H$32)*100,"n/a"),"n/a")</f>
        <v>6.41330166270784</v>
      </c>
      <c r="BW9" s="4" t="n">
        <f aca="false">IFERROR(IF(ISNUMBER(BV9),$C9*BV9,"n/a"),"n/a")</f>
        <v>0.307266270830344</v>
      </c>
      <c r="BX9" s="13" t="n">
        <f aca="false">IFERROR(AVERAGEIF('Pemetaan Variant'!$A$5:$A$32,$B9,'Pemetaan Variant'!$AN$5:$AN$32),"n/a")</f>
        <v>29000</v>
      </c>
      <c r="BY9" s="14" t="n">
        <f aca="false">IFERROR(IF(ISNUMBER(BX9),(BX9-AVERAGEIF('Pemetaan Variant'!$A$5:$A$32,$B9,'Pemetaan Variant'!$I$5:$I$32))/AVERAGEIF('Pemetaan Variant'!$A$5:$A$32,$B9,'Pemetaan Variant'!$I$5:$I$32)*100,"n/a"),"n/a")</f>
        <v>8.59030837004406</v>
      </c>
      <c r="BZ9" s="4" t="n">
        <f aca="false">IFERROR(IF(ISNUMBER(BY9),$C9*BY9,"n/a"),"n/a")</f>
        <v>0.411568355422044</v>
      </c>
      <c r="CA9" s="13" t="n">
        <f aca="false">IFERROR(AVERAGEIF('Pemetaan Variant'!$A$5:$A$32,$B9,'Pemetaan Variant'!$AO$5:$AO$32),"n/a")</f>
        <v>26875</v>
      </c>
      <c r="CB9" s="14" t="n">
        <f aca="false">IFERROR(IF(ISNUMBER(CA9),(CA9-AVERAGEIF('Pemetaan Variant'!$A$5:$A$32,$B9,'Pemetaan Variant'!$I$5:$I$32))/AVERAGEIF('Pemetaan Variant'!$A$5:$A$32,$B9,'Pemetaan Variant'!$I$5:$I$32)*100,"n/a"),"n/a")</f>
        <v>0.63325991189428</v>
      </c>
      <c r="CC9" s="4" t="n">
        <f aca="false">IFERROR(IF(ISNUMBER(CB9),$C9*CB9,"n/a"),"n/a")</f>
        <v>0.0303399749189331</v>
      </c>
      <c r="CD9" s="13" t="n">
        <f aca="false">IFERROR(AVERAGEIF('Pemetaan Variant'!$A$5:$A$32,$B9,'Pemetaan Variant'!$AP$5:$AP$32),"n/a")</f>
        <v>23400</v>
      </c>
      <c r="CE9" s="14" t="n">
        <f aca="false">IFERROR(IF(ISNUMBER(CD9),(CD9-AVERAGEIF('Pemetaan Variant'!$A$5:$A$32,$B9,'Pemetaan Variant'!$I$5:$I$32))/AVERAGEIF('Pemetaan Variant'!$A$5:$A$32,$B9,'Pemetaan Variant'!$I$5:$I$32)*100,"n/a"),"n/a")</f>
        <v>-12.3788546255507</v>
      </c>
      <c r="CF9" s="4" t="n">
        <f aca="false">IFERROR(IF(ISNUMBER(CE9),$C9*CE9,"n/a"),"n/a")</f>
        <v>-0.59308055319792</v>
      </c>
      <c r="CG9" s="13" t="n">
        <f aca="false">IFERROR(AVERAGEIF('Pemetaan Variant'!$A$5:$A$32,$B9,'Pemetaan Variant'!$AQ$5:$AQ$32),"n/a")</f>
        <v>23000</v>
      </c>
      <c r="CH9" s="14" t="n">
        <f aca="false">IFERROR(IF(ISNUMBER(CG9),(CG9-AVERAGEIF('Pemetaan Variant'!$A$5:$A$32,$B9,'Pemetaan Variant'!$I$5:$I$32))/AVERAGEIF('Pemetaan Variant'!$A$5:$A$32,$B9,'Pemetaan Variant'!$I$5:$I$32)*100,"n/a"),"n/a")</f>
        <v>-13.8766519823789</v>
      </c>
      <c r="CI9" s="4" t="n">
        <f aca="false">IFERROR(IF(ISNUMBER(CH9),$C9*CH9,"n/a"),"n/a")</f>
        <v>-0.664841189527917</v>
      </c>
      <c r="CJ9" s="13" t="n">
        <f aca="false">IFERROR(AVERAGEIF('Pemetaan Variant'!$A$5:$A$32,$B9,'Pemetaan Variant'!$AR$5:$AR$32),"n/a")</f>
        <v>26000</v>
      </c>
      <c r="CK9" s="14" t="n">
        <f aca="false">IFERROR(IF(ISNUMBER(CJ9),(CJ9-AVERAGEIF('Pemetaan Variant'!$A$5:$A$32,$B9,'Pemetaan Variant'!$J$5:$J$32))/AVERAGEIF('Pemetaan Variant'!$A$5:$A$32,$B9,'Pemetaan Variant'!$J$5:$J$32)*100,"n/a"),"n/a")</f>
        <v>2.19653179190752</v>
      </c>
      <c r="CL9" s="4" t="n">
        <f aca="false">IFERROR(IF(ISNUMBER(CK9),$C9*CK9,"n/a"),"n/a")</f>
        <v>0.10523754657983</v>
      </c>
      <c r="CM9" s="13" t="n">
        <f aca="false">IFERROR(AVERAGEIF('Pemetaan Variant'!$A$5:$A$32,$B9,'Pemetaan Variant'!$AS$5:$AS$32),"n/a")</f>
        <v>30000</v>
      </c>
      <c r="CN9" s="14" t="n">
        <f aca="false">IFERROR(IF(ISNUMBER(CM9),(CM9-AVERAGEIF('Pemetaan Variant'!$A$5:$A$32,$B9,'Pemetaan Variant'!$J$5:$J$32))/AVERAGEIF('Pemetaan Variant'!$A$5:$A$32,$B9,'Pemetaan Variant'!$J$5:$J$32)*100,"n/a"),"n/a")</f>
        <v>17.9190751445087</v>
      </c>
      <c r="CO9" s="4" t="n">
        <f aca="false">IFERROR(IF(ISNUMBER(CN9),$C9*CN9,"n/a"),"n/a")</f>
        <v>0.858516827361768</v>
      </c>
      <c r="CP9" s="13" t="n">
        <f aca="false">IFERROR(AVERAGEIF('Pemetaan Variant'!$A$5:$A$32,$B9,'Pemetaan Variant'!$AT$5:$AT$32),"n/a")</f>
        <v>29200</v>
      </c>
      <c r="CQ9" s="14" t="n">
        <f aca="false">IFERROR(IF(ISNUMBER(CP9),(CP9-AVERAGEIF('Pemetaan Variant'!$A$5:$A$32,$B9,'Pemetaan Variant'!$J$5:$J$32))/AVERAGEIF('Pemetaan Variant'!$A$5:$A$32,$B9,'Pemetaan Variant'!$J$5:$J$32)*100,"n/a"),"n/a")</f>
        <v>14.7745664739884</v>
      </c>
      <c r="CR9" s="4" t="n">
        <f aca="false">IFERROR(IF(ISNUMBER(CQ9),$C9*CQ9,"n/a"),"n/a")</f>
        <v>0.707860971205381</v>
      </c>
      <c r="CS9" s="13" t="n">
        <f aca="false">IFERROR(AVERAGEIF('Pemetaan Variant'!$A$5:$A$32,$B9,'Pemetaan Variant'!$AU$5:$AU$32),"n/a")</f>
        <v>30000</v>
      </c>
      <c r="CT9" s="14" t="n">
        <f aca="false">IFERROR(IF(ISNUMBER(CS9),(CS9-AVERAGEIF('Pemetaan Variant'!$A$5:$A$32,$B9,'Pemetaan Variant'!$J$5:$J$32))/AVERAGEIF('Pemetaan Variant'!$A$5:$A$32,$B9,'Pemetaan Variant'!$J$5:$J$32)*100,"n/a"),"n/a")</f>
        <v>17.9190751445087</v>
      </c>
      <c r="CU9" s="4" t="n">
        <f aca="false">IFERROR(IF(ISNUMBER(CT9),$C9*CT9,"n/a"),"n/a")</f>
        <v>0.858516827361768</v>
      </c>
      <c r="CV9" s="13" t="n">
        <f aca="false">IFERROR(AVERAGEIF('Pemetaan Variant'!$A$5:$A$32,$B9,'Pemetaan Variant'!$AV$5:$AV$32),"n/a")</f>
        <v>29250</v>
      </c>
      <c r="CW9" s="14" t="n">
        <f aca="false">IFERROR(IF(ISNUMBER(CV9),(CV9-AVERAGEIF('Pemetaan Variant'!$A$5:$A$32,$B9,'Pemetaan Variant'!$J$5:$J$32))/AVERAGEIF('Pemetaan Variant'!$A$5:$A$32,$B9,'Pemetaan Variant'!$J$5:$J$32)*100,"n/a"),"n/a")</f>
        <v>14.971098265896</v>
      </c>
      <c r="CX9" s="4" t="n">
        <f aca="false">IFERROR(IF(ISNUMBER(CW9),$C9*CW9,"n/a"),"n/a")</f>
        <v>0.717276962215155</v>
      </c>
      <c r="CY9" s="13" t="n">
        <f aca="false">IFERROR(AVERAGEIF('Pemetaan Variant'!$A$5:$A$32,$B9,'Pemetaan Variant'!$AW$5:$AW$32),"n/a")</f>
        <v>27000</v>
      </c>
      <c r="CZ9" s="14" t="n">
        <f aca="false">IFERROR(IF(ISNUMBER(CY9),(CY9-AVERAGEIF('Pemetaan Variant'!$A$5:$A$32,$B9,'Pemetaan Variant'!$K$5:$K$32))/AVERAGEIF('Pemetaan Variant'!$A$5:$A$32,$B9,'Pemetaan Variant'!$K$5:$K$32)*100,"n/a"),"n/a")</f>
        <v>-6.89655172413793</v>
      </c>
      <c r="DA9" s="4" t="n">
        <f aca="false">IFERROR(IF(ISNUMBER(CZ9),$C9*CZ9,"n/a"),"n/a")</f>
        <v>-0.330419157138122</v>
      </c>
      <c r="DB9" s="13" t="n">
        <f aca="false">IFERROR(AVERAGEIF('Pemetaan Variant'!$A$5:$A$32,$B9,'Pemetaan Variant'!$AX$5:$AX$32),"n/a")</f>
        <v>27400</v>
      </c>
      <c r="DC9" s="14" t="n">
        <f aca="false">IFERROR(IF(ISNUMBER(DB9),(DB9-AVERAGEIF('Pemetaan Variant'!$A$5:$A$32,$B9,'Pemetaan Variant'!$K$5:$K$32))/AVERAGEIF('Pemetaan Variant'!$A$5:$A$32,$B9,'Pemetaan Variant'!$K$5:$K$32)*100,"n/a"),"n/a")</f>
        <v>-5.51724137931035</v>
      </c>
      <c r="DD9" s="4" t="n">
        <f aca="false">IFERROR(IF(ISNUMBER(DC9),$C9*DC9,"n/a"),"n/a")</f>
        <v>-0.264335325710498</v>
      </c>
      <c r="DE9" s="13" t="n">
        <f aca="false">IFERROR(AVERAGEIF('Pemetaan Variant'!$A$5:$A$32,$B9,'Pemetaan Variant'!$AY$5:$AY$32),"n/a")</f>
        <v>29000</v>
      </c>
      <c r="DF9" s="14" t="n">
        <f aca="false">IFERROR(IF(ISNUMBER(DE9),(DE9-AVERAGEIF('Pemetaan Variant'!$A$5:$A$32,$B9,'Pemetaan Variant'!$K$5:$K$32))/AVERAGEIF('Pemetaan Variant'!$A$5:$A$32,$B9,'Pemetaan Variant'!$K$5:$K$32)*100,"n/a"),"n/a")</f>
        <v>0</v>
      </c>
      <c r="DG9" s="4" t="n">
        <f aca="false">IFERROR(IF(ISNUMBER(DF9),$C9*DF9,"n/a"),"n/a")</f>
        <v>0</v>
      </c>
      <c r="DH9" s="13" t="n">
        <f aca="false">IFERROR(AVERAGEIF('Pemetaan Variant'!$A$5:$A$32,$B9,'Pemetaan Variant'!$AZ$5:$AZ$32),"n/a")</f>
        <v>29600</v>
      </c>
      <c r="DI9" s="14" t="n">
        <f aca="false">IFERROR(IF(ISNUMBER(DH9),(DH9-AVERAGEIF('Pemetaan Variant'!$A$5:$A$32,$B9,'Pemetaan Variant'!$K$5:$K$32))/AVERAGEIF('Pemetaan Variant'!$A$5:$A$32,$B9,'Pemetaan Variant'!$K$5:$K$32)*100,"n/a"),"n/a")</f>
        <v>2.06896551724138</v>
      </c>
      <c r="DJ9" s="4" t="n">
        <f aca="false">IFERROR(IF(ISNUMBER(DI9),$C9*DI9,"n/a"),"n/a")</f>
        <v>0.0991257471414366</v>
      </c>
      <c r="DK9" s="13" t="n">
        <f aca="false">IFERROR(AVERAGEIF('Pemetaan Variant'!$A$5:$A$32,$B9,'Pemetaan Variant'!$BA$5:$BA$32),"n/a")</f>
        <v>28500</v>
      </c>
      <c r="DL9" s="14" t="n">
        <f aca="false">IFERROR(IF(ISNUMBER(DK9),(DK9-AVERAGEIF('Pemetaan Variant'!$A$5:$A$32,$B9,'Pemetaan Variant'!$L$5:$L$32))/AVERAGEIF('Pemetaan Variant'!$A$5:$A$32,$B9,'Pemetaan Variant'!$L$5:$L$32)*100,"n/a"),"n/a")</f>
        <v>1.02611940298508</v>
      </c>
      <c r="DM9" s="4" t="n">
        <f aca="false">IFERROR(IF(ISNUMBER(DL9),$C9*DL9,"n/a"),"n/a")</f>
        <v>0.0491621786973233</v>
      </c>
      <c r="DN9" s="13" t="n">
        <f aca="false">IFERROR(AVERAGEIF('Pemetaan Variant'!$A$5:$A$32,$B9,'Pemetaan Variant'!$BB$5:$BB$32),"n/a")</f>
        <v>27000</v>
      </c>
      <c r="DO9" s="14" t="n">
        <f aca="false">IFERROR(IF(ISNUMBER(DN9),(DN9-AVERAGEIF('Pemetaan Variant'!$A$5:$A$32,$B9,'Pemetaan Variant'!$L$5:$L$32))/AVERAGEIF('Pemetaan Variant'!$A$5:$A$32,$B9,'Pemetaan Variant'!$L$5:$L$32)*100,"n/a"),"n/a")</f>
        <v>-4.2910447761194</v>
      </c>
      <c r="DP9" s="4" t="n">
        <f aca="false">IFERROR(IF(ISNUMBER(DO9),$C9*DO9,"n/a"),"n/a")</f>
        <v>-0.205587292734261</v>
      </c>
      <c r="DQ9" s="13" t="n">
        <f aca="false">IFERROR(AVERAGEIF('Pemetaan Variant'!$A$5:$A$32,$B9,'Pemetaan Variant'!$BC$5:$BC$32),"n/a")</f>
        <v>27000</v>
      </c>
      <c r="DR9" s="14" t="n">
        <f aca="false">IFERROR(IF(ISNUMBER(DQ9),(DQ9-AVERAGEIF('Pemetaan Variant'!$A$5:$A$32,$B9,'Pemetaan Variant'!$L$5:$L$32))/AVERAGEIF('Pemetaan Variant'!$A$5:$A$32,$B9,'Pemetaan Variant'!$L$5:$L$32)*100,"n/a"),"n/a")</f>
        <v>-4.2910447761194</v>
      </c>
      <c r="DS9" s="4" t="n">
        <f aca="false">IFERROR(IF(ISNUMBER(DR9),$C9*DR9,"n/a"),"n/a")</f>
        <v>-0.205587292734261</v>
      </c>
      <c r="DT9" s="13" t="n">
        <f aca="false">IFERROR(AVERAGEIF('Pemetaan Variant'!$A$5:$A$32,$B9,'Pemetaan Variant'!$BD$5:$BD$32),"n/a")</f>
        <v>27800</v>
      </c>
      <c r="DU9" s="14" t="n">
        <f aca="false">IFERROR(IF(ISNUMBER(DT9),(DT9-AVERAGEIF('Pemetaan Variant'!$A$5:$A$32,$B9,'Pemetaan Variant'!$L$5:$L$32))/AVERAGEIF('Pemetaan Variant'!$A$5:$A$32,$B9,'Pemetaan Variant'!$L$5:$L$32)*100,"n/a"),"n/a")</f>
        <v>-1.45522388059701</v>
      </c>
      <c r="DV9" s="4" t="n">
        <f aca="false">IFERROR(IF(ISNUMBER(DU9),$C9*DU9,"n/a"),"n/a")</f>
        <v>-0.0697209079707492</v>
      </c>
      <c r="DW9" s="13" t="n">
        <f aca="false">IFERROR(AVERAGEIF('Pemetaan Variant'!$A$5:$A$32,$B9,'Pemetaan Variant'!$BE$5:$BE$32),"n/a")</f>
        <v>29000</v>
      </c>
      <c r="DX9" s="14" t="n">
        <f aca="false">IFERROR(IF(ISNUMBER(DW9),(DW9-AVERAGEIF('Pemetaan Variant'!$A$5:$A$32,$B9,'Pemetaan Variant'!$M$5:$M$32))/AVERAGEIF('Pemetaan Variant'!$A$5:$A$32,$B9,'Pemetaan Variant'!$M$5:$M$32)*100,"n/a"),"n/a")</f>
        <v>5.35372848948375</v>
      </c>
      <c r="DY9" s="4" t="n">
        <f aca="false">IFERROR(IF(ISNUMBER(DX9),$C9*DX9,"n/a"),"n/a")</f>
        <v>0.256501295981028</v>
      </c>
      <c r="DZ9" s="13" t="n">
        <f aca="false">IFERROR(AVERAGEIF('Pemetaan Variant'!$A$5:$A$32,$B9,'Pemetaan Variant'!$BF$5:$BF$32),"n/a")</f>
        <v>28200</v>
      </c>
      <c r="EA9" s="14" t="n">
        <f aca="false">IFERROR(IF(ISNUMBER(DZ9),(DZ9-AVERAGEIF('Pemetaan Variant'!$A$5:$A$32,$B9,'Pemetaan Variant'!$M$5:$M$32))/AVERAGEIF('Pemetaan Variant'!$A$5:$A$32,$B9,'Pemetaan Variant'!$M$5:$M$32)*100,"n/a"),"n/a")</f>
        <v>2.44741873804972</v>
      </c>
      <c r="EB9" s="4" t="n">
        <f aca="false">IFERROR(IF(ISNUMBER(EA9),$C9*EA9,"n/a"),"n/a")</f>
        <v>0.117257735305613</v>
      </c>
      <c r="EC9" s="13" t="n">
        <f aca="false">IFERROR(AVERAGEIF('Pemetaan Variant'!$A$5:$A$32,$B9,'Pemetaan Variant'!$BG$5:$BG$32),"n/a")</f>
        <v>25000</v>
      </c>
      <c r="ED9" s="14" t="n">
        <f aca="false">IFERROR(IF(ISNUMBER(EC9),(EC9-AVERAGEIF('Pemetaan Variant'!$A$5:$A$32,$B9,'Pemetaan Variant'!$M$5:$M$32))/AVERAGEIF('Pemetaan Variant'!$A$5:$A$32,$B9,'Pemetaan Variant'!$M$5:$M$32)*100,"n/a"),"n/a")</f>
        <v>-9.17782026768642</v>
      </c>
      <c r="EE9" s="4" t="n">
        <f aca="false">IFERROR(IF(ISNUMBER(ED9),$C9*ED9,"n/a"),"n/a")</f>
        <v>-0.439716507396048</v>
      </c>
      <c r="EF9" s="13" t="n">
        <f aca="false">IFERROR(AVERAGEIF('Pemetaan Variant'!$A$5:$A$32,$B9,'Pemetaan Variant'!$BH$5:$BH$32),"n/a")</f>
        <v>26200</v>
      </c>
      <c r="EG9" s="14" t="n">
        <f aca="false">IFERROR(IF(ISNUMBER(EF9),(EF9-AVERAGEIF('Pemetaan Variant'!$A$5:$A$32,$B9,'Pemetaan Variant'!$M$5:$M$32))/AVERAGEIF('Pemetaan Variant'!$A$5:$A$32,$B9,'Pemetaan Variant'!$M$5:$M$32)*100,"n/a"),"n/a")</f>
        <v>-4.81835564053537</v>
      </c>
      <c r="EH9" s="4" t="n">
        <f aca="false">IFERROR(IF(ISNUMBER(EG9),$C9*EG9,"n/a"),"n/a")</f>
        <v>-0.230851166382925</v>
      </c>
      <c r="EI9" s="13" t="n">
        <f aca="false">IFERROR(AVERAGEIF('Pemetaan Variant'!$A$5:$A$32,$B9,'Pemetaan Variant'!$BI$5:$BI$32),"n/a")</f>
        <v>27800</v>
      </c>
      <c r="EJ9" s="14" t="n">
        <f aca="false">IFERROR(IF(ISNUMBER(EI9),(EI9-AVERAGEIF('Pemetaan Variant'!$A$5:$A$32,$B9,'Pemetaan Variant'!$M$5:$M$32))/AVERAGEIF('Pemetaan Variant'!$A$5:$A$32,$B9,'Pemetaan Variant'!$M$5:$M$32)*100,"n/a"),"n/a")</f>
        <v>0.9942638623327</v>
      </c>
      <c r="EK9" s="4" t="n">
        <f aca="false">IFERROR(IF(ISNUMBER(EJ9),$C9*EJ9,"n/a"),"n/a")</f>
        <v>0.0476359549679053</v>
      </c>
      <c r="EL9" s="13" t="n">
        <f aca="false">IFERROR(AVERAGEIF('Pemetaan Variant'!$A$5:$A$32,$B9,'Pemetaan Variant'!$BJ$5:$BJ$32),"n/a")</f>
        <v>27200</v>
      </c>
      <c r="EM9" s="14" t="n">
        <f aca="false">IFERROR(IF(ISNUMBER(EL9),(EL9-AVERAGEIF('Pemetaan Variant'!$A$5:$A$32,$B9,'Pemetaan Variant'!$N$5:$N$32))/AVERAGEIF('Pemetaan Variant'!$A$5:$A$32,$B9,'Pemetaan Variant'!$N$5:$N$32)*100,"n/a"),"n/a")</f>
        <v>0.417335473515244</v>
      </c>
      <c r="EN9" s="4" t="n">
        <f aca="false">IFERROR(IF(ISNUMBER(EM9),$C9*EM9,"n/a"),"n/a")</f>
        <v>0.0199948671333981</v>
      </c>
      <c r="EO9" s="13" t="n">
        <f aca="false">IFERROR(AVERAGEIF('Pemetaan Variant'!$A$5:$A$32,$B9,'Pemetaan Variant'!$BK$5:$BK$32),"n/a")</f>
        <v>26000</v>
      </c>
      <c r="EP9" s="14" t="n">
        <f aca="false">IFERROR(IF(ISNUMBER(EO9),(EO9-AVERAGEIF('Pemetaan Variant'!$A$5:$A$32,$B9,'Pemetaan Variant'!$N$5:$N$32))/AVERAGEIF('Pemetaan Variant'!$A$5:$A$32,$B9,'Pemetaan Variant'!$N$5:$N$32)*100,"n/a"),"n/a")</f>
        <v>-4.01284109149278</v>
      </c>
      <c r="EQ9" s="4" t="n">
        <f aca="false">IFERROR(IF(ISNUMBER(EP9),$C9*EP9,"n/a"),"n/a")</f>
        <v>-0.192258337821139</v>
      </c>
      <c r="ER9" s="13" t="n">
        <f aca="false">IFERROR(AVERAGEIF('Pemetaan Variant'!$A$5:$A$32,$B9,'Pemetaan Variant'!$BL$5:$BL$32),"n/a")</f>
        <v>26000</v>
      </c>
      <c r="ES9" s="14" t="n">
        <f aca="false">IFERROR(IF(ISNUMBER(ER9),(ER9-AVERAGEIF('Pemetaan Variant'!$A$5:$A$32,$B9,'Pemetaan Variant'!$N$5:$N$32))/AVERAGEIF('Pemetaan Variant'!$A$5:$A$32,$B9,'Pemetaan Variant'!$N$5:$N$32)*100,"n/a"),"n/a")</f>
        <v>-4.01284109149278</v>
      </c>
      <c r="ET9" s="4" t="n">
        <f aca="false">IFERROR(IF(ISNUMBER(ES9),$C9*ES9,"n/a"),"n/a")</f>
        <v>-0.192258337821139</v>
      </c>
      <c r="EU9" s="13" t="n">
        <f aca="false">IFERROR(AVERAGEIF('Pemetaan Variant'!$A$5:$A$32,$B9,'Pemetaan Variant'!$BM$5:$BM$32),"n/a")</f>
        <v>26000</v>
      </c>
      <c r="EV9" s="14" t="n">
        <f aca="false">IFERROR(IF(ISNUMBER(EU9),(EU9-AVERAGEIF('Pemetaan Variant'!$A$5:$A$32,$B9,'Pemetaan Variant'!$N$5:$N$32))/AVERAGEIF('Pemetaan Variant'!$A$5:$A$32,$B9,'Pemetaan Variant'!$N$5:$N$32)*100,"n/a"),"n/a")</f>
        <v>-4.01284109149278</v>
      </c>
      <c r="EW9" s="4" t="n">
        <f aca="false">IFERROR(IF(ISNUMBER(EV9),$C9*EV9,"n/a"),"n/a")</f>
        <v>-0.192258337821139</v>
      </c>
      <c r="EX9" s="13" t="n">
        <f aca="false">IFERROR(AVERAGEIF('Pemetaan Variant'!$A$5:$A$32,$B9,'Pemetaan Variant'!$BN$5:$BN$32),"n/a")</f>
        <v>26000</v>
      </c>
      <c r="EY9" s="14" t="n">
        <f aca="false">IFERROR(IF(ISNUMBER(EX9),(EX9-AVERAGEIF('Pemetaan Variant'!$A$5:$A$32,$B9,'Pemetaan Variant'!$O$5:$O$32))/AVERAGEIF('Pemetaan Variant'!$A$5:$A$32,$B9,'Pemetaan Variant'!$O$5:$O$32)*100,"n/a"),"n/a")</f>
        <v>-1.14068441064639</v>
      </c>
      <c r="EZ9" s="4" t="n">
        <f aca="false">IFERROR(IF(ISNUMBER(EY9),$C9*EY9,"n/a"),"n/a")</f>
        <v>-0.0546510773213244</v>
      </c>
      <c r="FA9" s="13" t="n">
        <f aca="false">IFERROR(AVERAGEIF('Pemetaan Variant'!$A$5:$A$32,$B9,'Pemetaan Variant'!$BO$5:$BO$32),"n/a")</f>
        <v>25600</v>
      </c>
      <c r="FB9" s="14" t="n">
        <f aca="false">IFERROR(IF(ISNUMBER(FA9),(FA9-AVERAGEIF('Pemetaan Variant'!$A$5:$A$32,$B9,'Pemetaan Variant'!$O$5:$O$32))/AVERAGEIF('Pemetaan Variant'!$A$5:$A$32,$B9,'Pemetaan Variant'!$O$5:$O$32)*100,"n/a"),"n/a")</f>
        <v>-2.6615969581749</v>
      </c>
      <c r="FC9" s="4" t="n">
        <f aca="false">IFERROR(IF(ISNUMBER(FB9),$C9*FB9,"n/a"),"n/a")</f>
        <v>-0.127519180416424</v>
      </c>
      <c r="FD9" s="13" t="n">
        <f aca="false">IFERROR(AVERAGEIF('Pemetaan Variant'!$A$5:$A$32,$B9,'Pemetaan Variant'!$BP$5:$BP$32),"n/a")</f>
        <v>24400</v>
      </c>
      <c r="FE9" s="14" t="n">
        <f aca="false">IFERROR(IF(ISNUMBER(FD9),(FD9-AVERAGEIF('Pemetaan Variant'!$A$5:$A$32,$B9,'Pemetaan Variant'!$O$5:$O$32))/AVERAGEIF('Pemetaan Variant'!$A$5:$A$32,$B9,'Pemetaan Variant'!$O$5:$O$32)*100,"n/a"),"n/a")</f>
        <v>-7.22433460076046</v>
      </c>
      <c r="FF9" s="4" t="n">
        <f aca="false">IFERROR(IF(ISNUMBER(FE9),$C9*FE9,"n/a"),"n/a")</f>
        <v>-0.346123489701721</v>
      </c>
      <c r="FG9" s="13" t="n">
        <f aca="false">IFERROR(AVERAGEIF('Pemetaan Variant'!$A$5:$A$32,$B9,'Pemetaan Variant'!$BQ$5:$BQ$32),"n/a")</f>
        <v>25500</v>
      </c>
      <c r="FH9" s="14" t="n">
        <f aca="false">IFERROR(IF(ISNUMBER(FG9),(FG9-AVERAGEIF('Pemetaan Variant'!$A$5:$A$32,$B9,'Pemetaan Variant'!$O$5:$O$32))/AVERAGEIF('Pemetaan Variant'!$A$5:$A$32,$B9,'Pemetaan Variant'!$O$5:$O$32)*100,"n/a"),"n/a")</f>
        <v>-3.04182509505703</v>
      </c>
      <c r="FI9" s="4" t="n">
        <f aca="false">IFERROR(IF(ISNUMBER(FH9),$C9*FH9,"n/a"),"n/a")</f>
        <v>-0.145736206190198</v>
      </c>
      <c r="FJ9" s="13" t="n">
        <f aca="false">IFERROR(AVERAGEIF('Pemetaan Variant'!$A$5:$A$32,$B9,'Pemetaan Variant'!$BR$5:$BR$32),"n/a")</f>
        <v>26000</v>
      </c>
      <c r="FK9" s="14" t="n">
        <f aca="false">IFERROR(IF(ISNUMBER(FJ9),(FJ9-AVERAGEIF('Pemetaan Variant'!$A$5:$A$32,$B9,'Pemetaan Variant'!$O$5:$O$32))/AVERAGEIF('Pemetaan Variant'!$A$5:$A$32,$B9,'Pemetaan Variant'!$O$5:$O$32)*100,"n/a"),"n/a")</f>
        <v>-1.14068441064639</v>
      </c>
      <c r="FL9" s="4" t="n">
        <f aca="false">IFERROR(IF(ISNUMBER(FK9),$C9*FK9,"n/a"),"n/a")</f>
        <v>-0.0546510773213244</v>
      </c>
      <c r="FM9" s="15"/>
      <c r="FO9" s="11" t="n">
        <f aca="false">IFERROR(ABS(F9),0)</f>
        <v>0.158313874420091</v>
      </c>
      <c r="FP9" s="11" t="n">
        <f aca="false">IFERROR(ABS(I9),0)</f>
        <v>0.321627134348186</v>
      </c>
      <c r="FQ9" s="11" t="n">
        <f aca="false">IFERROR(ABS(L9),0)</f>
        <v>0.441612386540255</v>
      </c>
      <c r="FR9" s="11" t="n">
        <f aca="false">IFERROR(ABS(O9),0)</f>
        <v>0.441612386540255</v>
      </c>
      <c r="FS9" s="11" t="n">
        <f aca="false">IFERROR(ABS(R9),0)</f>
        <v>0.441612386540255</v>
      </c>
      <c r="FT9" s="11" t="n">
        <f aca="false">IFERROR(ABS(U9),0)</f>
        <v>0.102118886930787</v>
      </c>
      <c r="FU9" s="11" t="n">
        <f aca="false">IFERROR(ABS(X9),0)</f>
        <v>0.0595693507096261</v>
      </c>
      <c r="FV9" s="11" t="n">
        <f aca="false">IFERROR(ABS(AA9),0)</f>
        <v>0.188919940821957</v>
      </c>
      <c r="FW9" s="11" t="n">
        <f aca="false">IFERROR(ABS(AD9),0)</f>
        <v>0.221257588350039</v>
      </c>
      <c r="FX9" s="11" t="n">
        <f aca="false">IFERROR(ABS(AG9),0)</f>
        <v>0.0702356951822393</v>
      </c>
      <c r="FY9" s="11" t="n">
        <f aca="false">IFERROR(ABS(AJ9),0)</f>
        <v>0.0250841768508001</v>
      </c>
      <c r="FZ9" s="11" t="n">
        <f aca="false">IFERROR(ABS(AM9),0)</f>
        <v>0.0250841768508001</v>
      </c>
      <c r="GA9" s="11" t="n">
        <f aca="false">IFERROR(ABS(AP9),0)</f>
        <v>0.0648007901978998</v>
      </c>
      <c r="GB9" s="11" t="n">
        <f aca="false">IFERROR(ABS(AS9),0)</f>
        <v>0</v>
      </c>
      <c r="GC9" s="11" t="n">
        <f aca="false">IFERROR(ABS(AV9),0)</f>
        <v>0</v>
      </c>
      <c r="GD9" s="11" t="n">
        <f aca="false">IFERROR(ABS(AY9),0)</f>
        <v>0.096324116176192</v>
      </c>
      <c r="GE9" s="11" t="n">
        <f aca="false">IFERROR(ABS(BB9),0)</f>
        <v>0.693114835963469</v>
      </c>
      <c r="GF9" s="11" t="n">
        <f aca="false">IFERROR(ABS(BE9),0)</f>
        <v>0.812472979920924</v>
      </c>
      <c r="GG9" s="11" t="n">
        <f aca="false">IFERROR(ABS(BH9),0)</f>
        <v>0.812472979920924</v>
      </c>
      <c r="GH9" s="11" t="n">
        <f aca="false">IFERROR(ABS(BK9),0)</f>
        <v>0.23898487731249</v>
      </c>
      <c r="GI9" s="11" t="n">
        <f aca="false">IFERROR(ABS(BN9),0)</f>
        <v>0.0933179044744008</v>
      </c>
      <c r="GJ9" s="11" t="n">
        <f aca="false">IFERROR(ABS(BQ9),0)</f>
        <v>0.125182554782733</v>
      </c>
      <c r="GK9" s="11" t="n">
        <f aca="false">IFERROR(ABS(BT9),0)</f>
        <v>0.125182554782733</v>
      </c>
      <c r="GL9" s="11" t="n">
        <f aca="false">IFERROR(ABS(BW9),0)</f>
        <v>0.307266270830344</v>
      </c>
      <c r="GM9" s="11" t="n">
        <f aca="false">IFERROR(ABS(BZ9),0)</f>
        <v>0.411568355422044</v>
      </c>
      <c r="GN9" s="11" t="n">
        <f aca="false">IFERROR(ABS(CC9),0)</f>
        <v>0.0303399749189331</v>
      </c>
      <c r="GO9" s="11" t="n">
        <f aca="false">IFERROR(ABS(CF9),0)</f>
        <v>0.59308055319792</v>
      </c>
      <c r="GP9" s="11" t="n">
        <f aca="false">IFERROR(ABS(CI9),0)</f>
        <v>0.664841189527917</v>
      </c>
      <c r="GQ9" s="11" t="n">
        <f aca="false">IFERROR(ABS(CL9),0)</f>
        <v>0.10523754657983</v>
      </c>
      <c r="GR9" s="11" t="n">
        <f aca="false">IFERROR(ABS(CO9),0)</f>
        <v>0.858516827361768</v>
      </c>
      <c r="GS9" s="11" t="n">
        <f aca="false">IFERROR(ABS(CR9),0)</f>
        <v>0.707860971205381</v>
      </c>
      <c r="GT9" s="11" t="n">
        <f aca="false">IFERROR(ABS(CU9),0)</f>
        <v>0.858516827361768</v>
      </c>
      <c r="GU9" s="11" t="n">
        <f aca="false">IFERROR(ABS(CX9),0)</f>
        <v>0.717276962215155</v>
      </c>
      <c r="GV9" s="11" t="n">
        <f aca="false">IFERROR(ABS(DA9),0)</f>
        <v>0.330419157138122</v>
      </c>
      <c r="GW9" s="11" t="n">
        <f aca="false">IFERROR(ABS(DD9),0)</f>
        <v>0.264335325710498</v>
      </c>
      <c r="GX9" s="11" t="n">
        <f aca="false">IFERROR(ABS(DG9),0)</f>
        <v>0</v>
      </c>
      <c r="GY9" s="11" t="n">
        <f aca="false">IFERROR(ABS(DJ9),0)</f>
        <v>0.0991257471414366</v>
      </c>
      <c r="GZ9" s="11" t="n">
        <f aca="false">IFERROR(ABS(DM9),0)</f>
        <v>0.0491621786973233</v>
      </c>
      <c r="HA9" s="11" t="n">
        <f aca="false">IFERROR(ABS(DP9),0)</f>
        <v>0.205587292734261</v>
      </c>
      <c r="HB9" s="11" t="n">
        <f aca="false">IFERROR(ABS(DS9),0)</f>
        <v>0.205587292734261</v>
      </c>
      <c r="HC9" s="11" t="n">
        <f aca="false">IFERROR(ABS(DV9),0)</f>
        <v>0.0697209079707492</v>
      </c>
      <c r="HD9" s="11" t="n">
        <f aca="false">IFERROR(ABS(DY9),0)</f>
        <v>0.256501295981028</v>
      </c>
      <c r="HE9" s="11" t="n">
        <f aca="false">IFERROR(ABS(EB9),0)</f>
        <v>0.117257735305613</v>
      </c>
      <c r="HF9" s="11" t="n">
        <f aca="false">IFERROR(ABS(EE9),0)</f>
        <v>0.439716507396048</v>
      </c>
      <c r="HG9" s="11" t="n">
        <f aca="false">IFERROR(ABS(EH9),0)</f>
        <v>0.230851166382925</v>
      </c>
      <c r="HH9" s="11" t="n">
        <f aca="false">IFERROR(ABS(EK9),0)</f>
        <v>0.0476359549679053</v>
      </c>
      <c r="HI9" s="11" t="n">
        <f aca="false">IFERROR(ABS(EN9),0)</f>
        <v>0.0199948671333981</v>
      </c>
      <c r="HJ9" s="11" t="n">
        <f aca="false">IFERROR(ABS(EQ9),0)</f>
        <v>0.192258337821139</v>
      </c>
      <c r="HK9" s="11" t="n">
        <f aca="false">IFERROR(ABS(ET9),0)</f>
        <v>0.192258337821139</v>
      </c>
      <c r="HL9" s="11" t="n">
        <f aca="false">IFERROR(ABS(EW9),0)</f>
        <v>0.192258337821139</v>
      </c>
      <c r="HM9" s="11" t="n">
        <f aca="false">IFERROR(ABS(EZ9),0)</f>
        <v>0.0546510773213244</v>
      </c>
      <c r="HN9" s="11" t="n">
        <f aca="false">IFERROR(ABS(FC9),0)</f>
        <v>0.127519180416424</v>
      </c>
      <c r="HO9" s="11" t="n">
        <f aca="false">IFERROR(ABS(FF9),0)</f>
        <v>0.346123489701721</v>
      </c>
      <c r="HP9" s="11" t="n">
        <f aca="false">IFERROR(ABS(FI9),0)</f>
        <v>0.145736206190198</v>
      </c>
      <c r="HQ9" s="11" t="n">
        <f aca="false">IFERROR(ABS(FL9),0)</f>
        <v>0.0546510773213244</v>
      </c>
    </row>
    <row r="10" customFormat="false" ht="15" hidden="false" customHeight="false" outlineLevel="0" collapsed="false">
      <c r="A10" s="3" t="n">
        <v>5</v>
      </c>
      <c r="B10" s="3" t="s">
        <v>238</v>
      </c>
      <c r="C10" s="12" t="n">
        <f aca="false">'P0Q0 Dasar 2022'!F9</f>
        <v>0.0451766229856385</v>
      </c>
      <c r="D10" s="13" t="n">
        <f aca="false">IFERROR(AVERAGEIF('Pemetaan Variant'!$A$5:$A$32,$B10,'Pemetaan Variant'!$P$5:$P$32),"n/a")</f>
        <v>16250</v>
      </c>
      <c r="E10" s="14" t="n">
        <f aca="false">IFERROR(IF(ISNUMBER(D10),(D10-AVERAGEIF('Pemetaan Variant'!$A$5:$A$32,$B10,'Pemetaan Variant'!$D$5:$D$32))/AVERAGEIF('Pemetaan Variant'!$A$5:$A$32,$B10,'Pemetaan Variant'!$D$5:$D$32)*100,"n/a"),"n/a")</f>
        <v>-0.340715502555361</v>
      </c>
      <c r="F10" s="4" t="n">
        <f aca="false">IFERROR(IF(ISNUMBER(E10),$C10*E10,"n/a"),"n/a")</f>
        <v>-0.0153923758043059</v>
      </c>
      <c r="G10" s="13" t="n">
        <f aca="false">IFERROR(AVERAGEIF('Pemetaan Variant'!$A$5:$A$32,$B10,'Pemetaan Variant'!$Q$5:$Q$32),"n/a")</f>
        <v>16250</v>
      </c>
      <c r="H10" s="14" t="n">
        <f aca="false">IFERROR(IF(ISNUMBER(G10),(G10-AVERAGEIF('Pemetaan Variant'!$A$5:$A$32,$B10,'Pemetaan Variant'!$D$5:$D$32))/AVERAGEIF('Pemetaan Variant'!$A$5:$A$32,$B10,'Pemetaan Variant'!$D$5:$D$32)*100,"n/a"),"n/a")</f>
        <v>-0.340715502555361</v>
      </c>
      <c r="I10" s="4" t="n">
        <f aca="false">IFERROR(IF(ISNUMBER(H10),$C10*H10,"n/a"),"n/a")</f>
        <v>-0.0153923758043059</v>
      </c>
      <c r="J10" s="13" t="n">
        <f aca="false">IFERROR(AVERAGEIF('Pemetaan Variant'!$A$5:$A$32,$B10,'Pemetaan Variant'!$R$5:$R$32),"n/a")</f>
        <v>16250</v>
      </c>
      <c r="K10" s="14" t="n">
        <f aca="false">IFERROR(IF(ISNUMBER(J10),(J10-AVERAGEIF('Pemetaan Variant'!$A$5:$A$32,$B10,'Pemetaan Variant'!$D$5:$D$32))/AVERAGEIF('Pemetaan Variant'!$A$5:$A$32,$B10,'Pemetaan Variant'!$D$5:$D$32)*100,"n/a"),"n/a")</f>
        <v>-0.340715502555361</v>
      </c>
      <c r="L10" s="4" t="n">
        <f aca="false">IFERROR(IF(ISNUMBER(K10),$C10*K10,"n/a"),"n/a")</f>
        <v>-0.0153923758043059</v>
      </c>
      <c r="M10" s="13" t="n">
        <f aca="false">IFERROR(AVERAGEIF('Pemetaan Variant'!$A$5:$A$32,$B10,'Pemetaan Variant'!$S$5:$S$32),"n/a")</f>
        <v>16250</v>
      </c>
      <c r="N10" s="14" t="n">
        <f aca="false">IFERROR(IF(ISNUMBER(M10),(M10-AVERAGEIF('Pemetaan Variant'!$A$5:$A$32,$B10,'Pemetaan Variant'!$D$5:$D$32))/AVERAGEIF('Pemetaan Variant'!$A$5:$A$32,$B10,'Pemetaan Variant'!$D$5:$D$32)*100,"n/a"),"n/a")</f>
        <v>-0.340715502555361</v>
      </c>
      <c r="O10" s="4" t="n">
        <f aca="false">IFERROR(IF(ISNUMBER(N10),$C10*N10,"n/a"),"n/a")</f>
        <v>-0.0153923758043059</v>
      </c>
      <c r="P10" s="13" t="n">
        <f aca="false">IFERROR(AVERAGEIF('Pemetaan Variant'!$A$5:$A$32,$B10,'Pemetaan Variant'!$T$5:$T$32),"n/a")</f>
        <v>16250</v>
      </c>
      <c r="Q10" s="14" t="n">
        <f aca="false">IFERROR(IF(ISNUMBER(P10),(P10-AVERAGEIF('Pemetaan Variant'!$A$5:$A$32,$B10,'Pemetaan Variant'!$D$5:$D$32))/AVERAGEIF('Pemetaan Variant'!$A$5:$A$32,$B10,'Pemetaan Variant'!$D$5:$D$32)*100,"n/a"),"n/a")</f>
        <v>-0.340715502555361</v>
      </c>
      <c r="R10" s="4" t="n">
        <f aca="false">IFERROR(IF(ISNUMBER(Q10),$C10*Q10,"n/a"),"n/a")</f>
        <v>-0.0153923758043059</v>
      </c>
      <c r="S10" s="13" t="n">
        <f aca="false">IFERROR(AVERAGEIF('Pemetaan Variant'!$A$5:$A$32,$B10,'Pemetaan Variant'!$U$5:$U$32),"n/a")</f>
        <v>16250</v>
      </c>
      <c r="T10" s="14" t="n">
        <f aca="false">IFERROR(IF(ISNUMBER(S10),(S10-AVERAGEIF('Pemetaan Variant'!$A$5:$A$32,$B10,'Pemetaan Variant'!$E$5:$E$32))/AVERAGEIF('Pemetaan Variant'!$A$5:$A$32,$B10,'Pemetaan Variant'!$E$5:$E$32)*100,"n/a"),"n/a")</f>
        <v>0</v>
      </c>
      <c r="U10" s="4" t="n">
        <f aca="false">IFERROR(IF(ISNUMBER(T10),$C10*T10,"n/a"),"n/a")</f>
        <v>0</v>
      </c>
      <c r="V10" s="13" t="n">
        <f aca="false">IFERROR(AVERAGEIF('Pemetaan Variant'!$A$5:$A$32,$B10,'Pemetaan Variant'!$V$5:$V$32),"n/a")</f>
        <v>16416.6666666667</v>
      </c>
      <c r="W10" s="14" t="n">
        <f aca="false">IFERROR(IF(ISNUMBER(V10),(V10-AVERAGEIF('Pemetaan Variant'!$A$5:$A$32,$B10,'Pemetaan Variant'!$E$5:$E$32))/AVERAGEIF('Pemetaan Variant'!$A$5:$A$32,$B10,'Pemetaan Variant'!$E$5:$E$32)*100,"n/a"),"n/a")</f>
        <v>1.02564102564103</v>
      </c>
      <c r="X10" s="4" t="n">
        <f aca="false">IFERROR(IF(ISNUMBER(W10),$C10*W10,"n/a"),"n/a")</f>
        <v>0.0463349979339885</v>
      </c>
      <c r="Y10" s="13" t="n">
        <f aca="false">IFERROR(AVERAGEIF('Pemetaan Variant'!$A$5:$A$32,$B10,'Pemetaan Variant'!$W$5:$W$32),"n/a")</f>
        <v>16416.6666666667</v>
      </c>
      <c r="Z10" s="14" t="n">
        <f aca="false">IFERROR(IF(ISNUMBER(Y10),(Y10-AVERAGEIF('Pemetaan Variant'!$A$5:$A$32,$B10,'Pemetaan Variant'!$E$5:$E$32))/AVERAGEIF('Pemetaan Variant'!$A$5:$A$32,$B10,'Pemetaan Variant'!$E$5:$E$32)*100,"n/a"),"n/a")</f>
        <v>1.02564102564103</v>
      </c>
      <c r="AA10" s="4" t="n">
        <f aca="false">IFERROR(IF(ISNUMBER(Z10),$C10*Z10,"n/a"),"n/a")</f>
        <v>0.0463349979339885</v>
      </c>
      <c r="AB10" s="13" t="n">
        <f aca="false">IFERROR(AVERAGEIF('Pemetaan Variant'!$A$5:$A$32,$B10,'Pemetaan Variant'!$X$5:$X$32),"n/a")</f>
        <v>16416.6666666667</v>
      </c>
      <c r="AC10" s="14" t="n">
        <f aca="false">IFERROR(IF(ISNUMBER(AB10),(AB10-AVERAGEIF('Pemetaan Variant'!$A$5:$A$32,$B10,'Pemetaan Variant'!$E$5:$E$32))/AVERAGEIF('Pemetaan Variant'!$A$5:$A$32,$B10,'Pemetaan Variant'!$E$5:$E$32)*100,"n/a"),"n/a")</f>
        <v>1.02564102564103</v>
      </c>
      <c r="AD10" s="4" t="n">
        <f aca="false">IFERROR(IF(ISNUMBER(AC10),$C10*AC10,"n/a"),"n/a")</f>
        <v>0.0463349979339885</v>
      </c>
      <c r="AE10" s="13" t="n">
        <f aca="false">IFERROR(AVERAGEIF('Pemetaan Variant'!$A$5:$A$32,$B10,'Pemetaan Variant'!$Y$5:$Y$32),"n/a")</f>
        <v>16416.6666666667</v>
      </c>
      <c r="AF10" s="14" t="n">
        <f aca="false">IFERROR(IF(ISNUMBER(AE10),(AE10-AVERAGEIF('Pemetaan Variant'!$A$5:$A$32,$B10,'Pemetaan Variant'!$F$5:$F$32))/AVERAGEIF('Pemetaan Variant'!$A$5:$A$32,$B10,'Pemetaan Variant'!$F$5:$F$32)*100,"n/a"),"n/a")</f>
        <v>0.267881060809002</v>
      </c>
      <c r="AG10" s="4" t="n">
        <f aca="false">IFERROR(IF(ISNUMBER(AF10),$C10*AF10,"n/a"),"n/a")</f>
        <v>0.0121019616891612</v>
      </c>
      <c r="AH10" s="13" t="n">
        <f aca="false">IFERROR(AVERAGEIF('Pemetaan Variant'!$A$5:$A$32,$B10,'Pemetaan Variant'!$Z$5:$Z$32),"n/a")</f>
        <v>16416.6666666667</v>
      </c>
      <c r="AI10" s="14" t="n">
        <f aca="false">IFERROR(IF(ISNUMBER(AH10),(AH10-AVERAGEIF('Pemetaan Variant'!$A$5:$A$32,$B10,'Pemetaan Variant'!$F$5:$F$32))/AVERAGEIF('Pemetaan Variant'!$A$5:$A$32,$B10,'Pemetaan Variant'!$F$5:$F$32)*100,"n/a"),"n/a")</f>
        <v>0.267881060809002</v>
      </c>
      <c r="AJ10" s="4" t="n">
        <f aca="false">IFERROR(IF(ISNUMBER(AI10),$C10*AI10,"n/a"),"n/a")</f>
        <v>0.0121019616891612</v>
      </c>
      <c r="AK10" s="13" t="n">
        <f aca="false">IFERROR(AVERAGEIF('Pemetaan Variant'!$A$5:$A$32,$B10,'Pemetaan Variant'!$AA$5:$AA$32),"n/a")</f>
        <v>16416.6666666667</v>
      </c>
      <c r="AL10" s="14" t="n">
        <f aca="false">IFERROR(IF(ISNUMBER(AK10),(AK10-AVERAGEIF('Pemetaan Variant'!$A$5:$A$32,$B10,'Pemetaan Variant'!$F$5:$F$32))/AVERAGEIF('Pemetaan Variant'!$A$5:$A$32,$B10,'Pemetaan Variant'!$F$5:$F$32)*100,"n/a"),"n/a")</f>
        <v>0.267881060809002</v>
      </c>
      <c r="AM10" s="4" t="n">
        <f aca="false">IFERROR(IF(ISNUMBER(AL10),$C10*AL10,"n/a"),"n/a")</f>
        <v>0.0121019616891612</v>
      </c>
      <c r="AN10" s="13" t="n">
        <f aca="false">IFERROR(AVERAGEIF('Pemetaan Variant'!$A$5:$A$32,$B10,'Pemetaan Variant'!$AB$5:$AB$32),"n/a")</f>
        <v>16416.6666666667</v>
      </c>
      <c r="AO10" s="14" t="n">
        <f aca="false">IFERROR(IF(ISNUMBER(AN10),(AN10-AVERAGEIF('Pemetaan Variant'!$A$5:$A$32,$B10,'Pemetaan Variant'!$F$5:$F$32))/AVERAGEIF('Pemetaan Variant'!$A$5:$A$32,$B10,'Pemetaan Variant'!$F$5:$F$32)*100,"n/a"),"n/a")</f>
        <v>0.267881060809002</v>
      </c>
      <c r="AP10" s="4" t="n">
        <f aca="false">IFERROR(IF(ISNUMBER(AO10),$C10*AO10,"n/a"),"n/a")</f>
        <v>0.0121019616891612</v>
      </c>
      <c r="AQ10" s="13" t="str">
        <f aca="false">IFERROR(AVERAGEIF('Pemetaan Variant'!$A$5:$A$32,$B10,'Pemetaan Variant'!$AC$5:$AC$32),"n/a")</f>
        <v>n/a</v>
      </c>
      <c r="AR10" s="14" t="str">
        <f aca="false">IFERROR(IF(ISNUMBER(AQ10),(AQ10-AVERAGEIF('Pemetaan Variant'!$A$5:$A$32,$B10,'Pemetaan Variant'!$F$5:$F$32))/AVERAGEIF('Pemetaan Variant'!$A$5:$A$32,$B10,'Pemetaan Variant'!$F$5:$F$32)*100,"n/a"),"n/a")</f>
        <v>n/a</v>
      </c>
      <c r="AS10" s="4" t="str">
        <f aca="false">IFERROR(IF(ISNUMBER(AR10),$C10*AR10,"n/a"),"n/a")</f>
        <v>n/a</v>
      </c>
      <c r="AT10" s="13" t="str">
        <f aca="false">IFERROR(AVERAGEIF('Pemetaan Variant'!$A$5:$A$32,$B10,'Pemetaan Variant'!$AD$5:$AD$32),"n/a")</f>
        <v>n/a</v>
      </c>
      <c r="AU10" s="14" t="str">
        <f aca="false">IFERROR(IF(ISNUMBER(AT10),(AT10-AVERAGEIF('Pemetaan Variant'!$A$5:$A$32,$B10,'Pemetaan Variant'!$G$5:$G$32))/AVERAGEIF('Pemetaan Variant'!$A$5:$A$32,$B10,'Pemetaan Variant'!$G$5:$G$32)*100,"n/a"),"n/a")</f>
        <v>n/a</v>
      </c>
      <c r="AV10" s="4" t="str">
        <f aca="false">IFERROR(IF(ISNUMBER(AU10),$C10*AU10,"n/a"),"n/a")</f>
        <v>n/a</v>
      </c>
      <c r="AW10" s="13" t="n">
        <f aca="false">IFERROR(AVERAGEIF('Pemetaan Variant'!$A$5:$A$32,$B10,'Pemetaan Variant'!$AE$5:$AE$32),"n/a")</f>
        <v>16416.6666666667</v>
      </c>
      <c r="AX10" s="14" t="n">
        <f aca="false">IFERROR(IF(ISNUMBER(AW10),(AW10-AVERAGEIF('Pemetaan Variant'!$A$5:$A$32,$B10,'Pemetaan Variant'!$G$5:$G$32))/AVERAGEIF('Pemetaan Variant'!$A$5:$A$32,$B10,'Pemetaan Variant'!$G$5:$G$32)*100,"n/a"),"n/a")</f>
        <v>0</v>
      </c>
      <c r="AY10" s="4" t="n">
        <f aca="false">IFERROR(IF(ISNUMBER(AX10),$C10*AX10,"n/a"),"n/a")</f>
        <v>0</v>
      </c>
      <c r="AZ10" s="13" t="n">
        <f aca="false">IFERROR(AVERAGEIF('Pemetaan Variant'!$A$5:$A$32,$B10,'Pemetaan Variant'!$AF$5:$AF$32),"n/a")</f>
        <v>16416.6666666667</v>
      </c>
      <c r="BA10" s="14" t="n">
        <f aca="false">IFERROR(IF(ISNUMBER(AZ10),(AZ10-AVERAGEIF('Pemetaan Variant'!$A$5:$A$32,$B10,'Pemetaan Variant'!$G$5:$G$32))/AVERAGEIF('Pemetaan Variant'!$A$5:$A$32,$B10,'Pemetaan Variant'!$G$5:$G$32)*100,"n/a"),"n/a")</f>
        <v>0</v>
      </c>
      <c r="BB10" s="4" t="n">
        <f aca="false">IFERROR(IF(ISNUMBER(BA10),$C10*BA10,"n/a"),"n/a")</f>
        <v>0</v>
      </c>
      <c r="BC10" s="13" t="n">
        <f aca="false">IFERROR(AVERAGEIF('Pemetaan Variant'!$A$5:$A$32,$B10,'Pemetaan Variant'!$AG$5:$AG$32),"n/a")</f>
        <v>16416.6666666667</v>
      </c>
      <c r="BD10" s="14" t="n">
        <f aca="false">IFERROR(IF(ISNUMBER(BC10),(BC10-AVERAGEIF('Pemetaan Variant'!$A$5:$A$32,$B10,'Pemetaan Variant'!$G$5:$G$32))/AVERAGEIF('Pemetaan Variant'!$A$5:$A$32,$B10,'Pemetaan Variant'!$G$5:$G$32)*100,"n/a"),"n/a")</f>
        <v>0</v>
      </c>
      <c r="BE10" s="4" t="n">
        <f aca="false">IFERROR(IF(ISNUMBER(BD10),$C10*BD10,"n/a"),"n/a")</f>
        <v>0</v>
      </c>
      <c r="BF10" s="13" t="n">
        <f aca="false">IFERROR(AVERAGEIF('Pemetaan Variant'!$A$5:$A$32,$B10,'Pemetaan Variant'!$AH$5:$AH$32),"n/a")</f>
        <v>16166.6666666667</v>
      </c>
      <c r="BG10" s="14" t="n">
        <f aca="false">IFERROR(IF(ISNUMBER(BF10),(BF10-AVERAGEIF('Pemetaan Variant'!$A$5:$A$32,$B10,'Pemetaan Variant'!$G$5:$G$32))/AVERAGEIF('Pemetaan Variant'!$A$5:$A$32,$B10,'Pemetaan Variant'!$G$5:$G$32)*100,"n/a"),"n/a")</f>
        <v>-1.52284263959392</v>
      </c>
      <c r="BH10" s="4" t="n">
        <f aca="false">IFERROR(IF(ISNUMBER(BG10),$C10*BG10,"n/a"),"n/a")</f>
        <v>-0.0687968877953891</v>
      </c>
      <c r="BI10" s="13" t="n">
        <f aca="false">IFERROR(AVERAGEIF('Pemetaan Variant'!$A$5:$A$32,$B10,'Pemetaan Variant'!$AI$5:$AI$32),"n/a")</f>
        <v>16166.6666666667</v>
      </c>
      <c r="BJ10" s="14" t="n">
        <f aca="false">IFERROR(IF(ISNUMBER(BI10),(BI10-AVERAGEIF('Pemetaan Variant'!$A$5:$A$32,$B10,'Pemetaan Variant'!$H$5:$H$32))/AVERAGEIF('Pemetaan Variant'!$A$5:$A$32,$B10,'Pemetaan Variant'!$H$5:$H$32)*100,"n/a"),"n/a")</f>
        <v>-1.24085268851416</v>
      </c>
      <c r="BK10" s="4" t="n">
        <f aca="false">IFERROR(IF(ISNUMBER(BJ10),$C10*BJ10,"n/a"),"n/a")</f>
        <v>-0.0560575340897201</v>
      </c>
      <c r="BL10" s="13" t="n">
        <f aca="false">IFERROR(AVERAGEIF('Pemetaan Variant'!$A$5:$A$32,$B10,'Pemetaan Variant'!$AJ$5:$AJ$32),"n/a")</f>
        <v>16166.6666666667</v>
      </c>
      <c r="BM10" s="14" t="n">
        <f aca="false">IFERROR(IF(ISNUMBER(BL10),(BL10-AVERAGEIF('Pemetaan Variant'!$A$5:$A$32,$B10,'Pemetaan Variant'!$H$5:$H$32))/AVERAGEIF('Pemetaan Variant'!$A$5:$A$32,$B10,'Pemetaan Variant'!$H$5:$H$32)*100,"n/a"),"n/a")</f>
        <v>-1.24085268851416</v>
      </c>
      <c r="BN10" s="4" t="n">
        <f aca="false">IFERROR(IF(ISNUMBER(BM10),$C10*BM10,"n/a"),"n/a")</f>
        <v>-0.0560575340897201</v>
      </c>
      <c r="BO10" s="13" t="n">
        <f aca="false">IFERROR(AVERAGEIF('Pemetaan Variant'!$A$5:$A$32,$B10,'Pemetaan Variant'!$AK$5:$AK$32),"n/a")</f>
        <v>16166.6666666667</v>
      </c>
      <c r="BP10" s="14" t="n">
        <f aca="false">IFERROR(IF(ISNUMBER(BO10),(BO10-AVERAGEIF('Pemetaan Variant'!$A$5:$A$32,$B10,'Pemetaan Variant'!$H$5:$H$32))/AVERAGEIF('Pemetaan Variant'!$A$5:$A$32,$B10,'Pemetaan Variant'!$H$5:$H$32)*100,"n/a"),"n/a")</f>
        <v>-1.24085268851416</v>
      </c>
      <c r="BQ10" s="4" t="n">
        <f aca="false">IFERROR(IF(ISNUMBER(BP10),$C10*BP10,"n/a"),"n/a")</f>
        <v>-0.0560575340897201</v>
      </c>
      <c r="BR10" s="13" t="n">
        <f aca="false">IFERROR(AVERAGEIF('Pemetaan Variant'!$A$5:$A$32,$B10,'Pemetaan Variant'!$AL$5:$AL$32),"n/a")</f>
        <v>16166.6666666667</v>
      </c>
      <c r="BS10" s="14" t="n">
        <f aca="false">IFERROR(IF(ISNUMBER(BR10),(BR10-AVERAGEIF('Pemetaan Variant'!$A$5:$A$32,$B10,'Pemetaan Variant'!$H$5:$H$32))/AVERAGEIF('Pemetaan Variant'!$A$5:$A$32,$B10,'Pemetaan Variant'!$H$5:$H$32)*100,"n/a"),"n/a")</f>
        <v>-1.24085268851416</v>
      </c>
      <c r="BT10" s="4" t="n">
        <f aca="false">IFERROR(IF(ISNUMBER(BS10),$C10*BS10,"n/a"),"n/a")</f>
        <v>-0.0560575340897201</v>
      </c>
      <c r="BU10" s="13" t="n">
        <f aca="false">IFERROR(AVERAGEIF('Pemetaan Variant'!$A$5:$A$32,$B10,'Pemetaan Variant'!$AM$5:$AM$32),"n/a")</f>
        <v>16277.7777777778</v>
      </c>
      <c r="BV10" s="14" t="n">
        <f aca="false">IFERROR(IF(ISNUMBER(BU10),(BU10-AVERAGEIF('Pemetaan Variant'!$A$5:$A$32,$B10,'Pemetaan Variant'!$H$5:$H$32))/AVERAGEIF('Pemetaan Variant'!$A$5:$A$32,$B10,'Pemetaan Variant'!$H$5:$H$32)*100,"n/a"),"n/a")</f>
        <v>-0.562095662318367</v>
      </c>
      <c r="BW10" s="4" t="n">
        <f aca="false">IFERROR(IF(ISNUMBER(BV10),$C10*BV10,"n/a"),"n/a")</f>
        <v>-0.0253935838184196</v>
      </c>
      <c r="BX10" s="13" t="n">
        <f aca="false">IFERROR(AVERAGEIF('Pemetaan Variant'!$A$5:$A$32,$B10,'Pemetaan Variant'!$AN$5:$AN$32),"n/a")</f>
        <v>16333.3333333333</v>
      </c>
      <c r="BY10" s="14" t="n">
        <f aca="false">IFERROR(IF(ISNUMBER(BX10),(BX10-AVERAGEIF('Pemetaan Variant'!$A$5:$A$32,$B10,'Pemetaan Variant'!$I$5:$I$32))/AVERAGEIF('Pemetaan Variant'!$A$5:$A$32,$B10,'Pemetaan Variant'!$I$5:$I$32)*100,"n/a"),"n/a")</f>
        <v>0.908540278619024</v>
      </c>
      <c r="BZ10" s="4" t="n">
        <f aca="false">IFERROR(IF(ISNUMBER(BY10),$C10*BY10,"n/a"),"n/a")</f>
        <v>0.0410447816344386</v>
      </c>
      <c r="CA10" s="13" t="n">
        <f aca="false">IFERROR(AVERAGEIF('Pemetaan Variant'!$A$5:$A$32,$B10,'Pemetaan Variant'!$AO$5:$AO$32),"n/a")</f>
        <v>16333.3333333333</v>
      </c>
      <c r="CB10" s="14" t="n">
        <f aca="false">IFERROR(IF(ISNUMBER(CA10),(CA10-AVERAGEIF('Pemetaan Variant'!$A$5:$A$32,$B10,'Pemetaan Variant'!$I$5:$I$32))/AVERAGEIF('Pemetaan Variant'!$A$5:$A$32,$B10,'Pemetaan Variant'!$I$5:$I$32)*100,"n/a"),"n/a")</f>
        <v>0.908540278619024</v>
      </c>
      <c r="CC10" s="4" t="n">
        <f aca="false">IFERROR(IF(ISNUMBER(CB10),$C10*CB10,"n/a"),"n/a")</f>
        <v>0.0410447816344386</v>
      </c>
      <c r="CD10" s="13" t="n">
        <f aca="false">IFERROR(AVERAGEIF('Pemetaan Variant'!$A$5:$A$32,$B10,'Pemetaan Variant'!$AP$5:$AP$32),"n/a")</f>
        <v>16313.3333333333</v>
      </c>
      <c r="CE10" s="14" t="n">
        <f aca="false">IFERROR(IF(ISNUMBER(CD10),(CD10-AVERAGEIF('Pemetaan Variant'!$A$5:$A$32,$B10,'Pemetaan Variant'!$I$5:$I$32))/AVERAGEIF('Pemetaan Variant'!$A$5:$A$32,$B10,'Pemetaan Variant'!$I$5:$I$32)*100,"n/a"),"n/a")</f>
        <v>0.784978800726838</v>
      </c>
      <c r="CF10" s="4" t="n">
        <f aca="false">IFERROR(IF(ISNUMBER(CE10),$C10*CE10,"n/a"),"n/a")</f>
        <v>0.035462691332155</v>
      </c>
      <c r="CG10" s="13" t="n">
        <f aca="false">IFERROR(AVERAGEIF('Pemetaan Variant'!$A$5:$A$32,$B10,'Pemetaan Variant'!$AQ$5:$AQ$32),"n/a")</f>
        <v>16233.3333333333</v>
      </c>
      <c r="CH10" s="14" t="n">
        <f aca="false">IFERROR(IF(ISNUMBER(CG10),(CG10-AVERAGEIF('Pemetaan Variant'!$A$5:$A$32,$B10,'Pemetaan Variant'!$I$5:$I$32))/AVERAGEIF('Pemetaan Variant'!$A$5:$A$32,$B10,'Pemetaan Variant'!$I$5:$I$32)*100,"n/a"),"n/a")</f>
        <v>0.290732889158091</v>
      </c>
      <c r="CI10" s="4" t="n">
        <f aca="false">IFERROR(IF(ISNUMBER(CH10),$C10*CH10,"n/a"),"n/a")</f>
        <v>0.0131343301230205</v>
      </c>
      <c r="CJ10" s="13" t="n">
        <f aca="false">IFERROR(AVERAGEIF('Pemetaan Variant'!$A$5:$A$32,$B10,'Pemetaan Variant'!$AR$5:$AR$32),"n/a")</f>
        <v>16233.3333333333</v>
      </c>
      <c r="CK10" s="14" t="n">
        <f aca="false">IFERROR(IF(ISNUMBER(CJ10),(CJ10-AVERAGEIF('Pemetaan Variant'!$A$5:$A$32,$B10,'Pemetaan Variant'!$J$5:$J$32))/AVERAGEIF('Pemetaan Variant'!$A$5:$A$32,$B10,'Pemetaan Variant'!$J$5:$J$32)*100,"n/a"),"n/a")</f>
        <v>-0.432952495490064</v>
      </c>
      <c r="CL10" s="4" t="n">
        <f aca="false">IFERROR(IF(ISNUMBER(CK10),$C10*CK10,"n/a"),"n/a")</f>
        <v>-0.019559331659446</v>
      </c>
      <c r="CM10" s="13" t="n">
        <f aca="false">IFERROR(AVERAGEIF('Pemetaan Variant'!$A$5:$A$32,$B10,'Pemetaan Variant'!$AS$5:$AS$32),"n/a")</f>
        <v>16233.3333333333</v>
      </c>
      <c r="CN10" s="14" t="n">
        <f aca="false">IFERROR(IF(ISNUMBER(CM10),(CM10-AVERAGEIF('Pemetaan Variant'!$A$5:$A$32,$B10,'Pemetaan Variant'!$J$5:$J$32))/AVERAGEIF('Pemetaan Variant'!$A$5:$A$32,$B10,'Pemetaan Variant'!$J$5:$J$32)*100,"n/a"),"n/a")</f>
        <v>-0.432952495490064</v>
      </c>
      <c r="CO10" s="4" t="n">
        <f aca="false">IFERROR(IF(ISNUMBER(CN10),$C10*CN10,"n/a"),"n/a")</f>
        <v>-0.019559331659446</v>
      </c>
      <c r="CP10" s="13" t="n">
        <f aca="false">IFERROR(AVERAGEIF('Pemetaan Variant'!$A$5:$A$32,$B10,'Pemetaan Variant'!$AT$5:$AT$32),"n/a")</f>
        <v>16233.3333333333</v>
      </c>
      <c r="CQ10" s="14" t="n">
        <f aca="false">IFERROR(IF(ISNUMBER(CP10),(CP10-AVERAGEIF('Pemetaan Variant'!$A$5:$A$32,$B10,'Pemetaan Variant'!$J$5:$J$32))/AVERAGEIF('Pemetaan Variant'!$A$5:$A$32,$B10,'Pemetaan Variant'!$J$5:$J$32)*100,"n/a"),"n/a")</f>
        <v>-0.432952495490064</v>
      </c>
      <c r="CR10" s="4" t="n">
        <f aca="false">IFERROR(IF(ISNUMBER(CQ10),$C10*CQ10,"n/a"),"n/a")</f>
        <v>-0.019559331659446</v>
      </c>
      <c r="CS10" s="13" t="n">
        <f aca="false">IFERROR(AVERAGEIF('Pemetaan Variant'!$A$5:$A$32,$B10,'Pemetaan Variant'!$AU$5:$AU$32),"n/a")</f>
        <v>16233.3333333333</v>
      </c>
      <c r="CT10" s="14" t="n">
        <f aca="false">IFERROR(IF(ISNUMBER(CS10),(CS10-AVERAGEIF('Pemetaan Variant'!$A$5:$A$32,$B10,'Pemetaan Variant'!$J$5:$J$32))/AVERAGEIF('Pemetaan Variant'!$A$5:$A$32,$B10,'Pemetaan Variant'!$J$5:$J$32)*100,"n/a"),"n/a")</f>
        <v>-0.432952495490064</v>
      </c>
      <c r="CU10" s="4" t="n">
        <f aca="false">IFERROR(IF(ISNUMBER(CT10),$C10*CT10,"n/a"),"n/a")</f>
        <v>-0.019559331659446</v>
      </c>
      <c r="CV10" s="13" t="n">
        <f aca="false">IFERROR(AVERAGEIF('Pemetaan Variant'!$A$5:$A$32,$B10,'Pemetaan Variant'!$AV$5:$AV$32),"n/a")</f>
        <v>16233.3333333333</v>
      </c>
      <c r="CW10" s="14" t="n">
        <f aca="false">IFERROR(IF(ISNUMBER(CV10),(CV10-AVERAGEIF('Pemetaan Variant'!$A$5:$A$32,$B10,'Pemetaan Variant'!$J$5:$J$32))/AVERAGEIF('Pemetaan Variant'!$A$5:$A$32,$B10,'Pemetaan Variant'!$J$5:$J$32)*100,"n/a"),"n/a")</f>
        <v>-0.432952495490064</v>
      </c>
      <c r="CX10" s="4" t="n">
        <f aca="false">IFERROR(IF(ISNUMBER(CW10),$C10*CW10,"n/a"),"n/a")</f>
        <v>-0.019559331659446</v>
      </c>
      <c r="CY10" s="13" t="n">
        <f aca="false">IFERROR(AVERAGEIF('Pemetaan Variant'!$A$5:$A$32,$B10,'Pemetaan Variant'!$AW$5:$AW$32),"n/a")</f>
        <v>16233.3333333333</v>
      </c>
      <c r="CZ10" s="14" t="n">
        <f aca="false">IFERROR(IF(ISNUMBER(CY10),(CY10-AVERAGEIF('Pemetaan Variant'!$A$5:$A$32,$B10,'Pemetaan Variant'!$K$5:$K$32))/AVERAGEIF('Pemetaan Variant'!$A$5:$A$32,$B10,'Pemetaan Variant'!$K$5:$K$32)*100,"n/a"),"n/a")</f>
        <v>0</v>
      </c>
      <c r="DA10" s="4" t="n">
        <f aca="false">IFERROR(IF(ISNUMBER(CZ10),$C10*CZ10,"n/a"),"n/a")</f>
        <v>0</v>
      </c>
      <c r="DB10" s="13" t="n">
        <f aca="false">IFERROR(AVERAGEIF('Pemetaan Variant'!$A$5:$A$32,$B10,'Pemetaan Variant'!$AX$5:$AX$32),"n/a")</f>
        <v>16233.3333333333</v>
      </c>
      <c r="DC10" s="14" t="n">
        <f aca="false">IFERROR(IF(ISNUMBER(DB10),(DB10-AVERAGEIF('Pemetaan Variant'!$A$5:$A$32,$B10,'Pemetaan Variant'!$K$5:$K$32))/AVERAGEIF('Pemetaan Variant'!$A$5:$A$32,$B10,'Pemetaan Variant'!$K$5:$K$32)*100,"n/a"),"n/a")</f>
        <v>0</v>
      </c>
      <c r="DD10" s="4" t="n">
        <f aca="false">IFERROR(IF(ISNUMBER(DC10),$C10*DC10,"n/a"),"n/a")</f>
        <v>0</v>
      </c>
      <c r="DE10" s="13" t="n">
        <f aca="false">IFERROR(AVERAGEIF('Pemetaan Variant'!$A$5:$A$32,$B10,'Pemetaan Variant'!$AY$5:$AY$32),"n/a")</f>
        <v>16233.3333333333</v>
      </c>
      <c r="DF10" s="14" t="n">
        <f aca="false">IFERROR(IF(ISNUMBER(DE10),(DE10-AVERAGEIF('Pemetaan Variant'!$A$5:$A$32,$B10,'Pemetaan Variant'!$K$5:$K$32))/AVERAGEIF('Pemetaan Variant'!$A$5:$A$32,$B10,'Pemetaan Variant'!$K$5:$K$32)*100,"n/a"),"n/a")</f>
        <v>0</v>
      </c>
      <c r="DG10" s="4" t="n">
        <f aca="false">IFERROR(IF(ISNUMBER(DF10),$C10*DF10,"n/a"),"n/a")</f>
        <v>0</v>
      </c>
      <c r="DH10" s="13" t="n">
        <f aca="false">IFERROR(AVERAGEIF('Pemetaan Variant'!$A$5:$A$32,$B10,'Pemetaan Variant'!$AZ$5:$AZ$32),"n/a")</f>
        <v>16233.3333333333</v>
      </c>
      <c r="DI10" s="14" t="n">
        <f aca="false">IFERROR(IF(ISNUMBER(DH10),(DH10-AVERAGEIF('Pemetaan Variant'!$A$5:$A$32,$B10,'Pemetaan Variant'!$K$5:$K$32))/AVERAGEIF('Pemetaan Variant'!$A$5:$A$32,$B10,'Pemetaan Variant'!$K$5:$K$32)*100,"n/a"),"n/a")</f>
        <v>0</v>
      </c>
      <c r="DJ10" s="4" t="n">
        <f aca="false">IFERROR(IF(ISNUMBER(DI10),$C10*DI10,"n/a"),"n/a")</f>
        <v>0</v>
      </c>
      <c r="DK10" s="13" t="n">
        <f aca="false">IFERROR(AVERAGEIF('Pemetaan Variant'!$A$5:$A$32,$B10,'Pemetaan Variant'!$BA$5:$BA$32),"n/a")</f>
        <v>16233.3333333333</v>
      </c>
      <c r="DL10" s="14" t="n">
        <f aca="false">IFERROR(IF(ISNUMBER(DK10),(DK10-AVERAGEIF('Pemetaan Variant'!$A$5:$A$32,$B10,'Pemetaan Variant'!$L$5:$L$32))/AVERAGEIF('Pemetaan Variant'!$A$5:$A$32,$B10,'Pemetaan Variant'!$L$5:$L$32)*100,"n/a"),"n/a")</f>
        <v>0</v>
      </c>
      <c r="DM10" s="4" t="n">
        <f aca="false">IFERROR(IF(ISNUMBER(DL10),$C10*DL10,"n/a"),"n/a")</f>
        <v>0</v>
      </c>
      <c r="DN10" s="13" t="n">
        <f aca="false">IFERROR(AVERAGEIF('Pemetaan Variant'!$A$5:$A$32,$B10,'Pemetaan Variant'!$BB$5:$BB$32),"n/a")</f>
        <v>16233.3333333333</v>
      </c>
      <c r="DO10" s="14" t="n">
        <f aca="false">IFERROR(IF(ISNUMBER(DN10),(DN10-AVERAGEIF('Pemetaan Variant'!$A$5:$A$32,$B10,'Pemetaan Variant'!$L$5:$L$32))/AVERAGEIF('Pemetaan Variant'!$A$5:$A$32,$B10,'Pemetaan Variant'!$L$5:$L$32)*100,"n/a"),"n/a")</f>
        <v>0</v>
      </c>
      <c r="DP10" s="4" t="n">
        <f aca="false">IFERROR(IF(ISNUMBER(DO10),$C10*DO10,"n/a"),"n/a")</f>
        <v>0</v>
      </c>
      <c r="DQ10" s="13" t="n">
        <f aca="false">IFERROR(AVERAGEIF('Pemetaan Variant'!$A$5:$A$32,$B10,'Pemetaan Variant'!$BC$5:$BC$32),"n/a")</f>
        <v>16233.3333333333</v>
      </c>
      <c r="DR10" s="14" t="n">
        <f aca="false">IFERROR(IF(ISNUMBER(DQ10),(DQ10-AVERAGEIF('Pemetaan Variant'!$A$5:$A$32,$B10,'Pemetaan Variant'!$L$5:$L$32))/AVERAGEIF('Pemetaan Variant'!$A$5:$A$32,$B10,'Pemetaan Variant'!$L$5:$L$32)*100,"n/a"),"n/a")</f>
        <v>0</v>
      </c>
      <c r="DS10" s="4" t="n">
        <f aca="false">IFERROR(IF(ISNUMBER(DR10),$C10*DR10,"n/a"),"n/a")</f>
        <v>0</v>
      </c>
      <c r="DT10" s="13" t="n">
        <f aca="false">IFERROR(AVERAGEIF('Pemetaan Variant'!$A$5:$A$32,$B10,'Pemetaan Variant'!$BD$5:$BD$32),"n/a")</f>
        <v>16233.3333333333</v>
      </c>
      <c r="DU10" s="14" t="n">
        <f aca="false">IFERROR(IF(ISNUMBER(DT10),(DT10-AVERAGEIF('Pemetaan Variant'!$A$5:$A$32,$B10,'Pemetaan Variant'!$L$5:$L$32))/AVERAGEIF('Pemetaan Variant'!$A$5:$A$32,$B10,'Pemetaan Variant'!$L$5:$L$32)*100,"n/a"),"n/a")</f>
        <v>0</v>
      </c>
      <c r="DV10" s="4" t="n">
        <f aca="false">IFERROR(IF(ISNUMBER(DU10),$C10*DU10,"n/a"),"n/a")</f>
        <v>0</v>
      </c>
      <c r="DW10" s="13" t="n">
        <f aca="false">IFERROR(AVERAGEIF('Pemetaan Variant'!$A$5:$A$32,$B10,'Pemetaan Variant'!$BE$5:$BE$32),"n/a")</f>
        <v>16233.3333333333</v>
      </c>
      <c r="DX10" s="14" t="n">
        <f aca="false">IFERROR(IF(ISNUMBER(DW10),(DW10-AVERAGEIF('Pemetaan Variant'!$A$5:$A$32,$B10,'Pemetaan Variant'!$M$5:$M$32))/AVERAGEIF('Pemetaan Variant'!$A$5:$A$32,$B10,'Pemetaan Variant'!$M$5:$M$32)*100,"n/a"),"n/a")</f>
        <v>0</v>
      </c>
      <c r="DY10" s="4" t="n">
        <f aca="false">IFERROR(IF(ISNUMBER(DX10),$C10*DX10,"n/a"),"n/a")</f>
        <v>0</v>
      </c>
      <c r="DZ10" s="13" t="n">
        <f aca="false">IFERROR(AVERAGEIF('Pemetaan Variant'!$A$5:$A$32,$B10,'Pemetaan Variant'!$BF$5:$BF$32),"n/a")</f>
        <v>16233.3333333333</v>
      </c>
      <c r="EA10" s="14" t="n">
        <f aca="false">IFERROR(IF(ISNUMBER(DZ10),(DZ10-AVERAGEIF('Pemetaan Variant'!$A$5:$A$32,$B10,'Pemetaan Variant'!$M$5:$M$32))/AVERAGEIF('Pemetaan Variant'!$A$5:$A$32,$B10,'Pemetaan Variant'!$M$5:$M$32)*100,"n/a"),"n/a")</f>
        <v>0</v>
      </c>
      <c r="EB10" s="4" t="n">
        <f aca="false">IFERROR(IF(ISNUMBER(EA10),$C10*EA10,"n/a"),"n/a")</f>
        <v>0</v>
      </c>
      <c r="EC10" s="13" t="n">
        <f aca="false">IFERROR(AVERAGEIF('Pemetaan Variant'!$A$5:$A$32,$B10,'Pemetaan Variant'!$BG$5:$BG$32),"n/a")</f>
        <v>16233.3333333333</v>
      </c>
      <c r="ED10" s="14" t="n">
        <f aca="false">IFERROR(IF(ISNUMBER(EC10),(EC10-AVERAGEIF('Pemetaan Variant'!$A$5:$A$32,$B10,'Pemetaan Variant'!$M$5:$M$32))/AVERAGEIF('Pemetaan Variant'!$A$5:$A$32,$B10,'Pemetaan Variant'!$M$5:$M$32)*100,"n/a"),"n/a")</f>
        <v>0</v>
      </c>
      <c r="EE10" s="4" t="n">
        <f aca="false">IFERROR(IF(ISNUMBER(ED10),$C10*ED10,"n/a"),"n/a")</f>
        <v>0</v>
      </c>
      <c r="EF10" s="13" t="n">
        <f aca="false">IFERROR(AVERAGEIF('Pemetaan Variant'!$A$5:$A$32,$B10,'Pemetaan Variant'!$BH$5:$BH$32),"n/a")</f>
        <v>16233.3333333333</v>
      </c>
      <c r="EG10" s="14" t="n">
        <f aca="false">IFERROR(IF(ISNUMBER(EF10),(EF10-AVERAGEIF('Pemetaan Variant'!$A$5:$A$32,$B10,'Pemetaan Variant'!$M$5:$M$32))/AVERAGEIF('Pemetaan Variant'!$A$5:$A$32,$B10,'Pemetaan Variant'!$M$5:$M$32)*100,"n/a"),"n/a")</f>
        <v>0</v>
      </c>
      <c r="EH10" s="4" t="n">
        <f aca="false">IFERROR(IF(ISNUMBER(EG10),$C10*EG10,"n/a"),"n/a")</f>
        <v>0</v>
      </c>
      <c r="EI10" s="13" t="n">
        <f aca="false">IFERROR(AVERAGEIF('Pemetaan Variant'!$A$5:$A$32,$B10,'Pemetaan Variant'!$BI$5:$BI$32),"n/a")</f>
        <v>16233.3333333333</v>
      </c>
      <c r="EJ10" s="14" t="n">
        <f aca="false">IFERROR(IF(ISNUMBER(EI10),(EI10-AVERAGEIF('Pemetaan Variant'!$A$5:$A$32,$B10,'Pemetaan Variant'!$M$5:$M$32))/AVERAGEIF('Pemetaan Variant'!$A$5:$A$32,$B10,'Pemetaan Variant'!$M$5:$M$32)*100,"n/a"),"n/a")</f>
        <v>0</v>
      </c>
      <c r="EK10" s="4" t="n">
        <f aca="false">IFERROR(IF(ISNUMBER(EJ10),$C10*EJ10,"n/a"),"n/a")</f>
        <v>0</v>
      </c>
      <c r="EL10" s="13" t="n">
        <f aca="false">IFERROR(AVERAGEIF('Pemetaan Variant'!$A$5:$A$32,$B10,'Pemetaan Variant'!$BJ$5:$BJ$32),"n/a")</f>
        <v>16233.3333333333</v>
      </c>
      <c r="EM10" s="14" t="n">
        <f aca="false">IFERROR(IF(ISNUMBER(EL10),(EL10-AVERAGEIF('Pemetaan Variant'!$A$5:$A$32,$B10,'Pemetaan Variant'!$N$5:$N$32))/AVERAGEIF('Pemetaan Variant'!$A$5:$A$32,$B10,'Pemetaan Variant'!$N$5:$N$32)*100,"n/a"),"n/a")</f>
        <v>0</v>
      </c>
      <c r="EN10" s="4" t="n">
        <f aca="false">IFERROR(IF(ISNUMBER(EM10),$C10*EM10,"n/a"),"n/a")</f>
        <v>0</v>
      </c>
      <c r="EO10" s="13" t="n">
        <f aca="false">IFERROR(AVERAGEIF('Pemetaan Variant'!$A$5:$A$32,$B10,'Pemetaan Variant'!$BK$5:$BK$32),"n/a")</f>
        <v>16233.3333333333</v>
      </c>
      <c r="EP10" s="14" t="n">
        <f aca="false">IFERROR(IF(ISNUMBER(EO10),(EO10-AVERAGEIF('Pemetaan Variant'!$A$5:$A$32,$B10,'Pemetaan Variant'!$N$5:$N$32))/AVERAGEIF('Pemetaan Variant'!$A$5:$A$32,$B10,'Pemetaan Variant'!$N$5:$N$32)*100,"n/a"),"n/a")</f>
        <v>0</v>
      </c>
      <c r="EQ10" s="4" t="n">
        <f aca="false">IFERROR(IF(ISNUMBER(EP10),$C10*EP10,"n/a"),"n/a")</f>
        <v>0</v>
      </c>
      <c r="ER10" s="13" t="n">
        <f aca="false">IFERROR(AVERAGEIF('Pemetaan Variant'!$A$5:$A$32,$B10,'Pemetaan Variant'!$BL$5:$BL$32),"n/a")</f>
        <v>16233.3333333333</v>
      </c>
      <c r="ES10" s="14" t="n">
        <f aca="false">IFERROR(IF(ISNUMBER(ER10),(ER10-AVERAGEIF('Pemetaan Variant'!$A$5:$A$32,$B10,'Pemetaan Variant'!$N$5:$N$32))/AVERAGEIF('Pemetaan Variant'!$A$5:$A$32,$B10,'Pemetaan Variant'!$N$5:$N$32)*100,"n/a"),"n/a")</f>
        <v>0</v>
      </c>
      <c r="ET10" s="4" t="n">
        <f aca="false">IFERROR(IF(ISNUMBER(ES10),$C10*ES10,"n/a"),"n/a")</f>
        <v>0</v>
      </c>
      <c r="EU10" s="13" t="n">
        <f aca="false">IFERROR(AVERAGEIF('Pemetaan Variant'!$A$5:$A$32,$B10,'Pemetaan Variant'!$BM$5:$BM$32),"n/a")</f>
        <v>16233.3333333333</v>
      </c>
      <c r="EV10" s="14" t="n">
        <f aca="false">IFERROR(IF(ISNUMBER(EU10),(EU10-AVERAGEIF('Pemetaan Variant'!$A$5:$A$32,$B10,'Pemetaan Variant'!$N$5:$N$32))/AVERAGEIF('Pemetaan Variant'!$A$5:$A$32,$B10,'Pemetaan Variant'!$N$5:$N$32)*100,"n/a"),"n/a")</f>
        <v>0</v>
      </c>
      <c r="EW10" s="4" t="n">
        <f aca="false">IFERROR(IF(ISNUMBER(EV10),$C10*EV10,"n/a"),"n/a")</f>
        <v>0</v>
      </c>
      <c r="EX10" s="13" t="n">
        <f aca="false">IFERROR(AVERAGEIF('Pemetaan Variant'!$A$5:$A$32,$B10,'Pemetaan Variant'!$BN$5:$BN$32),"n/a")</f>
        <v>16233.3333333333</v>
      </c>
      <c r="EY10" s="14" t="n">
        <f aca="false">IFERROR(IF(ISNUMBER(EX10),(EX10-AVERAGEIF('Pemetaan Variant'!$A$5:$A$32,$B10,'Pemetaan Variant'!$O$5:$O$32))/AVERAGEIF('Pemetaan Variant'!$A$5:$A$32,$B10,'Pemetaan Variant'!$O$5:$O$32)*100,"n/a"),"n/a")</f>
        <v>0</v>
      </c>
      <c r="EZ10" s="4" t="n">
        <f aca="false">IFERROR(IF(ISNUMBER(EY10),$C10*EY10,"n/a"),"n/a")</f>
        <v>0</v>
      </c>
      <c r="FA10" s="13" t="n">
        <f aca="false">IFERROR(AVERAGEIF('Pemetaan Variant'!$A$5:$A$32,$B10,'Pemetaan Variant'!$BO$5:$BO$32),"n/a")</f>
        <v>16233.3333333333</v>
      </c>
      <c r="FB10" s="14" t="n">
        <f aca="false">IFERROR(IF(ISNUMBER(FA10),(FA10-AVERAGEIF('Pemetaan Variant'!$A$5:$A$32,$B10,'Pemetaan Variant'!$O$5:$O$32))/AVERAGEIF('Pemetaan Variant'!$A$5:$A$32,$B10,'Pemetaan Variant'!$O$5:$O$32)*100,"n/a"),"n/a")</f>
        <v>0</v>
      </c>
      <c r="FC10" s="4" t="n">
        <f aca="false">IFERROR(IF(ISNUMBER(FB10),$C10*FB10,"n/a"),"n/a")</f>
        <v>0</v>
      </c>
      <c r="FD10" s="13" t="n">
        <f aca="false">IFERROR(AVERAGEIF('Pemetaan Variant'!$A$5:$A$32,$B10,'Pemetaan Variant'!$BP$5:$BP$32),"n/a")</f>
        <v>16233.3333333333</v>
      </c>
      <c r="FE10" s="14" t="n">
        <f aca="false">IFERROR(IF(ISNUMBER(FD10),(FD10-AVERAGEIF('Pemetaan Variant'!$A$5:$A$32,$B10,'Pemetaan Variant'!$O$5:$O$32))/AVERAGEIF('Pemetaan Variant'!$A$5:$A$32,$B10,'Pemetaan Variant'!$O$5:$O$32)*100,"n/a"),"n/a")</f>
        <v>0</v>
      </c>
      <c r="FF10" s="4" t="n">
        <f aca="false">IFERROR(IF(ISNUMBER(FE10),$C10*FE10,"n/a"),"n/a")</f>
        <v>0</v>
      </c>
      <c r="FG10" s="13" t="n">
        <f aca="false">IFERROR(AVERAGEIF('Pemetaan Variant'!$A$5:$A$32,$B10,'Pemetaan Variant'!$BQ$5:$BQ$32),"n/a")</f>
        <v>16233.3333333333</v>
      </c>
      <c r="FH10" s="14" t="n">
        <f aca="false">IFERROR(IF(ISNUMBER(FG10),(FG10-AVERAGEIF('Pemetaan Variant'!$A$5:$A$32,$B10,'Pemetaan Variant'!$O$5:$O$32))/AVERAGEIF('Pemetaan Variant'!$A$5:$A$32,$B10,'Pemetaan Variant'!$O$5:$O$32)*100,"n/a"),"n/a")</f>
        <v>0</v>
      </c>
      <c r="FI10" s="4" t="n">
        <f aca="false">IFERROR(IF(ISNUMBER(FH10),$C10*FH10,"n/a"),"n/a")</f>
        <v>0</v>
      </c>
      <c r="FJ10" s="13" t="n">
        <f aca="false">IFERROR(AVERAGEIF('Pemetaan Variant'!$A$5:$A$32,$B10,'Pemetaan Variant'!$BR$5:$BR$32),"n/a")</f>
        <v>16233.3333333333</v>
      </c>
      <c r="FK10" s="14" t="n">
        <f aca="false">IFERROR(IF(ISNUMBER(FJ10),(FJ10-AVERAGEIF('Pemetaan Variant'!$A$5:$A$32,$B10,'Pemetaan Variant'!$O$5:$O$32))/AVERAGEIF('Pemetaan Variant'!$A$5:$A$32,$B10,'Pemetaan Variant'!$O$5:$O$32)*100,"n/a"),"n/a")</f>
        <v>0</v>
      </c>
      <c r="FL10" s="4" t="n">
        <f aca="false">IFERROR(IF(ISNUMBER(FK10),$C10*FK10,"n/a"),"n/a")</f>
        <v>0</v>
      </c>
      <c r="FM10" s="15"/>
      <c r="FO10" s="11" t="n">
        <f aca="false">IFERROR(ABS(F10),0)</f>
        <v>0.0153923758043059</v>
      </c>
      <c r="FP10" s="11" t="n">
        <f aca="false">IFERROR(ABS(I10),0)</f>
        <v>0.0153923758043059</v>
      </c>
      <c r="FQ10" s="11" t="n">
        <f aca="false">IFERROR(ABS(L10),0)</f>
        <v>0.0153923758043059</v>
      </c>
      <c r="FR10" s="11" t="n">
        <f aca="false">IFERROR(ABS(O10),0)</f>
        <v>0.0153923758043059</v>
      </c>
      <c r="FS10" s="11" t="n">
        <f aca="false">IFERROR(ABS(R10),0)</f>
        <v>0.0153923758043059</v>
      </c>
      <c r="FT10" s="11" t="n">
        <f aca="false">IFERROR(ABS(U10),0)</f>
        <v>0</v>
      </c>
      <c r="FU10" s="11" t="n">
        <f aca="false">IFERROR(ABS(X10),0)</f>
        <v>0.0463349979339885</v>
      </c>
      <c r="FV10" s="11" t="n">
        <f aca="false">IFERROR(ABS(AA10),0)</f>
        <v>0.0463349979339885</v>
      </c>
      <c r="FW10" s="11" t="n">
        <f aca="false">IFERROR(ABS(AD10),0)</f>
        <v>0.0463349979339885</v>
      </c>
      <c r="FX10" s="11" t="n">
        <f aca="false">IFERROR(ABS(AG10),0)</f>
        <v>0.0121019616891612</v>
      </c>
      <c r="FY10" s="11" t="n">
        <f aca="false">IFERROR(ABS(AJ10),0)</f>
        <v>0.0121019616891612</v>
      </c>
      <c r="FZ10" s="11" t="n">
        <f aca="false">IFERROR(ABS(AM10),0)</f>
        <v>0.0121019616891612</v>
      </c>
      <c r="GA10" s="11" t="n">
        <f aca="false">IFERROR(ABS(AP10),0)</f>
        <v>0.0121019616891612</v>
      </c>
      <c r="GB10" s="11" t="n">
        <f aca="false">IFERROR(ABS(AS10),0)</f>
        <v>0</v>
      </c>
      <c r="GC10" s="11" t="n">
        <f aca="false">IFERROR(ABS(AV10),0)</f>
        <v>0</v>
      </c>
      <c r="GD10" s="11" t="n">
        <f aca="false">IFERROR(ABS(AY10),0)</f>
        <v>0</v>
      </c>
      <c r="GE10" s="11" t="n">
        <f aca="false">IFERROR(ABS(BB10),0)</f>
        <v>0</v>
      </c>
      <c r="GF10" s="11" t="n">
        <f aca="false">IFERROR(ABS(BE10),0)</f>
        <v>0</v>
      </c>
      <c r="GG10" s="11" t="n">
        <f aca="false">IFERROR(ABS(BH10),0)</f>
        <v>0.0687968877953891</v>
      </c>
      <c r="GH10" s="11" t="n">
        <f aca="false">IFERROR(ABS(BK10),0)</f>
        <v>0.0560575340897201</v>
      </c>
      <c r="GI10" s="11" t="n">
        <f aca="false">IFERROR(ABS(BN10),0)</f>
        <v>0.0560575340897201</v>
      </c>
      <c r="GJ10" s="11" t="n">
        <f aca="false">IFERROR(ABS(BQ10),0)</f>
        <v>0.0560575340897201</v>
      </c>
      <c r="GK10" s="11" t="n">
        <f aca="false">IFERROR(ABS(BT10),0)</f>
        <v>0.0560575340897201</v>
      </c>
      <c r="GL10" s="11" t="n">
        <f aca="false">IFERROR(ABS(BW10),0)</f>
        <v>0.0253935838184196</v>
      </c>
      <c r="GM10" s="11" t="n">
        <f aca="false">IFERROR(ABS(BZ10),0)</f>
        <v>0.0410447816344386</v>
      </c>
      <c r="GN10" s="11" t="n">
        <f aca="false">IFERROR(ABS(CC10),0)</f>
        <v>0.0410447816344386</v>
      </c>
      <c r="GO10" s="11" t="n">
        <f aca="false">IFERROR(ABS(CF10),0)</f>
        <v>0.035462691332155</v>
      </c>
      <c r="GP10" s="11" t="n">
        <f aca="false">IFERROR(ABS(CI10),0)</f>
        <v>0.0131343301230205</v>
      </c>
      <c r="GQ10" s="11" t="n">
        <f aca="false">IFERROR(ABS(CL10),0)</f>
        <v>0.019559331659446</v>
      </c>
      <c r="GR10" s="11" t="n">
        <f aca="false">IFERROR(ABS(CO10),0)</f>
        <v>0.019559331659446</v>
      </c>
      <c r="GS10" s="11" t="n">
        <f aca="false">IFERROR(ABS(CR10),0)</f>
        <v>0.019559331659446</v>
      </c>
      <c r="GT10" s="11" t="n">
        <f aca="false">IFERROR(ABS(CU10),0)</f>
        <v>0.019559331659446</v>
      </c>
      <c r="GU10" s="11" t="n">
        <f aca="false">IFERROR(ABS(CX10),0)</f>
        <v>0.019559331659446</v>
      </c>
      <c r="GV10" s="11" t="n">
        <f aca="false">IFERROR(ABS(DA10),0)</f>
        <v>0</v>
      </c>
      <c r="GW10" s="11" t="n">
        <f aca="false">IFERROR(ABS(DD10),0)</f>
        <v>0</v>
      </c>
      <c r="GX10" s="11" t="n">
        <f aca="false">IFERROR(ABS(DG10),0)</f>
        <v>0</v>
      </c>
      <c r="GY10" s="11" t="n">
        <f aca="false">IFERROR(ABS(DJ10),0)</f>
        <v>0</v>
      </c>
      <c r="GZ10" s="11" t="n">
        <f aca="false">IFERROR(ABS(DM10),0)</f>
        <v>0</v>
      </c>
      <c r="HA10" s="11" t="n">
        <f aca="false">IFERROR(ABS(DP10),0)</f>
        <v>0</v>
      </c>
      <c r="HB10" s="11" t="n">
        <f aca="false">IFERROR(ABS(DS10),0)</f>
        <v>0</v>
      </c>
      <c r="HC10" s="11" t="n">
        <f aca="false">IFERROR(ABS(DV10),0)</f>
        <v>0</v>
      </c>
      <c r="HD10" s="11" t="n">
        <f aca="false">IFERROR(ABS(DY10),0)</f>
        <v>0</v>
      </c>
      <c r="HE10" s="11" t="n">
        <f aca="false">IFERROR(ABS(EB10),0)</f>
        <v>0</v>
      </c>
      <c r="HF10" s="11" t="n">
        <f aca="false">IFERROR(ABS(EE10),0)</f>
        <v>0</v>
      </c>
      <c r="HG10" s="11" t="n">
        <f aca="false">IFERROR(ABS(EH10),0)</f>
        <v>0</v>
      </c>
      <c r="HH10" s="11" t="n">
        <f aca="false">IFERROR(ABS(EK10),0)</f>
        <v>0</v>
      </c>
      <c r="HI10" s="11" t="n">
        <f aca="false">IFERROR(ABS(EN10),0)</f>
        <v>0</v>
      </c>
      <c r="HJ10" s="11" t="n">
        <f aca="false">IFERROR(ABS(EQ10),0)</f>
        <v>0</v>
      </c>
      <c r="HK10" s="11" t="n">
        <f aca="false">IFERROR(ABS(ET10),0)</f>
        <v>0</v>
      </c>
      <c r="HL10" s="11" t="n">
        <f aca="false">IFERROR(ABS(EW10),0)</f>
        <v>0</v>
      </c>
      <c r="HM10" s="11" t="n">
        <f aca="false">IFERROR(ABS(EZ10),0)</f>
        <v>0</v>
      </c>
      <c r="HN10" s="11" t="n">
        <f aca="false">IFERROR(ABS(FC10),0)</f>
        <v>0</v>
      </c>
      <c r="HO10" s="11" t="n">
        <f aca="false">IFERROR(ABS(FF10),0)</f>
        <v>0</v>
      </c>
      <c r="HP10" s="11" t="n">
        <f aca="false">IFERROR(ABS(FI10),0)</f>
        <v>0</v>
      </c>
      <c r="HQ10" s="11" t="n">
        <f aca="false">IFERROR(ABS(FL10),0)</f>
        <v>0</v>
      </c>
    </row>
    <row r="11" customFormat="false" ht="15" hidden="false" customHeight="false" outlineLevel="0" collapsed="false">
      <c r="A11" s="3" t="n">
        <v>6</v>
      </c>
      <c r="B11" s="3" t="s">
        <v>239</v>
      </c>
      <c r="C11" s="12" t="n">
        <f aca="false">'P0Q0 Dasar 2022'!F10</f>
        <v>0.0370107543210236</v>
      </c>
      <c r="D11" s="13" t="n">
        <f aca="false">IFERROR(AVERAGEIF('Pemetaan Variant'!$A$5:$A$32,$B11,'Pemetaan Variant'!$P$5:$P$32),"n/a")</f>
        <v>68000</v>
      </c>
      <c r="E11" s="14" t="n">
        <f aca="false">IFERROR(IF(ISNUMBER(D11),(D11-AVERAGEIF('Pemetaan Variant'!$A$5:$A$32,$B11,'Pemetaan Variant'!$D$5:$D$32))/AVERAGEIF('Pemetaan Variant'!$A$5:$A$32,$B11,'Pemetaan Variant'!$D$5:$D$32)*100,"n/a"),"n/a")</f>
        <v>0</v>
      </c>
      <c r="F11" s="4" t="n">
        <f aca="false">IFERROR(IF(ISNUMBER(E11),$C11*E11,"n/a"),"n/a")</f>
        <v>0</v>
      </c>
      <c r="G11" s="13" t="n">
        <f aca="false">IFERROR(AVERAGEIF('Pemetaan Variant'!$A$5:$A$32,$B11,'Pemetaan Variant'!$Q$5:$Q$32),"n/a")</f>
        <v>68000</v>
      </c>
      <c r="H11" s="14" t="n">
        <f aca="false">IFERROR(IF(ISNUMBER(G11),(G11-AVERAGEIF('Pemetaan Variant'!$A$5:$A$32,$B11,'Pemetaan Variant'!$D$5:$D$32))/AVERAGEIF('Pemetaan Variant'!$A$5:$A$32,$B11,'Pemetaan Variant'!$D$5:$D$32)*100,"n/a"),"n/a")</f>
        <v>0</v>
      </c>
      <c r="I11" s="4" t="n">
        <f aca="false">IFERROR(IF(ISNUMBER(H11),$C11*H11,"n/a"),"n/a")</f>
        <v>0</v>
      </c>
      <c r="J11" s="13" t="n">
        <f aca="false">IFERROR(AVERAGEIF('Pemetaan Variant'!$A$5:$A$32,$B11,'Pemetaan Variant'!$R$5:$R$32),"n/a")</f>
        <v>68000</v>
      </c>
      <c r="K11" s="14" t="n">
        <f aca="false">IFERROR(IF(ISNUMBER(J11),(J11-AVERAGEIF('Pemetaan Variant'!$A$5:$A$32,$B11,'Pemetaan Variant'!$D$5:$D$32))/AVERAGEIF('Pemetaan Variant'!$A$5:$A$32,$B11,'Pemetaan Variant'!$D$5:$D$32)*100,"n/a"),"n/a")</f>
        <v>0</v>
      </c>
      <c r="L11" s="4" t="n">
        <f aca="false">IFERROR(IF(ISNUMBER(K11),$C11*K11,"n/a"),"n/a")</f>
        <v>0</v>
      </c>
      <c r="M11" s="13" t="n">
        <f aca="false">IFERROR(AVERAGEIF('Pemetaan Variant'!$A$5:$A$32,$B11,'Pemetaan Variant'!$S$5:$S$32),"n/a")</f>
        <v>68000</v>
      </c>
      <c r="N11" s="14" t="n">
        <f aca="false">IFERROR(IF(ISNUMBER(M11),(M11-AVERAGEIF('Pemetaan Variant'!$A$5:$A$32,$B11,'Pemetaan Variant'!$D$5:$D$32))/AVERAGEIF('Pemetaan Variant'!$A$5:$A$32,$B11,'Pemetaan Variant'!$D$5:$D$32)*100,"n/a"),"n/a")</f>
        <v>0</v>
      </c>
      <c r="O11" s="4" t="n">
        <f aca="false">IFERROR(IF(ISNUMBER(N11),$C11*N11,"n/a"),"n/a")</f>
        <v>0</v>
      </c>
      <c r="P11" s="13" t="n">
        <f aca="false">IFERROR(AVERAGEIF('Pemetaan Variant'!$A$5:$A$32,$B11,'Pemetaan Variant'!$T$5:$T$32),"n/a")</f>
        <v>68000</v>
      </c>
      <c r="Q11" s="14" t="n">
        <f aca="false">IFERROR(IF(ISNUMBER(P11),(P11-AVERAGEIF('Pemetaan Variant'!$A$5:$A$32,$B11,'Pemetaan Variant'!$D$5:$D$32))/AVERAGEIF('Pemetaan Variant'!$A$5:$A$32,$B11,'Pemetaan Variant'!$D$5:$D$32)*100,"n/a"),"n/a")</f>
        <v>0</v>
      </c>
      <c r="R11" s="4" t="n">
        <f aca="false">IFERROR(IF(ISNUMBER(Q11),$C11*Q11,"n/a"),"n/a")</f>
        <v>0</v>
      </c>
      <c r="S11" s="13" t="n">
        <f aca="false">IFERROR(AVERAGEIF('Pemetaan Variant'!$A$5:$A$32,$B11,'Pemetaan Variant'!$U$5:$U$32),"n/a")</f>
        <v>68000</v>
      </c>
      <c r="T11" s="14" t="n">
        <f aca="false">IFERROR(IF(ISNUMBER(S11),(S11-AVERAGEIF('Pemetaan Variant'!$A$5:$A$32,$B11,'Pemetaan Variant'!$E$5:$E$32))/AVERAGEIF('Pemetaan Variant'!$A$5:$A$32,$B11,'Pemetaan Variant'!$E$5:$E$32)*100,"n/a"),"n/a")</f>
        <v>0</v>
      </c>
      <c r="U11" s="4" t="n">
        <f aca="false">IFERROR(IF(ISNUMBER(T11),$C11*T11,"n/a"),"n/a")</f>
        <v>0</v>
      </c>
      <c r="V11" s="13" t="n">
        <f aca="false">IFERROR(AVERAGEIF('Pemetaan Variant'!$A$5:$A$32,$B11,'Pemetaan Variant'!$V$5:$V$32),"n/a")</f>
        <v>68000</v>
      </c>
      <c r="W11" s="14" t="n">
        <f aca="false">IFERROR(IF(ISNUMBER(V11),(V11-AVERAGEIF('Pemetaan Variant'!$A$5:$A$32,$B11,'Pemetaan Variant'!$E$5:$E$32))/AVERAGEIF('Pemetaan Variant'!$A$5:$A$32,$B11,'Pemetaan Variant'!$E$5:$E$32)*100,"n/a"),"n/a")</f>
        <v>0</v>
      </c>
      <c r="X11" s="4" t="n">
        <f aca="false">IFERROR(IF(ISNUMBER(W11),$C11*W11,"n/a"),"n/a")</f>
        <v>0</v>
      </c>
      <c r="Y11" s="13" t="n">
        <f aca="false">IFERROR(AVERAGEIF('Pemetaan Variant'!$A$5:$A$32,$B11,'Pemetaan Variant'!$W$5:$W$32),"n/a")</f>
        <v>68000</v>
      </c>
      <c r="Z11" s="14" t="n">
        <f aca="false">IFERROR(IF(ISNUMBER(Y11),(Y11-AVERAGEIF('Pemetaan Variant'!$A$5:$A$32,$B11,'Pemetaan Variant'!$E$5:$E$32))/AVERAGEIF('Pemetaan Variant'!$A$5:$A$32,$B11,'Pemetaan Variant'!$E$5:$E$32)*100,"n/a"),"n/a")</f>
        <v>0</v>
      </c>
      <c r="AA11" s="4" t="n">
        <f aca="false">IFERROR(IF(ISNUMBER(Z11),$C11*Z11,"n/a"),"n/a")</f>
        <v>0</v>
      </c>
      <c r="AB11" s="13" t="n">
        <f aca="false">IFERROR(AVERAGEIF('Pemetaan Variant'!$A$5:$A$32,$B11,'Pemetaan Variant'!$X$5:$X$32),"n/a")</f>
        <v>68000</v>
      </c>
      <c r="AC11" s="14" t="n">
        <f aca="false">IFERROR(IF(ISNUMBER(AB11),(AB11-AVERAGEIF('Pemetaan Variant'!$A$5:$A$32,$B11,'Pemetaan Variant'!$E$5:$E$32))/AVERAGEIF('Pemetaan Variant'!$A$5:$A$32,$B11,'Pemetaan Variant'!$E$5:$E$32)*100,"n/a"),"n/a")</f>
        <v>0</v>
      </c>
      <c r="AD11" s="4" t="n">
        <f aca="false">IFERROR(IF(ISNUMBER(AC11),$C11*AC11,"n/a"),"n/a")</f>
        <v>0</v>
      </c>
      <c r="AE11" s="13" t="n">
        <f aca="false">IFERROR(AVERAGEIF('Pemetaan Variant'!$A$5:$A$32,$B11,'Pemetaan Variant'!$Y$5:$Y$32),"n/a")</f>
        <v>66200</v>
      </c>
      <c r="AF11" s="14" t="n">
        <f aca="false">IFERROR(IF(ISNUMBER(AE11),(AE11-AVERAGEIF('Pemetaan Variant'!$A$5:$A$32,$B11,'Pemetaan Variant'!$F$5:$F$32))/AVERAGEIF('Pemetaan Variant'!$A$5:$A$32,$B11,'Pemetaan Variant'!$F$5:$F$32)*100,"n/a"),"n/a")</f>
        <v>-2.64705882352941</v>
      </c>
      <c r="AG11" s="4" t="n">
        <f aca="false">IFERROR(IF(ISNUMBER(AF11),$C11*AF11,"n/a"),"n/a")</f>
        <v>-0.0979696437909448</v>
      </c>
      <c r="AH11" s="13" t="n">
        <f aca="false">IFERROR(AVERAGEIF('Pemetaan Variant'!$A$5:$A$32,$B11,'Pemetaan Variant'!$Z$5:$Z$32),"n/a")</f>
        <v>65000</v>
      </c>
      <c r="AI11" s="14" t="n">
        <f aca="false">IFERROR(IF(ISNUMBER(AH11),(AH11-AVERAGEIF('Pemetaan Variant'!$A$5:$A$32,$B11,'Pemetaan Variant'!$F$5:$F$32))/AVERAGEIF('Pemetaan Variant'!$A$5:$A$32,$B11,'Pemetaan Variant'!$F$5:$F$32)*100,"n/a"),"n/a")</f>
        <v>-4.41176470588235</v>
      </c>
      <c r="AJ11" s="4" t="n">
        <f aca="false">IFERROR(IF(ISNUMBER(AI11),$C11*AI11,"n/a"),"n/a")</f>
        <v>-0.163282739651575</v>
      </c>
      <c r="AK11" s="13" t="n">
        <f aca="false">IFERROR(AVERAGEIF('Pemetaan Variant'!$A$5:$A$32,$B11,'Pemetaan Variant'!$AA$5:$AA$32),"n/a")</f>
        <v>65000</v>
      </c>
      <c r="AL11" s="14" t="n">
        <f aca="false">IFERROR(IF(ISNUMBER(AK11),(AK11-AVERAGEIF('Pemetaan Variant'!$A$5:$A$32,$B11,'Pemetaan Variant'!$F$5:$F$32))/AVERAGEIF('Pemetaan Variant'!$A$5:$A$32,$B11,'Pemetaan Variant'!$F$5:$F$32)*100,"n/a"),"n/a")</f>
        <v>-4.41176470588235</v>
      </c>
      <c r="AM11" s="4" t="n">
        <f aca="false">IFERROR(IF(ISNUMBER(AL11),$C11*AL11,"n/a"),"n/a")</f>
        <v>-0.163282739651575</v>
      </c>
      <c r="AN11" s="13" t="n">
        <f aca="false">IFERROR(AVERAGEIF('Pemetaan Variant'!$A$5:$A$32,$B11,'Pemetaan Variant'!$AB$5:$AB$32),"n/a")</f>
        <v>65000</v>
      </c>
      <c r="AO11" s="14" t="n">
        <f aca="false">IFERROR(IF(ISNUMBER(AN11),(AN11-AVERAGEIF('Pemetaan Variant'!$A$5:$A$32,$B11,'Pemetaan Variant'!$F$5:$F$32))/AVERAGEIF('Pemetaan Variant'!$A$5:$A$32,$B11,'Pemetaan Variant'!$F$5:$F$32)*100,"n/a"),"n/a")</f>
        <v>-4.41176470588235</v>
      </c>
      <c r="AP11" s="4" t="n">
        <f aca="false">IFERROR(IF(ISNUMBER(AO11),$C11*AO11,"n/a"),"n/a")</f>
        <v>-0.163282739651575</v>
      </c>
      <c r="AQ11" s="13" t="str">
        <f aca="false">IFERROR(AVERAGEIF('Pemetaan Variant'!$A$5:$A$32,$B11,'Pemetaan Variant'!$AC$5:$AC$32),"n/a")</f>
        <v>n/a</v>
      </c>
      <c r="AR11" s="14" t="str">
        <f aca="false">IFERROR(IF(ISNUMBER(AQ11),(AQ11-AVERAGEIF('Pemetaan Variant'!$A$5:$A$32,$B11,'Pemetaan Variant'!$F$5:$F$32))/AVERAGEIF('Pemetaan Variant'!$A$5:$A$32,$B11,'Pemetaan Variant'!$F$5:$F$32)*100,"n/a"),"n/a")</f>
        <v>n/a</v>
      </c>
      <c r="AS11" s="4" t="str">
        <f aca="false">IFERROR(IF(ISNUMBER(AR11),$C11*AR11,"n/a"),"n/a")</f>
        <v>n/a</v>
      </c>
      <c r="AT11" s="13" t="str">
        <f aca="false">IFERROR(AVERAGEIF('Pemetaan Variant'!$A$5:$A$32,$B11,'Pemetaan Variant'!$AD$5:$AD$32),"n/a")</f>
        <v>n/a</v>
      </c>
      <c r="AU11" s="14" t="str">
        <f aca="false">IFERROR(IF(ISNUMBER(AT11),(AT11-AVERAGEIF('Pemetaan Variant'!$A$5:$A$32,$B11,'Pemetaan Variant'!$G$5:$G$32))/AVERAGEIF('Pemetaan Variant'!$A$5:$A$32,$B11,'Pemetaan Variant'!$G$5:$G$32)*100,"n/a"),"n/a")</f>
        <v>n/a</v>
      </c>
      <c r="AV11" s="4" t="str">
        <f aca="false">IFERROR(IF(ISNUMBER(AU11),$C11*AU11,"n/a"),"n/a")</f>
        <v>n/a</v>
      </c>
      <c r="AW11" s="13" t="n">
        <f aca="false">IFERROR(AVERAGEIF('Pemetaan Variant'!$A$5:$A$32,$B11,'Pemetaan Variant'!$AE$5:$AE$32),"n/a")</f>
        <v>65000</v>
      </c>
      <c r="AX11" s="14" t="n">
        <f aca="false">IFERROR(IF(ISNUMBER(AW11),(AW11-AVERAGEIF('Pemetaan Variant'!$A$5:$A$32,$B11,'Pemetaan Variant'!$G$5:$G$32))/AVERAGEIF('Pemetaan Variant'!$A$5:$A$32,$B11,'Pemetaan Variant'!$G$5:$G$32)*100,"n/a"),"n/a")</f>
        <v>-0.483481063658345</v>
      </c>
      <c r="AY11" s="4" t="n">
        <f aca="false">IFERROR(IF(ISNUMBER(AX11),$C11*AX11,"n/a"),"n/a")</f>
        <v>-0.0178939988659262</v>
      </c>
      <c r="AZ11" s="13" t="n">
        <f aca="false">IFERROR(AVERAGEIF('Pemetaan Variant'!$A$5:$A$32,$B11,'Pemetaan Variant'!$AF$5:$AF$32),"n/a")</f>
        <v>60000</v>
      </c>
      <c r="BA11" s="14" t="n">
        <f aca="false">IFERROR(IF(ISNUMBER(AZ11),(AZ11-AVERAGEIF('Pemetaan Variant'!$A$5:$A$32,$B11,'Pemetaan Variant'!$G$5:$G$32))/AVERAGEIF('Pemetaan Variant'!$A$5:$A$32,$B11,'Pemetaan Variant'!$G$5:$G$32)*100,"n/a"),"n/a")</f>
        <v>-8.1385979049154</v>
      </c>
      <c r="BB11" s="4" t="n">
        <f aca="false">IFERROR(IF(ISNUMBER(BA11),$C11*BA11,"n/a"),"n/a")</f>
        <v>-0.301215647576421</v>
      </c>
      <c r="BC11" s="13" t="n">
        <f aca="false">IFERROR(AVERAGEIF('Pemetaan Variant'!$A$5:$A$32,$B11,'Pemetaan Variant'!$AG$5:$AG$32),"n/a")</f>
        <v>60000</v>
      </c>
      <c r="BD11" s="14" t="n">
        <f aca="false">IFERROR(IF(ISNUMBER(BC11),(BC11-AVERAGEIF('Pemetaan Variant'!$A$5:$A$32,$B11,'Pemetaan Variant'!$G$5:$G$32))/AVERAGEIF('Pemetaan Variant'!$A$5:$A$32,$B11,'Pemetaan Variant'!$G$5:$G$32)*100,"n/a"),"n/a")</f>
        <v>-8.1385979049154</v>
      </c>
      <c r="BE11" s="4" t="n">
        <f aca="false">IFERROR(IF(ISNUMBER(BD11),$C11*BD11,"n/a"),"n/a")</f>
        <v>-0.301215647576421</v>
      </c>
      <c r="BF11" s="13" t="n">
        <f aca="false">IFERROR(AVERAGEIF('Pemetaan Variant'!$A$5:$A$32,$B11,'Pemetaan Variant'!$AH$5:$AH$32),"n/a")</f>
        <v>60000</v>
      </c>
      <c r="BG11" s="14" t="n">
        <f aca="false">IFERROR(IF(ISNUMBER(BF11),(BF11-AVERAGEIF('Pemetaan Variant'!$A$5:$A$32,$B11,'Pemetaan Variant'!$G$5:$G$32))/AVERAGEIF('Pemetaan Variant'!$A$5:$A$32,$B11,'Pemetaan Variant'!$G$5:$G$32)*100,"n/a"),"n/a")</f>
        <v>-8.1385979049154</v>
      </c>
      <c r="BH11" s="4" t="n">
        <f aca="false">IFERROR(IF(ISNUMBER(BG11),$C11*BG11,"n/a"),"n/a")</f>
        <v>-0.301215647576421</v>
      </c>
      <c r="BI11" s="13" t="n">
        <f aca="false">IFERROR(AVERAGEIF('Pemetaan Variant'!$A$5:$A$32,$B11,'Pemetaan Variant'!$AI$5:$AI$32),"n/a")</f>
        <v>60000</v>
      </c>
      <c r="BJ11" s="14" t="n">
        <f aca="false">IFERROR(IF(ISNUMBER(BI11),(BI11-AVERAGEIF('Pemetaan Variant'!$A$5:$A$32,$B11,'Pemetaan Variant'!$H$5:$H$32))/AVERAGEIF('Pemetaan Variant'!$A$5:$A$32,$B11,'Pemetaan Variant'!$H$5:$H$32)*100,"n/a"),"n/a")</f>
        <v>-2.04081632653061</v>
      </c>
      <c r="BK11" s="4" t="n">
        <f aca="false">IFERROR(IF(ISNUMBER(BJ11),$C11*BJ11,"n/a"),"n/a")</f>
        <v>-0.0755321516755584</v>
      </c>
      <c r="BL11" s="13" t="n">
        <f aca="false">IFERROR(AVERAGEIF('Pemetaan Variant'!$A$5:$A$32,$B11,'Pemetaan Variant'!$AJ$5:$AJ$32),"n/a")</f>
        <v>60000</v>
      </c>
      <c r="BM11" s="14" t="n">
        <f aca="false">IFERROR(IF(ISNUMBER(BL11),(BL11-AVERAGEIF('Pemetaan Variant'!$A$5:$A$32,$B11,'Pemetaan Variant'!$H$5:$H$32))/AVERAGEIF('Pemetaan Variant'!$A$5:$A$32,$B11,'Pemetaan Variant'!$H$5:$H$32)*100,"n/a"),"n/a")</f>
        <v>-2.04081632653061</v>
      </c>
      <c r="BN11" s="4" t="n">
        <f aca="false">IFERROR(IF(ISNUMBER(BM11),$C11*BM11,"n/a"),"n/a")</f>
        <v>-0.0755321516755584</v>
      </c>
      <c r="BO11" s="13" t="n">
        <f aca="false">IFERROR(AVERAGEIF('Pemetaan Variant'!$A$5:$A$32,$B11,'Pemetaan Variant'!$AK$5:$AK$32),"n/a")</f>
        <v>60000</v>
      </c>
      <c r="BP11" s="14" t="n">
        <f aca="false">IFERROR(IF(ISNUMBER(BO11),(BO11-AVERAGEIF('Pemetaan Variant'!$A$5:$A$32,$B11,'Pemetaan Variant'!$H$5:$H$32))/AVERAGEIF('Pemetaan Variant'!$A$5:$A$32,$B11,'Pemetaan Variant'!$H$5:$H$32)*100,"n/a"),"n/a")</f>
        <v>-2.04081632653061</v>
      </c>
      <c r="BQ11" s="4" t="n">
        <f aca="false">IFERROR(IF(ISNUMBER(BP11),$C11*BP11,"n/a"),"n/a")</f>
        <v>-0.0755321516755584</v>
      </c>
      <c r="BR11" s="13" t="n">
        <f aca="false">IFERROR(AVERAGEIF('Pemetaan Variant'!$A$5:$A$32,$B11,'Pemetaan Variant'!$AL$5:$AL$32),"n/a")</f>
        <v>60000</v>
      </c>
      <c r="BS11" s="14" t="n">
        <f aca="false">IFERROR(IF(ISNUMBER(BR11),(BR11-AVERAGEIF('Pemetaan Variant'!$A$5:$A$32,$B11,'Pemetaan Variant'!$H$5:$H$32))/AVERAGEIF('Pemetaan Variant'!$A$5:$A$32,$B11,'Pemetaan Variant'!$H$5:$H$32)*100,"n/a"),"n/a")</f>
        <v>-2.04081632653061</v>
      </c>
      <c r="BT11" s="4" t="n">
        <f aca="false">IFERROR(IF(ISNUMBER(BS11),$C11*BS11,"n/a"),"n/a")</f>
        <v>-0.0755321516755584</v>
      </c>
      <c r="BU11" s="13" t="n">
        <f aca="false">IFERROR(AVERAGEIF('Pemetaan Variant'!$A$5:$A$32,$B11,'Pemetaan Variant'!$AM$5:$AM$32),"n/a")</f>
        <v>60000</v>
      </c>
      <c r="BV11" s="14" t="n">
        <f aca="false">IFERROR(IF(ISNUMBER(BU11),(BU11-AVERAGEIF('Pemetaan Variant'!$A$5:$A$32,$B11,'Pemetaan Variant'!$H$5:$H$32))/AVERAGEIF('Pemetaan Variant'!$A$5:$A$32,$B11,'Pemetaan Variant'!$H$5:$H$32)*100,"n/a"),"n/a")</f>
        <v>-2.04081632653061</v>
      </c>
      <c r="BW11" s="4" t="n">
        <f aca="false">IFERROR(IF(ISNUMBER(BV11),$C11*BV11,"n/a"),"n/a")</f>
        <v>-0.0755321516755584</v>
      </c>
      <c r="BX11" s="13" t="n">
        <f aca="false">IFERROR(AVERAGEIF('Pemetaan Variant'!$A$5:$A$32,$B11,'Pemetaan Variant'!$AN$5:$AN$32),"n/a")</f>
        <v>60000</v>
      </c>
      <c r="BY11" s="14" t="n">
        <f aca="false">IFERROR(IF(ISNUMBER(BX11),(BX11-AVERAGEIF('Pemetaan Variant'!$A$5:$A$32,$B11,'Pemetaan Variant'!$I$5:$I$32))/AVERAGEIF('Pemetaan Variant'!$A$5:$A$32,$B11,'Pemetaan Variant'!$I$5:$I$32)*100,"n/a"),"n/a")</f>
        <v>0</v>
      </c>
      <c r="BZ11" s="4" t="n">
        <f aca="false">IFERROR(IF(ISNUMBER(BY11),$C11*BY11,"n/a"),"n/a")</f>
        <v>0</v>
      </c>
      <c r="CA11" s="13" t="n">
        <f aca="false">IFERROR(AVERAGEIF('Pemetaan Variant'!$A$5:$A$32,$B11,'Pemetaan Variant'!$AO$5:$AO$32),"n/a")</f>
        <v>58500</v>
      </c>
      <c r="CB11" s="14" t="n">
        <f aca="false">IFERROR(IF(ISNUMBER(CA11),(CA11-AVERAGEIF('Pemetaan Variant'!$A$5:$A$32,$B11,'Pemetaan Variant'!$I$5:$I$32))/AVERAGEIF('Pemetaan Variant'!$A$5:$A$32,$B11,'Pemetaan Variant'!$I$5:$I$32)*100,"n/a"),"n/a")</f>
        <v>-2.5</v>
      </c>
      <c r="CC11" s="4" t="n">
        <f aca="false">IFERROR(IF(ISNUMBER(CB11),$C11*CB11,"n/a"),"n/a")</f>
        <v>-0.092526885802559</v>
      </c>
      <c r="CD11" s="13" t="n">
        <f aca="false">IFERROR(AVERAGEIF('Pemetaan Variant'!$A$5:$A$32,$B11,'Pemetaan Variant'!$AP$5:$AP$32),"n/a")</f>
        <v>58000</v>
      </c>
      <c r="CE11" s="14" t="n">
        <f aca="false">IFERROR(IF(ISNUMBER(CD11),(CD11-AVERAGEIF('Pemetaan Variant'!$A$5:$A$32,$B11,'Pemetaan Variant'!$I$5:$I$32))/AVERAGEIF('Pemetaan Variant'!$A$5:$A$32,$B11,'Pemetaan Variant'!$I$5:$I$32)*100,"n/a"),"n/a")</f>
        <v>-3.33333333333333</v>
      </c>
      <c r="CF11" s="4" t="n">
        <f aca="false">IFERROR(IF(ISNUMBER(CE11),$C11*CE11,"n/a"),"n/a")</f>
        <v>-0.123369181070079</v>
      </c>
      <c r="CG11" s="13" t="n">
        <f aca="false">IFERROR(AVERAGEIF('Pemetaan Variant'!$A$5:$A$32,$B11,'Pemetaan Variant'!$AQ$5:$AQ$32),"n/a")</f>
        <v>58000</v>
      </c>
      <c r="CH11" s="14" t="n">
        <f aca="false">IFERROR(IF(ISNUMBER(CG11),(CG11-AVERAGEIF('Pemetaan Variant'!$A$5:$A$32,$B11,'Pemetaan Variant'!$I$5:$I$32))/AVERAGEIF('Pemetaan Variant'!$A$5:$A$32,$B11,'Pemetaan Variant'!$I$5:$I$32)*100,"n/a"),"n/a")</f>
        <v>-3.33333333333333</v>
      </c>
      <c r="CI11" s="4" t="n">
        <f aca="false">IFERROR(IF(ISNUMBER(CH11),$C11*CH11,"n/a"),"n/a")</f>
        <v>-0.123369181070079</v>
      </c>
      <c r="CJ11" s="13" t="n">
        <f aca="false">IFERROR(AVERAGEIF('Pemetaan Variant'!$A$5:$A$32,$B11,'Pemetaan Variant'!$AR$5:$AR$32),"n/a")</f>
        <v>58000</v>
      </c>
      <c r="CK11" s="14" t="n">
        <f aca="false">IFERROR(IF(ISNUMBER(CJ11),(CJ11-AVERAGEIF('Pemetaan Variant'!$A$5:$A$32,$B11,'Pemetaan Variant'!$J$5:$J$32))/AVERAGEIF('Pemetaan Variant'!$A$5:$A$32,$B11,'Pemetaan Variant'!$J$5:$J$32)*100,"n/a"),"n/a")</f>
        <v>-1.00401606425703</v>
      </c>
      <c r="CL11" s="4" t="n">
        <f aca="false">IFERROR(IF(ISNUMBER(CK11),$C11*CK11,"n/a"),"n/a")</f>
        <v>-0.0371593918885781</v>
      </c>
      <c r="CM11" s="13" t="n">
        <f aca="false">IFERROR(AVERAGEIF('Pemetaan Variant'!$A$5:$A$32,$B11,'Pemetaan Variant'!$AS$5:$AS$32),"n/a")</f>
        <v>58000</v>
      </c>
      <c r="CN11" s="14" t="n">
        <f aca="false">IFERROR(IF(ISNUMBER(CM11),(CM11-AVERAGEIF('Pemetaan Variant'!$A$5:$A$32,$B11,'Pemetaan Variant'!$J$5:$J$32))/AVERAGEIF('Pemetaan Variant'!$A$5:$A$32,$B11,'Pemetaan Variant'!$J$5:$J$32)*100,"n/a"),"n/a")</f>
        <v>-1.00401606425703</v>
      </c>
      <c r="CO11" s="4" t="n">
        <f aca="false">IFERROR(IF(ISNUMBER(CN11),$C11*CN11,"n/a"),"n/a")</f>
        <v>-0.0371593918885781</v>
      </c>
      <c r="CP11" s="13" t="n">
        <f aca="false">IFERROR(AVERAGEIF('Pemetaan Variant'!$A$5:$A$32,$B11,'Pemetaan Variant'!$AT$5:$AT$32),"n/a")</f>
        <v>58000</v>
      </c>
      <c r="CQ11" s="14" t="n">
        <f aca="false">IFERROR(IF(ISNUMBER(CP11),(CP11-AVERAGEIF('Pemetaan Variant'!$A$5:$A$32,$B11,'Pemetaan Variant'!$J$5:$J$32))/AVERAGEIF('Pemetaan Variant'!$A$5:$A$32,$B11,'Pemetaan Variant'!$J$5:$J$32)*100,"n/a"),"n/a")</f>
        <v>-1.00401606425703</v>
      </c>
      <c r="CR11" s="4" t="n">
        <f aca="false">IFERROR(IF(ISNUMBER(CQ11),$C11*CQ11,"n/a"),"n/a")</f>
        <v>-0.0371593918885781</v>
      </c>
      <c r="CS11" s="13" t="n">
        <f aca="false">IFERROR(AVERAGEIF('Pemetaan Variant'!$A$5:$A$32,$B11,'Pemetaan Variant'!$AU$5:$AU$32),"n/a")</f>
        <v>58000</v>
      </c>
      <c r="CT11" s="14" t="n">
        <f aca="false">IFERROR(IF(ISNUMBER(CS11),(CS11-AVERAGEIF('Pemetaan Variant'!$A$5:$A$32,$B11,'Pemetaan Variant'!$J$5:$J$32))/AVERAGEIF('Pemetaan Variant'!$A$5:$A$32,$B11,'Pemetaan Variant'!$J$5:$J$32)*100,"n/a"),"n/a")</f>
        <v>-1.00401606425703</v>
      </c>
      <c r="CU11" s="4" t="n">
        <f aca="false">IFERROR(IF(ISNUMBER(CT11),$C11*CT11,"n/a"),"n/a")</f>
        <v>-0.0371593918885781</v>
      </c>
      <c r="CV11" s="13" t="n">
        <f aca="false">IFERROR(AVERAGEIF('Pemetaan Variant'!$A$5:$A$32,$B11,'Pemetaan Variant'!$AV$5:$AV$32),"n/a")</f>
        <v>58000</v>
      </c>
      <c r="CW11" s="14" t="n">
        <f aca="false">IFERROR(IF(ISNUMBER(CV11),(CV11-AVERAGEIF('Pemetaan Variant'!$A$5:$A$32,$B11,'Pemetaan Variant'!$J$5:$J$32))/AVERAGEIF('Pemetaan Variant'!$A$5:$A$32,$B11,'Pemetaan Variant'!$J$5:$J$32)*100,"n/a"),"n/a")</f>
        <v>-1.00401606425703</v>
      </c>
      <c r="CX11" s="4" t="n">
        <f aca="false">IFERROR(IF(ISNUMBER(CW11),$C11*CW11,"n/a"),"n/a")</f>
        <v>-0.0371593918885781</v>
      </c>
      <c r="CY11" s="13" t="n">
        <f aca="false">IFERROR(AVERAGEIF('Pemetaan Variant'!$A$5:$A$32,$B11,'Pemetaan Variant'!$AW$5:$AW$32),"n/a")</f>
        <v>58000</v>
      </c>
      <c r="CZ11" s="14" t="n">
        <f aca="false">IFERROR(IF(ISNUMBER(CY11),(CY11-AVERAGEIF('Pemetaan Variant'!$A$5:$A$32,$B11,'Pemetaan Variant'!$K$5:$K$32))/AVERAGEIF('Pemetaan Variant'!$A$5:$A$32,$B11,'Pemetaan Variant'!$K$5:$K$32)*100,"n/a"),"n/a")</f>
        <v>0</v>
      </c>
      <c r="DA11" s="4" t="n">
        <f aca="false">IFERROR(IF(ISNUMBER(CZ11),$C11*CZ11,"n/a"),"n/a")</f>
        <v>0</v>
      </c>
      <c r="DB11" s="13" t="n">
        <f aca="false">IFERROR(AVERAGEIF('Pemetaan Variant'!$A$5:$A$32,$B11,'Pemetaan Variant'!$AX$5:$AX$32),"n/a")</f>
        <v>58400</v>
      </c>
      <c r="DC11" s="14" t="n">
        <f aca="false">IFERROR(IF(ISNUMBER(DB11),(DB11-AVERAGEIF('Pemetaan Variant'!$A$5:$A$32,$B11,'Pemetaan Variant'!$K$5:$K$32))/AVERAGEIF('Pemetaan Variant'!$A$5:$A$32,$B11,'Pemetaan Variant'!$K$5:$K$32)*100,"n/a"),"n/a")</f>
        <v>0.689655172413793</v>
      </c>
      <c r="DD11" s="4" t="n">
        <f aca="false">IFERROR(IF(ISNUMBER(DC11),$C11*DC11,"n/a"),"n/a")</f>
        <v>0.0255246581524301</v>
      </c>
      <c r="DE11" s="13" t="n">
        <f aca="false">IFERROR(AVERAGEIF('Pemetaan Variant'!$A$5:$A$32,$B11,'Pemetaan Variant'!$AY$5:$AY$32),"n/a")</f>
        <v>61000</v>
      </c>
      <c r="DF11" s="14" t="n">
        <f aca="false">IFERROR(IF(ISNUMBER(DE11),(DE11-AVERAGEIF('Pemetaan Variant'!$A$5:$A$32,$B11,'Pemetaan Variant'!$K$5:$K$32))/AVERAGEIF('Pemetaan Variant'!$A$5:$A$32,$B11,'Pemetaan Variant'!$K$5:$K$32)*100,"n/a"),"n/a")</f>
        <v>5.17241379310345</v>
      </c>
      <c r="DG11" s="4" t="n">
        <f aca="false">IFERROR(IF(ISNUMBER(DF11),$C11*DF11,"n/a"),"n/a")</f>
        <v>0.191434936143226</v>
      </c>
      <c r="DH11" s="13" t="n">
        <f aca="false">IFERROR(AVERAGEIF('Pemetaan Variant'!$A$5:$A$32,$B11,'Pemetaan Variant'!$AZ$5:$AZ$32),"n/a")</f>
        <v>61000</v>
      </c>
      <c r="DI11" s="14" t="n">
        <f aca="false">IFERROR(IF(ISNUMBER(DH11),(DH11-AVERAGEIF('Pemetaan Variant'!$A$5:$A$32,$B11,'Pemetaan Variant'!$K$5:$K$32))/AVERAGEIF('Pemetaan Variant'!$A$5:$A$32,$B11,'Pemetaan Variant'!$K$5:$K$32)*100,"n/a"),"n/a")</f>
        <v>5.17241379310345</v>
      </c>
      <c r="DJ11" s="4" t="n">
        <f aca="false">IFERROR(IF(ISNUMBER(DI11),$C11*DI11,"n/a"),"n/a")</f>
        <v>0.191434936143226</v>
      </c>
      <c r="DK11" s="13" t="n">
        <f aca="false">IFERROR(AVERAGEIF('Pemetaan Variant'!$A$5:$A$32,$B11,'Pemetaan Variant'!$BA$5:$BA$32),"n/a")</f>
        <v>61000</v>
      </c>
      <c r="DL11" s="14" t="n">
        <f aca="false">IFERROR(IF(ISNUMBER(DK11),(DK11-AVERAGEIF('Pemetaan Variant'!$A$5:$A$32,$B11,'Pemetaan Variant'!$L$5:$L$32))/AVERAGEIF('Pemetaan Variant'!$A$5:$A$32,$B11,'Pemetaan Variant'!$L$5:$L$32)*100,"n/a"),"n/a")</f>
        <v>2.47568523430592</v>
      </c>
      <c r="DM11" s="4" t="n">
        <f aca="false">IFERROR(IF(ISNUMBER(DL11),$C11*DL11,"n/a"),"n/a")</f>
        <v>0.0916269779830821</v>
      </c>
      <c r="DN11" s="13" t="n">
        <f aca="false">IFERROR(AVERAGEIF('Pemetaan Variant'!$A$5:$A$32,$B11,'Pemetaan Variant'!$BB$5:$BB$32),"n/a")</f>
        <v>61000</v>
      </c>
      <c r="DO11" s="14" t="n">
        <f aca="false">IFERROR(IF(ISNUMBER(DN11),(DN11-AVERAGEIF('Pemetaan Variant'!$A$5:$A$32,$B11,'Pemetaan Variant'!$L$5:$L$32))/AVERAGEIF('Pemetaan Variant'!$A$5:$A$32,$B11,'Pemetaan Variant'!$L$5:$L$32)*100,"n/a"),"n/a")</f>
        <v>2.47568523430592</v>
      </c>
      <c r="DP11" s="4" t="n">
        <f aca="false">IFERROR(IF(ISNUMBER(DO11),$C11*DO11,"n/a"),"n/a")</f>
        <v>0.0916269779830821</v>
      </c>
      <c r="DQ11" s="13" t="n">
        <f aca="false">IFERROR(AVERAGEIF('Pemetaan Variant'!$A$5:$A$32,$B11,'Pemetaan Variant'!$BC$5:$BC$32),"n/a")</f>
        <v>61000</v>
      </c>
      <c r="DR11" s="14" t="n">
        <f aca="false">IFERROR(IF(ISNUMBER(DQ11),(DQ11-AVERAGEIF('Pemetaan Variant'!$A$5:$A$32,$B11,'Pemetaan Variant'!$L$5:$L$32))/AVERAGEIF('Pemetaan Variant'!$A$5:$A$32,$B11,'Pemetaan Variant'!$L$5:$L$32)*100,"n/a"),"n/a")</f>
        <v>2.47568523430592</v>
      </c>
      <c r="DS11" s="4" t="n">
        <f aca="false">IFERROR(IF(ISNUMBER(DR11),$C11*DR11,"n/a"),"n/a")</f>
        <v>0.0916269779830821</v>
      </c>
      <c r="DT11" s="13" t="n">
        <f aca="false">IFERROR(AVERAGEIF('Pemetaan Variant'!$A$5:$A$32,$B11,'Pemetaan Variant'!$BD$5:$BD$32),"n/a")</f>
        <v>61000</v>
      </c>
      <c r="DU11" s="14" t="n">
        <f aca="false">IFERROR(IF(ISNUMBER(DT11),(DT11-AVERAGEIF('Pemetaan Variant'!$A$5:$A$32,$B11,'Pemetaan Variant'!$L$5:$L$32))/AVERAGEIF('Pemetaan Variant'!$A$5:$A$32,$B11,'Pemetaan Variant'!$L$5:$L$32)*100,"n/a"),"n/a")</f>
        <v>2.47568523430592</v>
      </c>
      <c r="DV11" s="4" t="n">
        <f aca="false">IFERROR(IF(ISNUMBER(DU11),$C11*DU11,"n/a"),"n/a")</f>
        <v>0.0916269779830821</v>
      </c>
      <c r="DW11" s="13" t="n">
        <f aca="false">IFERROR(AVERAGEIF('Pemetaan Variant'!$A$5:$A$32,$B11,'Pemetaan Variant'!$BE$5:$BE$32),"n/a")</f>
        <v>61000</v>
      </c>
      <c r="DX11" s="14" t="n">
        <f aca="false">IFERROR(IF(ISNUMBER(DW11),(DW11-AVERAGEIF('Pemetaan Variant'!$A$5:$A$32,$B11,'Pemetaan Variant'!$M$5:$M$32))/AVERAGEIF('Pemetaan Variant'!$A$5:$A$32,$B11,'Pemetaan Variant'!$M$5:$M$32)*100,"n/a"),"n/a")</f>
        <v>0</v>
      </c>
      <c r="DY11" s="4" t="n">
        <f aca="false">IFERROR(IF(ISNUMBER(DX11),$C11*DX11,"n/a"),"n/a")</f>
        <v>0</v>
      </c>
      <c r="DZ11" s="13" t="n">
        <f aca="false">IFERROR(AVERAGEIF('Pemetaan Variant'!$A$5:$A$32,$B11,'Pemetaan Variant'!$BF$5:$BF$32),"n/a")</f>
        <v>60800</v>
      </c>
      <c r="EA11" s="14" t="n">
        <f aca="false">IFERROR(IF(ISNUMBER(DZ11),(DZ11-AVERAGEIF('Pemetaan Variant'!$A$5:$A$32,$B11,'Pemetaan Variant'!$M$5:$M$32))/AVERAGEIF('Pemetaan Variant'!$A$5:$A$32,$B11,'Pemetaan Variant'!$M$5:$M$32)*100,"n/a"),"n/a")</f>
        <v>-0.327868852459016</v>
      </c>
      <c r="EB11" s="4" t="n">
        <f aca="false">IFERROR(IF(ISNUMBER(EA11),$C11*EA11,"n/a"),"n/a")</f>
        <v>-0.0121346735478766</v>
      </c>
      <c r="EC11" s="13" t="n">
        <f aca="false">IFERROR(AVERAGEIF('Pemetaan Variant'!$A$5:$A$32,$B11,'Pemetaan Variant'!$BG$5:$BG$32),"n/a")</f>
        <v>60000</v>
      </c>
      <c r="ED11" s="14" t="n">
        <f aca="false">IFERROR(IF(ISNUMBER(EC11),(EC11-AVERAGEIF('Pemetaan Variant'!$A$5:$A$32,$B11,'Pemetaan Variant'!$M$5:$M$32))/AVERAGEIF('Pemetaan Variant'!$A$5:$A$32,$B11,'Pemetaan Variant'!$M$5:$M$32)*100,"n/a"),"n/a")</f>
        <v>-1.63934426229508</v>
      </c>
      <c r="EE11" s="4" t="n">
        <f aca="false">IFERROR(IF(ISNUMBER(ED11),$C11*ED11,"n/a"),"n/a")</f>
        <v>-0.060673367739383</v>
      </c>
      <c r="EF11" s="13" t="n">
        <f aca="false">IFERROR(AVERAGEIF('Pemetaan Variant'!$A$5:$A$32,$B11,'Pemetaan Variant'!$BH$5:$BH$32),"n/a")</f>
        <v>60600</v>
      </c>
      <c r="EG11" s="14" t="n">
        <f aca="false">IFERROR(IF(ISNUMBER(EF11),(EF11-AVERAGEIF('Pemetaan Variant'!$A$5:$A$32,$B11,'Pemetaan Variant'!$M$5:$M$32))/AVERAGEIF('Pemetaan Variant'!$A$5:$A$32,$B11,'Pemetaan Variant'!$M$5:$M$32)*100,"n/a"),"n/a")</f>
        <v>-0.655737704918033</v>
      </c>
      <c r="EH11" s="4" t="n">
        <f aca="false">IFERROR(IF(ISNUMBER(EG11),$C11*EG11,"n/a"),"n/a")</f>
        <v>-0.0242693470957532</v>
      </c>
      <c r="EI11" s="13" t="n">
        <f aca="false">IFERROR(AVERAGEIF('Pemetaan Variant'!$A$5:$A$32,$B11,'Pemetaan Variant'!$BI$5:$BI$32),"n/a")</f>
        <v>61000</v>
      </c>
      <c r="EJ11" s="14" t="n">
        <f aca="false">IFERROR(IF(ISNUMBER(EI11),(EI11-AVERAGEIF('Pemetaan Variant'!$A$5:$A$32,$B11,'Pemetaan Variant'!$M$5:$M$32))/AVERAGEIF('Pemetaan Variant'!$A$5:$A$32,$B11,'Pemetaan Variant'!$M$5:$M$32)*100,"n/a"),"n/a")</f>
        <v>0</v>
      </c>
      <c r="EK11" s="4" t="n">
        <f aca="false">IFERROR(IF(ISNUMBER(EJ11),$C11*EJ11,"n/a"),"n/a")</f>
        <v>0</v>
      </c>
      <c r="EL11" s="13" t="n">
        <f aca="false">IFERROR(AVERAGEIF('Pemetaan Variant'!$A$5:$A$32,$B11,'Pemetaan Variant'!$BJ$5:$BJ$32),"n/a")</f>
        <v>60600</v>
      </c>
      <c r="EM11" s="14" t="n">
        <f aca="false">IFERROR(IF(ISNUMBER(EL11),(EL11-AVERAGEIF('Pemetaan Variant'!$A$5:$A$32,$B11,'Pemetaan Variant'!$N$5:$N$32))/AVERAGEIF('Pemetaan Variant'!$A$5:$A$32,$B11,'Pemetaan Variant'!$N$5:$N$32)*100,"n/a"),"n/a")</f>
        <v>-0.0860215053763467</v>
      </c>
      <c r="EN11" s="4" t="n">
        <f aca="false">IFERROR(IF(ISNUMBER(EM11),$C11*EM11,"n/a"),"n/a")</f>
        <v>-0.00318372080180858</v>
      </c>
      <c r="EO11" s="13" t="n">
        <f aca="false">IFERROR(AVERAGEIF('Pemetaan Variant'!$A$5:$A$32,$B11,'Pemetaan Variant'!$BK$5:$BK$32),"n/a")</f>
        <v>60000</v>
      </c>
      <c r="EP11" s="14" t="n">
        <f aca="false">IFERROR(IF(ISNUMBER(EO11),(EO11-AVERAGEIF('Pemetaan Variant'!$A$5:$A$32,$B11,'Pemetaan Variant'!$N$5:$N$32))/AVERAGEIF('Pemetaan Variant'!$A$5:$A$32,$B11,'Pemetaan Variant'!$N$5:$N$32)*100,"n/a"),"n/a")</f>
        <v>-1.0752688172043</v>
      </c>
      <c r="EQ11" s="4" t="n">
        <f aca="false">IFERROR(IF(ISNUMBER(EP11),$C11*EP11,"n/a"),"n/a")</f>
        <v>-0.0397965100226061</v>
      </c>
      <c r="ER11" s="13" t="n">
        <f aca="false">IFERROR(AVERAGEIF('Pemetaan Variant'!$A$5:$A$32,$B11,'Pemetaan Variant'!$BL$5:$BL$32),"n/a")</f>
        <v>59200</v>
      </c>
      <c r="ES11" s="14" t="n">
        <f aca="false">IFERROR(IF(ISNUMBER(ER11),(ER11-AVERAGEIF('Pemetaan Variant'!$A$5:$A$32,$B11,'Pemetaan Variant'!$N$5:$N$32))/AVERAGEIF('Pemetaan Variant'!$A$5:$A$32,$B11,'Pemetaan Variant'!$N$5:$N$32)*100,"n/a"),"n/a")</f>
        <v>-2.39426523297491</v>
      </c>
      <c r="ET11" s="4" t="n">
        <f aca="false">IFERROR(IF(ISNUMBER(ES11),$C11*ES11,"n/a"),"n/a")</f>
        <v>-0.0886135623170029</v>
      </c>
      <c r="EU11" s="13" t="n">
        <f aca="false">IFERROR(AVERAGEIF('Pemetaan Variant'!$A$5:$A$32,$B11,'Pemetaan Variant'!$BM$5:$BM$32),"n/a")</f>
        <v>59600</v>
      </c>
      <c r="EV11" s="14" t="n">
        <f aca="false">IFERROR(IF(ISNUMBER(EU11),(EU11-AVERAGEIF('Pemetaan Variant'!$A$5:$A$32,$B11,'Pemetaan Variant'!$N$5:$N$32))/AVERAGEIF('Pemetaan Variant'!$A$5:$A$32,$B11,'Pemetaan Variant'!$N$5:$N$32)*100,"n/a"),"n/a")</f>
        <v>-1.73476702508961</v>
      </c>
      <c r="EW11" s="4" t="n">
        <f aca="false">IFERROR(IF(ISNUMBER(EV11),$C11*EV11,"n/a"),"n/a")</f>
        <v>-0.0642050361698045</v>
      </c>
      <c r="EX11" s="13" t="n">
        <f aca="false">IFERROR(AVERAGEIF('Pemetaan Variant'!$A$5:$A$32,$B11,'Pemetaan Variant'!$BN$5:$BN$32),"n/a")</f>
        <v>60000</v>
      </c>
      <c r="EY11" s="14" t="n">
        <f aca="false">IFERROR(IF(ISNUMBER(EX11),(EX11-AVERAGEIF('Pemetaan Variant'!$A$5:$A$32,$B11,'Pemetaan Variant'!$O$5:$O$32))/AVERAGEIF('Pemetaan Variant'!$A$5:$A$32,$B11,'Pemetaan Variant'!$O$5:$O$32)*100,"n/a"),"n/a")</f>
        <v>0.25062656641604</v>
      </c>
      <c r="EZ11" s="4" t="n">
        <f aca="false">IFERROR(IF(ISNUMBER(EY11),$C11*EY11,"n/a"),"n/a")</f>
        <v>0.00927587827594576</v>
      </c>
      <c r="FA11" s="13" t="n">
        <f aca="false">IFERROR(AVERAGEIF('Pemetaan Variant'!$A$5:$A$32,$B11,'Pemetaan Variant'!$BO$5:$BO$32),"n/a")</f>
        <v>60000</v>
      </c>
      <c r="FB11" s="14" t="n">
        <f aca="false">IFERROR(IF(ISNUMBER(FA11),(FA11-AVERAGEIF('Pemetaan Variant'!$A$5:$A$32,$B11,'Pemetaan Variant'!$O$5:$O$32))/AVERAGEIF('Pemetaan Variant'!$A$5:$A$32,$B11,'Pemetaan Variant'!$O$5:$O$32)*100,"n/a"),"n/a")</f>
        <v>0.25062656641604</v>
      </c>
      <c r="FC11" s="4" t="n">
        <f aca="false">IFERROR(IF(ISNUMBER(FB11),$C11*FB11,"n/a"),"n/a")</f>
        <v>0.00927587827594576</v>
      </c>
      <c r="FD11" s="13" t="n">
        <f aca="false">IFERROR(AVERAGEIF('Pemetaan Variant'!$A$5:$A$32,$B11,'Pemetaan Variant'!$BP$5:$BP$32),"n/a")</f>
        <v>60000</v>
      </c>
      <c r="FE11" s="14" t="n">
        <f aca="false">IFERROR(IF(ISNUMBER(FD11),(FD11-AVERAGEIF('Pemetaan Variant'!$A$5:$A$32,$B11,'Pemetaan Variant'!$O$5:$O$32))/AVERAGEIF('Pemetaan Variant'!$A$5:$A$32,$B11,'Pemetaan Variant'!$O$5:$O$32)*100,"n/a"),"n/a")</f>
        <v>0.25062656641604</v>
      </c>
      <c r="FF11" s="4" t="n">
        <f aca="false">IFERROR(IF(ISNUMBER(FE11),$C11*FE11,"n/a"),"n/a")</f>
        <v>0.00927587827594576</v>
      </c>
      <c r="FG11" s="13" t="n">
        <f aca="false">IFERROR(AVERAGEIF('Pemetaan Variant'!$A$5:$A$32,$B11,'Pemetaan Variant'!$BQ$5:$BQ$32),"n/a")</f>
        <v>60000</v>
      </c>
      <c r="FH11" s="14" t="n">
        <f aca="false">IFERROR(IF(ISNUMBER(FG11),(FG11-AVERAGEIF('Pemetaan Variant'!$A$5:$A$32,$B11,'Pemetaan Variant'!$O$5:$O$32))/AVERAGEIF('Pemetaan Variant'!$A$5:$A$32,$B11,'Pemetaan Variant'!$O$5:$O$32)*100,"n/a"),"n/a")</f>
        <v>0.25062656641604</v>
      </c>
      <c r="FI11" s="4" t="n">
        <f aca="false">IFERROR(IF(ISNUMBER(FH11),$C11*FH11,"n/a"),"n/a")</f>
        <v>0.00927587827594576</v>
      </c>
      <c r="FJ11" s="13" t="n">
        <f aca="false">IFERROR(AVERAGEIF('Pemetaan Variant'!$A$5:$A$32,$B11,'Pemetaan Variant'!$BR$5:$BR$32),"n/a")</f>
        <v>60000</v>
      </c>
      <c r="FK11" s="14" t="n">
        <f aca="false">IFERROR(IF(ISNUMBER(FJ11),(FJ11-AVERAGEIF('Pemetaan Variant'!$A$5:$A$32,$B11,'Pemetaan Variant'!$O$5:$O$32))/AVERAGEIF('Pemetaan Variant'!$A$5:$A$32,$B11,'Pemetaan Variant'!$O$5:$O$32)*100,"n/a"),"n/a")</f>
        <v>0.25062656641604</v>
      </c>
      <c r="FL11" s="4" t="n">
        <f aca="false">IFERROR(IF(ISNUMBER(FK11),$C11*FK11,"n/a"),"n/a")</f>
        <v>0.00927587827594576</v>
      </c>
      <c r="FM11" s="15" t="s">
        <v>240</v>
      </c>
      <c r="FO11" s="11" t="n">
        <f aca="false">IFERROR(ABS(F11),0)</f>
        <v>0</v>
      </c>
      <c r="FP11" s="11" t="n">
        <f aca="false">IFERROR(ABS(I11),0)</f>
        <v>0</v>
      </c>
      <c r="FQ11" s="11" t="n">
        <f aca="false">IFERROR(ABS(L11),0)</f>
        <v>0</v>
      </c>
      <c r="FR11" s="11" t="n">
        <f aca="false">IFERROR(ABS(O11),0)</f>
        <v>0</v>
      </c>
      <c r="FS11" s="11" t="n">
        <f aca="false">IFERROR(ABS(R11),0)</f>
        <v>0</v>
      </c>
      <c r="FT11" s="11" t="n">
        <f aca="false">IFERROR(ABS(U11),0)</f>
        <v>0</v>
      </c>
      <c r="FU11" s="11" t="n">
        <f aca="false">IFERROR(ABS(X11),0)</f>
        <v>0</v>
      </c>
      <c r="FV11" s="11" t="n">
        <f aca="false">IFERROR(ABS(AA11),0)</f>
        <v>0</v>
      </c>
      <c r="FW11" s="11" t="n">
        <f aca="false">IFERROR(ABS(AD11),0)</f>
        <v>0</v>
      </c>
      <c r="FX11" s="11" t="n">
        <f aca="false">IFERROR(ABS(AG11),0)</f>
        <v>0.0979696437909448</v>
      </c>
      <c r="FY11" s="11" t="n">
        <f aca="false">IFERROR(ABS(AJ11),0)</f>
        <v>0.163282739651575</v>
      </c>
      <c r="FZ11" s="11" t="n">
        <f aca="false">IFERROR(ABS(AM11),0)</f>
        <v>0.163282739651575</v>
      </c>
      <c r="GA11" s="11" t="n">
        <f aca="false">IFERROR(ABS(AP11),0)</f>
        <v>0.163282739651575</v>
      </c>
      <c r="GB11" s="11" t="n">
        <f aca="false">IFERROR(ABS(AS11),0)</f>
        <v>0</v>
      </c>
      <c r="GC11" s="11" t="n">
        <f aca="false">IFERROR(ABS(AV11),0)</f>
        <v>0</v>
      </c>
      <c r="GD11" s="11" t="n">
        <f aca="false">IFERROR(ABS(AY11),0)</f>
        <v>0.0178939988659262</v>
      </c>
      <c r="GE11" s="11" t="n">
        <f aca="false">IFERROR(ABS(BB11),0)</f>
        <v>0.301215647576421</v>
      </c>
      <c r="GF11" s="11" t="n">
        <f aca="false">IFERROR(ABS(BE11),0)</f>
        <v>0.301215647576421</v>
      </c>
      <c r="GG11" s="11" t="n">
        <f aca="false">IFERROR(ABS(BH11),0)</f>
        <v>0.301215647576421</v>
      </c>
      <c r="GH11" s="11" t="n">
        <f aca="false">IFERROR(ABS(BK11),0)</f>
        <v>0.0755321516755584</v>
      </c>
      <c r="GI11" s="11" t="n">
        <f aca="false">IFERROR(ABS(BN11),0)</f>
        <v>0.0755321516755584</v>
      </c>
      <c r="GJ11" s="11" t="n">
        <f aca="false">IFERROR(ABS(BQ11),0)</f>
        <v>0.0755321516755584</v>
      </c>
      <c r="GK11" s="11" t="n">
        <f aca="false">IFERROR(ABS(BT11),0)</f>
        <v>0.0755321516755584</v>
      </c>
      <c r="GL11" s="11" t="n">
        <f aca="false">IFERROR(ABS(BW11),0)</f>
        <v>0.0755321516755584</v>
      </c>
      <c r="GM11" s="11" t="n">
        <f aca="false">IFERROR(ABS(BZ11),0)</f>
        <v>0</v>
      </c>
      <c r="GN11" s="11" t="n">
        <f aca="false">IFERROR(ABS(CC11),0)</f>
        <v>0.092526885802559</v>
      </c>
      <c r="GO11" s="11" t="n">
        <f aca="false">IFERROR(ABS(CF11),0)</f>
        <v>0.123369181070079</v>
      </c>
      <c r="GP11" s="11" t="n">
        <f aca="false">IFERROR(ABS(CI11),0)</f>
        <v>0.123369181070079</v>
      </c>
      <c r="GQ11" s="11" t="n">
        <f aca="false">IFERROR(ABS(CL11),0)</f>
        <v>0.0371593918885781</v>
      </c>
      <c r="GR11" s="11" t="n">
        <f aca="false">IFERROR(ABS(CO11),0)</f>
        <v>0.0371593918885781</v>
      </c>
      <c r="GS11" s="11" t="n">
        <f aca="false">IFERROR(ABS(CR11),0)</f>
        <v>0.0371593918885781</v>
      </c>
      <c r="GT11" s="11" t="n">
        <f aca="false">IFERROR(ABS(CU11),0)</f>
        <v>0.0371593918885781</v>
      </c>
      <c r="GU11" s="11" t="n">
        <f aca="false">IFERROR(ABS(CX11),0)</f>
        <v>0.0371593918885781</v>
      </c>
      <c r="GV11" s="11" t="n">
        <f aca="false">IFERROR(ABS(DA11),0)</f>
        <v>0</v>
      </c>
      <c r="GW11" s="11" t="n">
        <f aca="false">IFERROR(ABS(DD11),0)</f>
        <v>0.0255246581524301</v>
      </c>
      <c r="GX11" s="11" t="n">
        <f aca="false">IFERROR(ABS(DG11),0)</f>
        <v>0.191434936143226</v>
      </c>
      <c r="GY11" s="11" t="n">
        <f aca="false">IFERROR(ABS(DJ11),0)</f>
        <v>0.191434936143226</v>
      </c>
      <c r="GZ11" s="11" t="n">
        <f aca="false">IFERROR(ABS(DM11),0)</f>
        <v>0.0916269779830821</v>
      </c>
      <c r="HA11" s="11" t="n">
        <f aca="false">IFERROR(ABS(DP11),0)</f>
        <v>0.0916269779830821</v>
      </c>
      <c r="HB11" s="11" t="n">
        <f aca="false">IFERROR(ABS(DS11),0)</f>
        <v>0.0916269779830821</v>
      </c>
      <c r="HC11" s="11" t="n">
        <f aca="false">IFERROR(ABS(DV11),0)</f>
        <v>0.0916269779830821</v>
      </c>
      <c r="HD11" s="11" t="n">
        <f aca="false">IFERROR(ABS(DY11),0)</f>
        <v>0</v>
      </c>
      <c r="HE11" s="11" t="n">
        <f aca="false">IFERROR(ABS(EB11),0)</f>
        <v>0.0121346735478766</v>
      </c>
      <c r="HF11" s="11" t="n">
        <f aca="false">IFERROR(ABS(EE11),0)</f>
        <v>0.060673367739383</v>
      </c>
      <c r="HG11" s="11" t="n">
        <f aca="false">IFERROR(ABS(EH11),0)</f>
        <v>0.0242693470957532</v>
      </c>
      <c r="HH11" s="11" t="n">
        <f aca="false">IFERROR(ABS(EK11),0)</f>
        <v>0</v>
      </c>
      <c r="HI11" s="11" t="n">
        <f aca="false">IFERROR(ABS(EN11),0)</f>
        <v>0.00318372080180858</v>
      </c>
      <c r="HJ11" s="11" t="n">
        <f aca="false">IFERROR(ABS(EQ11),0)</f>
        <v>0.0397965100226061</v>
      </c>
      <c r="HK11" s="11" t="n">
        <f aca="false">IFERROR(ABS(ET11),0)</f>
        <v>0.0886135623170029</v>
      </c>
      <c r="HL11" s="11" t="n">
        <f aca="false">IFERROR(ABS(EW11),0)</f>
        <v>0.0642050361698045</v>
      </c>
      <c r="HM11" s="11" t="n">
        <f aca="false">IFERROR(ABS(EZ11),0)</f>
        <v>0.00927587827594576</v>
      </c>
      <c r="HN11" s="11" t="n">
        <f aca="false">IFERROR(ABS(FC11),0)</f>
        <v>0.00927587827594576</v>
      </c>
      <c r="HO11" s="11" t="n">
        <f aca="false">IFERROR(ABS(FF11),0)</f>
        <v>0.00927587827594576</v>
      </c>
      <c r="HP11" s="11" t="n">
        <f aca="false">IFERROR(ABS(FI11),0)</f>
        <v>0.00927587827594576</v>
      </c>
      <c r="HQ11" s="11" t="n">
        <f aca="false">IFERROR(ABS(FL11),0)</f>
        <v>0.00927587827594576</v>
      </c>
    </row>
    <row r="12" customFormat="false" ht="15" hidden="false" customHeight="false" outlineLevel="0" collapsed="false">
      <c r="A12" s="3" t="n">
        <v>7</v>
      </c>
      <c r="B12" s="3" t="s">
        <v>241</v>
      </c>
      <c r="C12" s="12" t="n">
        <f aca="false">'P0Q0 Dasar 2022'!F11</f>
        <v>0.0406365728580274</v>
      </c>
      <c r="D12" s="13" t="n">
        <f aca="false">IFERROR(AVERAGEIF('Pemetaan Variant'!$A$5:$A$32,$B12,'Pemetaan Variant'!$P$5:$P$32),"n/a")</f>
        <v>13000</v>
      </c>
      <c r="E12" s="14" t="n">
        <f aca="false">IFERROR(IF(ISNUMBER(D12),(D12-AVERAGEIF('Pemetaan Variant'!$A$5:$A$32,$B12,'Pemetaan Variant'!$D$5:$D$32))/AVERAGEIF('Pemetaan Variant'!$A$5:$A$32,$B12,'Pemetaan Variant'!$D$5:$D$32)*100,"n/a"),"n/a")</f>
        <v>0</v>
      </c>
      <c r="F12" s="4" t="n">
        <f aca="false">IFERROR(IF(ISNUMBER(E12),$C12*E12,"n/a"),"n/a")</f>
        <v>0</v>
      </c>
      <c r="G12" s="13" t="n">
        <f aca="false">IFERROR(AVERAGEIF('Pemetaan Variant'!$A$5:$A$32,$B12,'Pemetaan Variant'!$Q$5:$Q$32),"n/a")</f>
        <v>13000</v>
      </c>
      <c r="H12" s="14" t="n">
        <f aca="false">IFERROR(IF(ISNUMBER(G12),(G12-AVERAGEIF('Pemetaan Variant'!$A$5:$A$32,$B12,'Pemetaan Variant'!$D$5:$D$32))/AVERAGEIF('Pemetaan Variant'!$A$5:$A$32,$B12,'Pemetaan Variant'!$D$5:$D$32)*100,"n/a"),"n/a")</f>
        <v>0</v>
      </c>
      <c r="I12" s="4" t="n">
        <f aca="false">IFERROR(IF(ISNUMBER(H12),$C12*H12,"n/a"),"n/a")</f>
        <v>0</v>
      </c>
      <c r="J12" s="13" t="n">
        <f aca="false">IFERROR(AVERAGEIF('Pemetaan Variant'!$A$5:$A$32,$B12,'Pemetaan Variant'!$R$5:$R$32),"n/a")</f>
        <v>13000</v>
      </c>
      <c r="K12" s="14" t="n">
        <f aca="false">IFERROR(IF(ISNUMBER(J12),(J12-AVERAGEIF('Pemetaan Variant'!$A$5:$A$32,$B12,'Pemetaan Variant'!$D$5:$D$32))/AVERAGEIF('Pemetaan Variant'!$A$5:$A$32,$B12,'Pemetaan Variant'!$D$5:$D$32)*100,"n/a"),"n/a")</f>
        <v>0</v>
      </c>
      <c r="L12" s="4" t="n">
        <f aca="false">IFERROR(IF(ISNUMBER(K12),$C12*K12,"n/a"),"n/a")</f>
        <v>0</v>
      </c>
      <c r="M12" s="13" t="n">
        <f aca="false">IFERROR(AVERAGEIF('Pemetaan Variant'!$A$5:$A$32,$B12,'Pemetaan Variant'!$S$5:$S$32),"n/a")</f>
        <v>13000</v>
      </c>
      <c r="N12" s="14" t="n">
        <f aca="false">IFERROR(IF(ISNUMBER(M12),(M12-AVERAGEIF('Pemetaan Variant'!$A$5:$A$32,$B12,'Pemetaan Variant'!$D$5:$D$32))/AVERAGEIF('Pemetaan Variant'!$A$5:$A$32,$B12,'Pemetaan Variant'!$D$5:$D$32)*100,"n/a"),"n/a")</f>
        <v>0</v>
      </c>
      <c r="O12" s="4" t="n">
        <f aca="false">IFERROR(IF(ISNUMBER(N12),$C12*N12,"n/a"),"n/a")</f>
        <v>0</v>
      </c>
      <c r="P12" s="13" t="n">
        <f aca="false">IFERROR(AVERAGEIF('Pemetaan Variant'!$A$5:$A$32,$B12,'Pemetaan Variant'!$T$5:$T$32),"n/a")</f>
        <v>13000</v>
      </c>
      <c r="Q12" s="14" t="n">
        <f aca="false">IFERROR(IF(ISNUMBER(P12),(P12-AVERAGEIF('Pemetaan Variant'!$A$5:$A$32,$B12,'Pemetaan Variant'!$D$5:$D$32))/AVERAGEIF('Pemetaan Variant'!$A$5:$A$32,$B12,'Pemetaan Variant'!$D$5:$D$32)*100,"n/a"),"n/a")</f>
        <v>0</v>
      </c>
      <c r="R12" s="4" t="n">
        <f aca="false">IFERROR(IF(ISNUMBER(Q12),$C12*Q12,"n/a"),"n/a")</f>
        <v>0</v>
      </c>
      <c r="S12" s="13" t="n">
        <f aca="false">IFERROR(AVERAGEIF('Pemetaan Variant'!$A$5:$A$32,$B12,'Pemetaan Variant'!$U$5:$U$32),"n/a")</f>
        <v>13000</v>
      </c>
      <c r="T12" s="14" t="n">
        <f aca="false">IFERROR(IF(ISNUMBER(S12),(S12-AVERAGEIF('Pemetaan Variant'!$A$5:$A$32,$B12,'Pemetaan Variant'!$E$5:$E$32))/AVERAGEIF('Pemetaan Variant'!$A$5:$A$32,$B12,'Pemetaan Variant'!$E$5:$E$32)*100,"n/a"),"n/a")</f>
        <v>0</v>
      </c>
      <c r="U12" s="4" t="n">
        <f aca="false">IFERROR(IF(ISNUMBER(T12),$C12*T12,"n/a"),"n/a")</f>
        <v>0</v>
      </c>
      <c r="V12" s="13" t="n">
        <f aca="false">IFERROR(AVERAGEIF('Pemetaan Variant'!$A$5:$A$32,$B12,'Pemetaan Variant'!$V$5:$V$32),"n/a")</f>
        <v>13000</v>
      </c>
      <c r="W12" s="14" t="n">
        <f aca="false">IFERROR(IF(ISNUMBER(V12),(V12-AVERAGEIF('Pemetaan Variant'!$A$5:$A$32,$B12,'Pemetaan Variant'!$E$5:$E$32))/AVERAGEIF('Pemetaan Variant'!$A$5:$A$32,$B12,'Pemetaan Variant'!$E$5:$E$32)*100,"n/a"),"n/a")</f>
        <v>0</v>
      </c>
      <c r="X12" s="4" t="n">
        <f aca="false">IFERROR(IF(ISNUMBER(W12),$C12*W12,"n/a"),"n/a")</f>
        <v>0</v>
      </c>
      <c r="Y12" s="13" t="n">
        <f aca="false">IFERROR(AVERAGEIF('Pemetaan Variant'!$A$5:$A$32,$B12,'Pemetaan Variant'!$W$5:$W$32),"n/a")</f>
        <v>13000</v>
      </c>
      <c r="Z12" s="14" t="n">
        <f aca="false">IFERROR(IF(ISNUMBER(Y12),(Y12-AVERAGEIF('Pemetaan Variant'!$A$5:$A$32,$B12,'Pemetaan Variant'!$E$5:$E$32))/AVERAGEIF('Pemetaan Variant'!$A$5:$A$32,$B12,'Pemetaan Variant'!$E$5:$E$32)*100,"n/a"),"n/a")</f>
        <v>0</v>
      </c>
      <c r="AA12" s="4" t="n">
        <f aca="false">IFERROR(IF(ISNUMBER(Z12),$C12*Z12,"n/a"),"n/a")</f>
        <v>0</v>
      </c>
      <c r="AB12" s="13" t="n">
        <f aca="false">IFERROR(AVERAGEIF('Pemetaan Variant'!$A$5:$A$32,$B12,'Pemetaan Variant'!$X$5:$X$32),"n/a")</f>
        <v>13000</v>
      </c>
      <c r="AC12" s="14" t="n">
        <f aca="false">IFERROR(IF(ISNUMBER(AB12),(AB12-AVERAGEIF('Pemetaan Variant'!$A$5:$A$32,$B12,'Pemetaan Variant'!$E$5:$E$32))/AVERAGEIF('Pemetaan Variant'!$A$5:$A$32,$B12,'Pemetaan Variant'!$E$5:$E$32)*100,"n/a"),"n/a")</f>
        <v>0</v>
      </c>
      <c r="AD12" s="4" t="n">
        <f aca="false">IFERROR(IF(ISNUMBER(AC12),$C12*AC12,"n/a"),"n/a")</f>
        <v>0</v>
      </c>
      <c r="AE12" s="13" t="n">
        <f aca="false">IFERROR(AVERAGEIF('Pemetaan Variant'!$A$5:$A$32,$B12,'Pemetaan Variant'!$Y$5:$Y$32),"n/a")</f>
        <v>13000</v>
      </c>
      <c r="AF12" s="14" t="n">
        <f aca="false">IFERROR(IF(ISNUMBER(AE12),(AE12-AVERAGEIF('Pemetaan Variant'!$A$5:$A$32,$B12,'Pemetaan Variant'!$F$5:$F$32))/AVERAGEIF('Pemetaan Variant'!$A$5:$A$32,$B12,'Pemetaan Variant'!$F$5:$F$32)*100,"n/a"),"n/a")</f>
        <v>0</v>
      </c>
      <c r="AG12" s="4" t="n">
        <f aca="false">IFERROR(IF(ISNUMBER(AF12),$C12*AF12,"n/a"),"n/a")</f>
        <v>0</v>
      </c>
      <c r="AH12" s="13" t="n">
        <f aca="false">IFERROR(AVERAGEIF('Pemetaan Variant'!$A$5:$A$32,$B12,'Pemetaan Variant'!$Z$5:$Z$32),"n/a")</f>
        <v>13000</v>
      </c>
      <c r="AI12" s="14" t="n">
        <f aca="false">IFERROR(IF(ISNUMBER(AH12),(AH12-AVERAGEIF('Pemetaan Variant'!$A$5:$A$32,$B12,'Pemetaan Variant'!$F$5:$F$32))/AVERAGEIF('Pemetaan Variant'!$A$5:$A$32,$B12,'Pemetaan Variant'!$F$5:$F$32)*100,"n/a"),"n/a")</f>
        <v>0</v>
      </c>
      <c r="AJ12" s="4" t="n">
        <f aca="false">IFERROR(IF(ISNUMBER(AI12),$C12*AI12,"n/a"),"n/a")</f>
        <v>0</v>
      </c>
      <c r="AK12" s="13" t="n">
        <f aca="false">IFERROR(AVERAGEIF('Pemetaan Variant'!$A$5:$A$32,$B12,'Pemetaan Variant'!$AA$5:$AA$32),"n/a")</f>
        <v>13000</v>
      </c>
      <c r="AL12" s="14" t="n">
        <f aca="false">IFERROR(IF(ISNUMBER(AK12),(AK12-AVERAGEIF('Pemetaan Variant'!$A$5:$A$32,$B12,'Pemetaan Variant'!$F$5:$F$32))/AVERAGEIF('Pemetaan Variant'!$A$5:$A$32,$B12,'Pemetaan Variant'!$F$5:$F$32)*100,"n/a"),"n/a")</f>
        <v>0</v>
      </c>
      <c r="AM12" s="4" t="n">
        <f aca="false">IFERROR(IF(ISNUMBER(AL12),$C12*AL12,"n/a"),"n/a")</f>
        <v>0</v>
      </c>
      <c r="AN12" s="13" t="n">
        <f aca="false">IFERROR(AVERAGEIF('Pemetaan Variant'!$A$5:$A$32,$B12,'Pemetaan Variant'!$AB$5:$AB$32),"n/a")</f>
        <v>13000</v>
      </c>
      <c r="AO12" s="14" t="n">
        <f aca="false">IFERROR(IF(ISNUMBER(AN12),(AN12-AVERAGEIF('Pemetaan Variant'!$A$5:$A$32,$B12,'Pemetaan Variant'!$F$5:$F$32))/AVERAGEIF('Pemetaan Variant'!$A$5:$A$32,$B12,'Pemetaan Variant'!$F$5:$F$32)*100,"n/a"),"n/a")</f>
        <v>0</v>
      </c>
      <c r="AP12" s="4" t="n">
        <f aca="false">IFERROR(IF(ISNUMBER(AO12),$C12*AO12,"n/a"),"n/a")</f>
        <v>0</v>
      </c>
      <c r="AQ12" s="13" t="str">
        <f aca="false">IFERROR(AVERAGEIF('Pemetaan Variant'!$A$5:$A$32,$B12,'Pemetaan Variant'!$AC$5:$AC$32),"n/a")</f>
        <v>n/a</v>
      </c>
      <c r="AR12" s="14" t="str">
        <f aca="false">IFERROR(IF(ISNUMBER(AQ12),(AQ12-AVERAGEIF('Pemetaan Variant'!$A$5:$A$32,$B12,'Pemetaan Variant'!$F$5:$F$32))/AVERAGEIF('Pemetaan Variant'!$A$5:$A$32,$B12,'Pemetaan Variant'!$F$5:$F$32)*100,"n/a"),"n/a")</f>
        <v>n/a</v>
      </c>
      <c r="AS12" s="4" t="str">
        <f aca="false">IFERROR(IF(ISNUMBER(AR12),$C12*AR12,"n/a"),"n/a")</f>
        <v>n/a</v>
      </c>
      <c r="AT12" s="13" t="str">
        <f aca="false">IFERROR(AVERAGEIF('Pemetaan Variant'!$A$5:$A$32,$B12,'Pemetaan Variant'!$AD$5:$AD$32),"n/a")</f>
        <v>n/a</v>
      </c>
      <c r="AU12" s="14" t="str">
        <f aca="false">IFERROR(IF(ISNUMBER(AT12),(AT12-AVERAGEIF('Pemetaan Variant'!$A$5:$A$32,$B12,'Pemetaan Variant'!$G$5:$G$32))/AVERAGEIF('Pemetaan Variant'!$A$5:$A$32,$B12,'Pemetaan Variant'!$G$5:$G$32)*100,"n/a"),"n/a")</f>
        <v>n/a</v>
      </c>
      <c r="AV12" s="4" t="str">
        <f aca="false">IFERROR(IF(ISNUMBER(AU12),$C12*AU12,"n/a"),"n/a")</f>
        <v>n/a</v>
      </c>
      <c r="AW12" s="13" t="n">
        <f aca="false">IFERROR(AVERAGEIF('Pemetaan Variant'!$A$5:$A$32,$B12,'Pemetaan Variant'!$AE$5:$AE$32),"n/a")</f>
        <v>13000</v>
      </c>
      <c r="AX12" s="14" t="n">
        <f aca="false">IFERROR(IF(ISNUMBER(AW12),(AW12-AVERAGEIF('Pemetaan Variant'!$A$5:$A$32,$B12,'Pemetaan Variant'!$G$5:$G$32))/AVERAGEIF('Pemetaan Variant'!$A$5:$A$32,$B12,'Pemetaan Variant'!$G$5:$G$32)*100,"n/a"),"n/a")</f>
        <v>0</v>
      </c>
      <c r="AY12" s="4" t="n">
        <f aca="false">IFERROR(IF(ISNUMBER(AX12),$C12*AX12,"n/a"),"n/a")</f>
        <v>0</v>
      </c>
      <c r="AZ12" s="13" t="n">
        <f aca="false">IFERROR(AVERAGEIF('Pemetaan Variant'!$A$5:$A$32,$B12,'Pemetaan Variant'!$AF$5:$AF$32),"n/a")</f>
        <v>13000</v>
      </c>
      <c r="BA12" s="14" t="n">
        <f aca="false">IFERROR(IF(ISNUMBER(AZ12),(AZ12-AVERAGEIF('Pemetaan Variant'!$A$5:$A$32,$B12,'Pemetaan Variant'!$G$5:$G$32))/AVERAGEIF('Pemetaan Variant'!$A$5:$A$32,$B12,'Pemetaan Variant'!$G$5:$G$32)*100,"n/a"),"n/a")</f>
        <v>0</v>
      </c>
      <c r="BB12" s="4" t="n">
        <f aca="false">IFERROR(IF(ISNUMBER(BA12),$C12*BA12,"n/a"),"n/a")</f>
        <v>0</v>
      </c>
      <c r="BC12" s="13" t="n">
        <f aca="false">IFERROR(AVERAGEIF('Pemetaan Variant'!$A$5:$A$32,$B12,'Pemetaan Variant'!$AG$5:$AG$32),"n/a")</f>
        <v>12600</v>
      </c>
      <c r="BD12" s="14" t="n">
        <f aca="false">IFERROR(IF(ISNUMBER(BC12),(BC12-AVERAGEIF('Pemetaan Variant'!$A$5:$A$32,$B12,'Pemetaan Variant'!$G$5:$G$32))/AVERAGEIF('Pemetaan Variant'!$A$5:$A$32,$B12,'Pemetaan Variant'!$G$5:$G$32)*100,"n/a"),"n/a")</f>
        <v>-3.07692307692308</v>
      </c>
      <c r="BE12" s="4" t="n">
        <f aca="false">IFERROR(IF(ISNUMBER(BD12),$C12*BD12,"n/a"),"n/a")</f>
        <v>-0.12503560879393</v>
      </c>
      <c r="BF12" s="13" t="n">
        <f aca="false">IFERROR(AVERAGEIF('Pemetaan Variant'!$A$5:$A$32,$B12,'Pemetaan Variant'!$AH$5:$AH$32),"n/a")</f>
        <v>12000</v>
      </c>
      <c r="BG12" s="14" t="n">
        <f aca="false">IFERROR(IF(ISNUMBER(BF12),(BF12-AVERAGEIF('Pemetaan Variant'!$A$5:$A$32,$B12,'Pemetaan Variant'!$G$5:$G$32))/AVERAGEIF('Pemetaan Variant'!$A$5:$A$32,$B12,'Pemetaan Variant'!$G$5:$G$32)*100,"n/a"),"n/a")</f>
        <v>-7.69230769230769</v>
      </c>
      <c r="BH12" s="4" t="n">
        <f aca="false">IFERROR(IF(ISNUMBER(BG12),$C12*BG12,"n/a"),"n/a")</f>
        <v>-0.312589021984826</v>
      </c>
      <c r="BI12" s="13" t="n">
        <f aca="false">IFERROR(AVERAGEIF('Pemetaan Variant'!$A$5:$A$32,$B12,'Pemetaan Variant'!$AI$5:$AI$32),"n/a")</f>
        <v>12000</v>
      </c>
      <c r="BJ12" s="14" t="n">
        <f aca="false">IFERROR(IF(ISNUMBER(BI12),(BI12-AVERAGEIF('Pemetaan Variant'!$A$5:$A$32,$B12,'Pemetaan Variant'!$H$5:$H$32))/AVERAGEIF('Pemetaan Variant'!$A$5:$A$32,$B12,'Pemetaan Variant'!$H$5:$H$32)*100,"n/a"),"n/a")</f>
        <v>-5.41871921182266</v>
      </c>
      <c r="BK12" s="4" t="n">
        <f aca="false">IFERROR(IF(ISNUMBER(BJ12),$C12*BJ12,"n/a"),"n/a")</f>
        <v>-0.220198178048424</v>
      </c>
      <c r="BL12" s="13" t="n">
        <f aca="false">IFERROR(AVERAGEIF('Pemetaan Variant'!$A$5:$A$32,$B12,'Pemetaan Variant'!$AJ$5:$AJ$32),"n/a")</f>
        <v>12000</v>
      </c>
      <c r="BM12" s="14" t="n">
        <f aca="false">IFERROR(IF(ISNUMBER(BL12),(BL12-AVERAGEIF('Pemetaan Variant'!$A$5:$A$32,$B12,'Pemetaan Variant'!$H$5:$H$32))/AVERAGEIF('Pemetaan Variant'!$A$5:$A$32,$B12,'Pemetaan Variant'!$H$5:$H$32)*100,"n/a"),"n/a")</f>
        <v>-5.41871921182266</v>
      </c>
      <c r="BN12" s="4" t="n">
        <f aca="false">IFERROR(IF(ISNUMBER(BM12),$C12*BM12,"n/a"),"n/a")</f>
        <v>-0.220198178048424</v>
      </c>
      <c r="BO12" s="13" t="n">
        <f aca="false">IFERROR(AVERAGEIF('Pemetaan Variant'!$A$5:$A$32,$B12,'Pemetaan Variant'!$AK$5:$AK$32),"n/a")</f>
        <v>12000</v>
      </c>
      <c r="BP12" s="14" t="n">
        <f aca="false">IFERROR(IF(ISNUMBER(BO12),(BO12-AVERAGEIF('Pemetaan Variant'!$A$5:$A$32,$B12,'Pemetaan Variant'!$H$5:$H$32))/AVERAGEIF('Pemetaan Variant'!$A$5:$A$32,$B12,'Pemetaan Variant'!$H$5:$H$32)*100,"n/a"),"n/a")</f>
        <v>-5.41871921182266</v>
      </c>
      <c r="BQ12" s="4" t="n">
        <f aca="false">IFERROR(IF(ISNUMBER(BP12),$C12*BP12,"n/a"),"n/a")</f>
        <v>-0.220198178048424</v>
      </c>
      <c r="BR12" s="13" t="n">
        <f aca="false">IFERROR(AVERAGEIF('Pemetaan Variant'!$A$5:$A$32,$B12,'Pemetaan Variant'!$AL$5:$AL$32),"n/a")</f>
        <v>12000</v>
      </c>
      <c r="BS12" s="14" t="n">
        <f aca="false">IFERROR(IF(ISNUMBER(BR12),(BR12-AVERAGEIF('Pemetaan Variant'!$A$5:$A$32,$B12,'Pemetaan Variant'!$H$5:$H$32))/AVERAGEIF('Pemetaan Variant'!$A$5:$A$32,$B12,'Pemetaan Variant'!$H$5:$H$32)*100,"n/a"),"n/a")</f>
        <v>-5.41871921182266</v>
      </c>
      <c r="BT12" s="4" t="n">
        <f aca="false">IFERROR(IF(ISNUMBER(BS12),$C12*BS12,"n/a"),"n/a")</f>
        <v>-0.220198178048424</v>
      </c>
      <c r="BU12" s="13" t="n">
        <f aca="false">IFERROR(AVERAGEIF('Pemetaan Variant'!$A$5:$A$32,$B12,'Pemetaan Variant'!$AM$5:$AM$32),"n/a")</f>
        <v>12000</v>
      </c>
      <c r="BV12" s="14" t="n">
        <f aca="false">IFERROR(IF(ISNUMBER(BU12),(BU12-AVERAGEIF('Pemetaan Variant'!$A$5:$A$32,$B12,'Pemetaan Variant'!$H$5:$H$32))/AVERAGEIF('Pemetaan Variant'!$A$5:$A$32,$B12,'Pemetaan Variant'!$H$5:$H$32)*100,"n/a"),"n/a")</f>
        <v>-5.41871921182266</v>
      </c>
      <c r="BW12" s="4" t="n">
        <f aca="false">IFERROR(IF(ISNUMBER(BV12),$C12*BV12,"n/a"),"n/a")</f>
        <v>-0.220198178048424</v>
      </c>
      <c r="BX12" s="13" t="n">
        <f aca="false">IFERROR(AVERAGEIF('Pemetaan Variant'!$A$5:$A$32,$B12,'Pemetaan Variant'!$AN$5:$AN$32),"n/a")</f>
        <v>12000</v>
      </c>
      <c r="BY12" s="14" t="n">
        <f aca="false">IFERROR(IF(ISNUMBER(BX12),(BX12-AVERAGEIF('Pemetaan Variant'!$A$5:$A$32,$B12,'Pemetaan Variant'!$I$5:$I$32))/AVERAGEIF('Pemetaan Variant'!$A$5:$A$32,$B12,'Pemetaan Variant'!$I$5:$I$32)*100,"n/a"),"n/a")</f>
        <v>0</v>
      </c>
      <c r="BZ12" s="4" t="n">
        <f aca="false">IFERROR(IF(ISNUMBER(BY12),$C12*BY12,"n/a"),"n/a")</f>
        <v>0</v>
      </c>
      <c r="CA12" s="13" t="n">
        <f aca="false">IFERROR(AVERAGEIF('Pemetaan Variant'!$A$5:$A$32,$B12,'Pemetaan Variant'!$AO$5:$AO$32),"n/a")</f>
        <v>12000</v>
      </c>
      <c r="CB12" s="14" t="n">
        <f aca="false">IFERROR(IF(ISNUMBER(CA12),(CA12-AVERAGEIF('Pemetaan Variant'!$A$5:$A$32,$B12,'Pemetaan Variant'!$I$5:$I$32))/AVERAGEIF('Pemetaan Variant'!$A$5:$A$32,$B12,'Pemetaan Variant'!$I$5:$I$32)*100,"n/a"),"n/a")</f>
        <v>0</v>
      </c>
      <c r="CC12" s="4" t="n">
        <f aca="false">IFERROR(IF(ISNUMBER(CB12),$C12*CB12,"n/a"),"n/a")</f>
        <v>0</v>
      </c>
      <c r="CD12" s="13" t="n">
        <f aca="false">IFERROR(AVERAGEIF('Pemetaan Variant'!$A$5:$A$32,$B12,'Pemetaan Variant'!$AP$5:$AP$32),"n/a")</f>
        <v>12000</v>
      </c>
      <c r="CE12" s="14" t="n">
        <f aca="false">IFERROR(IF(ISNUMBER(CD12),(CD12-AVERAGEIF('Pemetaan Variant'!$A$5:$A$32,$B12,'Pemetaan Variant'!$I$5:$I$32))/AVERAGEIF('Pemetaan Variant'!$A$5:$A$32,$B12,'Pemetaan Variant'!$I$5:$I$32)*100,"n/a"),"n/a")</f>
        <v>0</v>
      </c>
      <c r="CF12" s="4" t="n">
        <f aca="false">IFERROR(IF(ISNUMBER(CE12),$C12*CE12,"n/a"),"n/a")</f>
        <v>0</v>
      </c>
      <c r="CG12" s="13" t="n">
        <f aca="false">IFERROR(AVERAGEIF('Pemetaan Variant'!$A$5:$A$32,$B12,'Pemetaan Variant'!$AQ$5:$AQ$32),"n/a")</f>
        <v>12000</v>
      </c>
      <c r="CH12" s="14" t="n">
        <f aca="false">IFERROR(IF(ISNUMBER(CG12),(CG12-AVERAGEIF('Pemetaan Variant'!$A$5:$A$32,$B12,'Pemetaan Variant'!$I$5:$I$32))/AVERAGEIF('Pemetaan Variant'!$A$5:$A$32,$B12,'Pemetaan Variant'!$I$5:$I$32)*100,"n/a"),"n/a")</f>
        <v>0</v>
      </c>
      <c r="CI12" s="4" t="n">
        <f aca="false">IFERROR(IF(ISNUMBER(CH12),$C12*CH12,"n/a"),"n/a")</f>
        <v>0</v>
      </c>
      <c r="CJ12" s="13" t="n">
        <f aca="false">IFERROR(AVERAGEIF('Pemetaan Variant'!$A$5:$A$32,$B12,'Pemetaan Variant'!$AR$5:$AR$32),"n/a")</f>
        <v>12000</v>
      </c>
      <c r="CK12" s="14" t="n">
        <f aca="false">IFERROR(IF(ISNUMBER(CJ12),(CJ12-AVERAGEIF('Pemetaan Variant'!$A$5:$A$32,$B12,'Pemetaan Variant'!$J$5:$J$32))/AVERAGEIF('Pemetaan Variant'!$A$5:$A$32,$B12,'Pemetaan Variant'!$J$5:$J$32)*100,"n/a"),"n/a")</f>
        <v>0</v>
      </c>
      <c r="CL12" s="4" t="n">
        <f aca="false">IFERROR(IF(ISNUMBER(CK12),$C12*CK12,"n/a"),"n/a")</f>
        <v>0</v>
      </c>
      <c r="CM12" s="13" t="n">
        <f aca="false">IFERROR(AVERAGEIF('Pemetaan Variant'!$A$5:$A$32,$B12,'Pemetaan Variant'!$AS$5:$AS$32),"n/a")</f>
        <v>12000</v>
      </c>
      <c r="CN12" s="14" t="n">
        <f aca="false">IFERROR(IF(ISNUMBER(CM12),(CM12-AVERAGEIF('Pemetaan Variant'!$A$5:$A$32,$B12,'Pemetaan Variant'!$J$5:$J$32))/AVERAGEIF('Pemetaan Variant'!$A$5:$A$32,$B12,'Pemetaan Variant'!$J$5:$J$32)*100,"n/a"),"n/a")</f>
        <v>0</v>
      </c>
      <c r="CO12" s="4" t="n">
        <f aca="false">IFERROR(IF(ISNUMBER(CN12),$C12*CN12,"n/a"),"n/a")</f>
        <v>0</v>
      </c>
      <c r="CP12" s="13" t="n">
        <f aca="false">IFERROR(AVERAGEIF('Pemetaan Variant'!$A$5:$A$32,$B12,'Pemetaan Variant'!$AT$5:$AT$32),"n/a")</f>
        <v>12000</v>
      </c>
      <c r="CQ12" s="14" t="n">
        <f aca="false">IFERROR(IF(ISNUMBER(CP12),(CP12-AVERAGEIF('Pemetaan Variant'!$A$5:$A$32,$B12,'Pemetaan Variant'!$J$5:$J$32))/AVERAGEIF('Pemetaan Variant'!$A$5:$A$32,$B12,'Pemetaan Variant'!$J$5:$J$32)*100,"n/a"),"n/a")</f>
        <v>0</v>
      </c>
      <c r="CR12" s="4" t="n">
        <f aca="false">IFERROR(IF(ISNUMBER(CQ12),$C12*CQ12,"n/a"),"n/a")</f>
        <v>0</v>
      </c>
      <c r="CS12" s="13" t="n">
        <f aca="false">IFERROR(AVERAGEIF('Pemetaan Variant'!$A$5:$A$32,$B12,'Pemetaan Variant'!$AU$5:$AU$32),"n/a")</f>
        <v>12000</v>
      </c>
      <c r="CT12" s="14" t="n">
        <f aca="false">IFERROR(IF(ISNUMBER(CS12),(CS12-AVERAGEIF('Pemetaan Variant'!$A$5:$A$32,$B12,'Pemetaan Variant'!$J$5:$J$32))/AVERAGEIF('Pemetaan Variant'!$A$5:$A$32,$B12,'Pemetaan Variant'!$J$5:$J$32)*100,"n/a"),"n/a")</f>
        <v>0</v>
      </c>
      <c r="CU12" s="4" t="n">
        <f aca="false">IFERROR(IF(ISNUMBER(CT12),$C12*CT12,"n/a"),"n/a")</f>
        <v>0</v>
      </c>
      <c r="CV12" s="13" t="n">
        <f aca="false">IFERROR(AVERAGEIF('Pemetaan Variant'!$A$5:$A$32,$B12,'Pemetaan Variant'!$AV$5:$AV$32),"n/a")</f>
        <v>12000</v>
      </c>
      <c r="CW12" s="14" t="n">
        <f aca="false">IFERROR(IF(ISNUMBER(CV12),(CV12-AVERAGEIF('Pemetaan Variant'!$A$5:$A$32,$B12,'Pemetaan Variant'!$J$5:$J$32))/AVERAGEIF('Pemetaan Variant'!$A$5:$A$32,$B12,'Pemetaan Variant'!$J$5:$J$32)*100,"n/a"),"n/a")</f>
        <v>0</v>
      </c>
      <c r="CX12" s="4" t="n">
        <f aca="false">IFERROR(IF(ISNUMBER(CW12),$C12*CW12,"n/a"),"n/a")</f>
        <v>0</v>
      </c>
      <c r="CY12" s="13" t="n">
        <f aca="false">IFERROR(AVERAGEIF('Pemetaan Variant'!$A$5:$A$32,$B12,'Pemetaan Variant'!$AW$5:$AW$32),"n/a")</f>
        <v>12000</v>
      </c>
      <c r="CZ12" s="14" t="n">
        <f aca="false">IFERROR(IF(ISNUMBER(CY12),(CY12-AVERAGEIF('Pemetaan Variant'!$A$5:$A$32,$B12,'Pemetaan Variant'!$K$5:$K$32))/AVERAGEIF('Pemetaan Variant'!$A$5:$A$32,$B12,'Pemetaan Variant'!$K$5:$K$32)*100,"n/a"),"n/a")</f>
        <v>0</v>
      </c>
      <c r="DA12" s="4" t="n">
        <f aca="false">IFERROR(IF(ISNUMBER(CZ12),$C12*CZ12,"n/a"),"n/a")</f>
        <v>0</v>
      </c>
      <c r="DB12" s="13" t="n">
        <f aca="false">IFERROR(AVERAGEIF('Pemetaan Variant'!$A$5:$A$32,$B12,'Pemetaan Variant'!$AX$5:$AX$32),"n/a")</f>
        <v>12000</v>
      </c>
      <c r="DC12" s="14" t="n">
        <f aca="false">IFERROR(IF(ISNUMBER(DB12),(DB12-AVERAGEIF('Pemetaan Variant'!$A$5:$A$32,$B12,'Pemetaan Variant'!$K$5:$K$32))/AVERAGEIF('Pemetaan Variant'!$A$5:$A$32,$B12,'Pemetaan Variant'!$K$5:$K$32)*100,"n/a"),"n/a")</f>
        <v>0</v>
      </c>
      <c r="DD12" s="4" t="n">
        <f aca="false">IFERROR(IF(ISNUMBER(DC12),$C12*DC12,"n/a"),"n/a")</f>
        <v>0</v>
      </c>
      <c r="DE12" s="13" t="n">
        <f aca="false">IFERROR(AVERAGEIF('Pemetaan Variant'!$A$5:$A$32,$B12,'Pemetaan Variant'!$AY$5:$AY$32),"n/a")</f>
        <v>12000</v>
      </c>
      <c r="DF12" s="14" t="n">
        <f aca="false">IFERROR(IF(ISNUMBER(DE12),(DE12-AVERAGEIF('Pemetaan Variant'!$A$5:$A$32,$B12,'Pemetaan Variant'!$K$5:$K$32))/AVERAGEIF('Pemetaan Variant'!$A$5:$A$32,$B12,'Pemetaan Variant'!$K$5:$K$32)*100,"n/a"),"n/a")</f>
        <v>0</v>
      </c>
      <c r="DG12" s="4" t="n">
        <f aca="false">IFERROR(IF(ISNUMBER(DF12),$C12*DF12,"n/a"),"n/a")</f>
        <v>0</v>
      </c>
      <c r="DH12" s="13" t="n">
        <f aca="false">IFERROR(AVERAGEIF('Pemetaan Variant'!$A$5:$A$32,$B12,'Pemetaan Variant'!$AZ$5:$AZ$32),"n/a")</f>
        <v>12000</v>
      </c>
      <c r="DI12" s="14" t="n">
        <f aca="false">IFERROR(IF(ISNUMBER(DH12),(DH12-AVERAGEIF('Pemetaan Variant'!$A$5:$A$32,$B12,'Pemetaan Variant'!$K$5:$K$32))/AVERAGEIF('Pemetaan Variant'!$A$5:$A$32,$B12,'Pemetaan Variant'!$K$5:$K$32)*100,"n/a"),"n/a")</f>
        <v>0</v>
      </c>
      <c r="DJ12" s="4" t="n">
        <f aca="false">IFERROR(IF(ISNUMBER(DI12),$C12*DI12,"n/a"),"n/a")</f>
        <v>0</v>
      </c>
      <c r="DK12" s="13" t="n">
        <f aca="false">IFERROR(AVERAGEIF('Pemetaan Variant'!$A$5:$A$32,$B12,'Pemetaan Variant'!$BA$5:$BA$32),"n/a")</f>
        <v>12000</v>
      </c>
      <c r="DL12" s="14" t="n">
        <f aca="false">IFERROR(IF(ISNUMBER(DK12),(DK12-AVERAGEIF('Pemetaan Variant'!$A$5:$A$32,$B12,'Pemetaan Variant'!$L$5:$L$32))/AVERAGEIF('Pemetaan Variant'!$A$5:$A$32,$B12,'Pemetaan Variant'!$L$5:$L$32)*100,"n/a"),"n/a")</f>
        <v>0</v>
      </c>
      <c r="DM12" s="4" t="n">
        <f aca="false">IFERROR(IF(ISNUMBER(DL12),$C12*DL12,"n/a"),"n/a")</f>
        <v>0</v>
      </c>
      <c r="DN12" s="13" t="n">
        <f aca="false">IFERROR(AVERAGEIF('Pemetaan Variant'!$A$5:$A$32,$B12,'Pemetaan Variant'!$BB$5:$BB$32),"n/a")</f>
        <v>12000</v>
      </c>
      <c r="DO12" s="14" t="n">
        <f aca="false">IFERROR(IF(ISNUMBER(DN12),(DN12-AVERAGEIF('Pemetaan Variant'!$A$5:$A$32,$B12,'Pemetaan Variant'!$L$5:$L$32))/AVERAGEIF('Pemetaan Variant'!$A$5:$A$32,$B12,'Pemetaan Variant'!$L$5:$L$32)*100,"n/a"),"n/a")</f>
        <v>0</v>
      </c>
      <c r="DP12" s="4" t="n">
        <f aca="false">IFERROR(IF(ISNUMBER(DO12),$C12*DO12,"n/a"),"n/a")</f>
        <v>0</v>
      </c>
      <c r="DQ12" s="13" t="n">
        <f aca="false">IFERROR(AVERAGEIF('Pemetaan Variant'!$A$5:$A$32,$B12,'Pemetaan Variant'!$BC$5:$BC$32),"n/a")</f>
        <v>12000</v>
      </c>
      <c r="DR12" s="14" t="n">
        <f aca="false">IFERROR(IF(ISNUMBER(DQ12),(DQ12-AVERAGEIF('Pemetaan Variant'!$A$5:$A$32,$B12,'Pemetaan Variant'!$L$5:$L$32))/AVERAGEIF('Pemetaan Variant'!$A$5:$A$32,$B12,'Pemetaan Variant'!$L$5:$L$32)*100,"n/a"),"n/a")</f>
        <v>0</v>
      </c>
      <c r="DS12" s="4" t="n">
        <f aca="false">IFERROR(IF(ISNUMBER(DR12),$C12*DR12,"n/a"),"n/a")</f>
        <v>0</v>
      </c>
      <c r="DT12" s="13" t="n">
        <f aca="false">IFERROR(AVERAGEIF('Pemetaan Variant'!$A$5:$A$32,$B12,'Pemetaan Variant'!$BD$5:$BD$32),"n/a")</f>
        <v>12000</v>
      </c>
      <c r="DU12" s="14" t="n">
        <f aca="false">IFERROR(IF(ISNUMBER(DT12),(DT12-AVERAGEIF('Pemetaan Variant'!$A$5:$A$32,$B12,'Pemetaan Variant'!$L$5:$L$32))/AVERAGEIF('Pemetaan Variant'!$A$5:$A$32,$B12,'Pemetaan Variant'!$L$5:$L$32)*100,"n/a"),"n/a")</f>
        <v>0</v>
      </c>
      <c r="DV12" s="4" t="n">
        <f aca="false">IFERROR(IF(ISNUMBER(DU12),$C12*DU12,"n/a"),"n/a")</f>
        <v>0</v>
      </c>
      <c r="DW12" s="13" t="n">
        <f aca="false">IFERROR(AVERAGEIF('Pemetaan Variant'!$A$5:$A$32,$B12,'Pemetaan Variant'!$BE$5:$BE$32),"n/a")</f>
        <v>12000</v>
      </c>
      <c r="DX12" s="14" t="n">
        <f aca="false">IFERROR(IF(ISNUMBER(DW12),(DW12-AVERAGEIF('Pemetaan Variant'!$A$5:$A$32,$B12,'Pemetaan Variant'!$M$5:$M$32))/AVERAGEIF('Pemetaan Variant'!$A$5:$A$32,$B12,'Pemetaan Variant'!$M$5:$M$32)*100,"n/a"),"n/a")</f>
        <v>0</v>
      </c>
      <c r="DY12" s="4" t="n">
        <f aca="false">IFERROR(IF(ISNUMBER(DX12),$C12*DX12,"n/a"),"n/a")</f>
        <v>0</v>
      </c>
      <c r="DZ12" s="13" t="n">
        <f aca="false">IFERROR(AVERAGEIF('Pemetaan Variant'!$A$5:$A$32,$B12,'Pemetaan Variant'!$BF$5:$BF$32),"n/a")</f>
        <v>12000</v>
      </c>
      <c r="EA12" s="14" t="n">
        <f aca="false">IFERROR(IF(ISNUMBER(DZ12),(DZ12-AVERAGEIF('Pemetaan Variant'!$A$5:$A$32,$B12,'Pemetaan Variant'!$M$5:$M$32))/AVERAGEIF('Pemetaan Variant'!$A$5:$A$32,$B12,'Pemetaan Variant'!$M$5:$M$32)*100,"n/a"),"n/a")</f>
        <v>0</v>
      </c>
      <c r="EB12" s="4" t="n">
        <f aca="false">IFERROR(IF(ISNUMBER(EA12),$C12*EA12,"n/a"),"n/a")</f>
        <v>0</v>
      </c>
      <c r="EC12" s="13" t="n">
        <f aca="false">IFERROR(AVERAGEIF('Pemetaan Variant'!$A$5:$A$32,$B12,'Pemetaan Variant'!$BG$5:$BG$32),"n/a")</f>
        <v>12000</v>
      </c>
      <c r="ED12" s="14" t="n">
        <f aca="false">IFERROR(IF(ISNUMBER(EC12),(EC12-AVERAGEIF('Pemetaan Variant'!$A$5:$A$32,$B12,'Pemetaan Variant'!$M$5:$M$32))/AVERAGEIF('Pemetaan Variant'!$A$5:$A$32,$B12,'Pemetaan Variant'!$M$5:$M$32)*100,"n/a"),"n/a")</f>
        <v>0</v>
      </c>
      <c r="EE12" s="4" t="n">
        <f aca="false">IFERROR(IF(ISNUMBER(ED12),$C12*ED12,"n/a"),"n/a")</f>
        <v>0</v>
      </c>
      <c r="EF12" s="13" t="n">
        <f aca="false">IFERROR(AVERAGEIF('Pemetaan Variant'!$A$5:$A$32,$B12,'Pemetaan Variant'!$BH$5:$BH$32),"n/a")</f>
        <v>12000</v>
      </c>
      <c r="EG12" s="14" t="n">
        <f aca="false">IFERROR(IF(ISNUMBER(EF12),(EF12-AVERAGEIF('Pemetaan Variant'!$A$5:$A$32,$B12,'Pemetaan Variant'!$M$5:$M$32))/AVERAGEIF('Pemetaan Variant'!$A$5:$A$32,$B12,'Pemetaan Variant'!$M$5:$M$32)*100,"n/a"),"n/a")</f>
        <v>0</v>
      </c>
      <c r="EH12" s="4" t="n">
        <f aca="false">IFERROR(IF(ISNUMBER(EG12),$C12*EG12,"n/a"),"n/a")</f>
        <v>0</v>
      </c>
      <c r="EI12" s="13" t="n">
        <f aca="false">IFERROR(AVERAGEIF('Pemetaan Variant'!$A$5:$A$32,$B12,'Pemetaan Variant'!$BI$5:$BI$32),"n/a")</f>
        <v>12000</v>
      </c>
      <c r="EJ12" s="14" t="n">
        <f aca="false">IFERROR(IF(ISNUMBER(EI12),(EI12-AVERAGEIF('Pemetaan Variant'!$A$5:$A$32,$B12,'Pemetaan Variant'!$M$5:$M$32))/AVERAGEIF('Pemetaan Variant'!$A$5:$A$32,$B12,'Pemetaan Variant'!$M$5:$M$32)*100,"n/a"),"n/a")</f>
        <v>0</v>
      </c>
      <c r="EK12" s="4" t="n">
        <f aca="false">IFERROR(IF(ISNUMBER(EJ12),$C12*EJ12,"n/a"),"n/a")</f>
        <v>0</v>
      </c>
      <c r="EL12" s="13" t="n">
        <f aca="false">IFERROR(AVERAGEIF('Pemetaan Variant'!$A$5:$A$32,$B12,'Pemetaan Variant'!$BJ$5:$BJ$32),"n/a")</f>
        <v>12000</v>
      </c>
      <c r="EM12" s="14" t="n">
        <f aca="false">IFERROR(IF(ISNUMBER(EL12),(EL12-AVERAGEIF('Pemetaan Variant'!$A$5:$A$32,$B12,'Pemetaan Variant'!$N$5:$N$32))/AVERAGEIF('Pemetaan Variant'!$A$5:$A$32,$B12,'Pemetaan Variant'!$N$5:$N$32)*100,"n/a"),"n/a")</f>
        <v>0</v>
      </c>
      <c r="EN12" s="4" t="n">
        <f aca="false">IFERROR(IF(ISNUMBER(EM12),$C12*EM12,"n/a"),"n/a")</f>
        <v>0</v>
      </c>
      <c r="EO12" s="13" t="n">
        <f aca="false">IFERROR(AVERAGEIF('Pemetaan Variant'!$A$5:$A$32,$B12,'Pemetaan Variant'!$BK$5:$BK$32),"n/a")</f>
        <v>12000</v>
      </c>
      <c r="EP12" s="14" t="n">
        <f aca="false">IFERROR(IF(ISNUMBER(EO12),(EO12-AVERAGEIF('Pemetaan Variant'!$A$5:$A$32,$B12,'Pemetaan Variant'!$N$5:$N$32))/AVERAGEIF('Pemetaan Variant'!$A$5:$A$32,$B12,'Pemetaan Variant'!$N$5:$N$32)*100,"n/a"),"n/a")</f>
        <v>0</v>
      </c>
      <c r="EQ12" s="4" t="n">
        <f aca="false">IFERROR(IF(ISNUMBER(EP12),$C12*EP12,"n/a"),"n/a")</f>
        <v>0</v>
      </c>
      <c r="ER12" s="13" t="n">
        <f aca="false">IFERROR(AVERAGEIF('Pemetaan Variant'!$A$5:$A$32,$B12,'Pemetaan Variant'!$BL$5:$BL$32),"n/a")</f>
        <v>11600</v>
      </c>
      <c r="ES12" s="14" t="n">
        <f aca="false">IFERROR(IF(ISNUMBER(ER12),(ER12-AVERAGEIF('Pemetaan Variant'!$A$5:$A$32,$B12,'Pemetaan Variant'!$N$5:$N$32))/AVERAGEIF('Pemetaan Variant'!$A$5:$A$32,$B12,'Pemetaan Variant'!$N$5:$N$32)*100,"n/a"),"n/a")</f>
        <v>-3.33333333333333</v>
      </c>
      <c r="ET12" s="4" t="n">
        <f aca="false">IFERROR(IF(ISNUMBER(ES12),$C12*ES12,"n/a"),"n/a")</f>
        <v>-0.135455242860091</v>
      </c>
      <c r="EU12" s="13" t="n">
        <f aca="false">IFERROR(AVERAGEIF('Pemetaan Variant'!$A$5:$A$32,$B12,'Pemetaan Variant'!$BM$5:$BM$32),"n/a")</f>
        <v>11800</v>
      </c>
      <c r="EV12" s="14" t="n">
        <f aca="false">IFERROR(IF(ISNUMBER(EU12),(EU12-AVERAGEIF('Pemetaan Variant'!$A$5:$A$32,$B12,'Pemetaan Variant'!$N$5:$N$32))/AVERAGEIF('Pemetaan Variant'!$A$5:$A$32,$B12,'Pemetaan Variant'!$N$5:$N$32)*100,"n/a"),"n/a")</f>
        <v>-1.66666666666667</v>
      </c>
      <c r="EW12" s="4" t="n">
        <f aca="false">IFERROR(IF(ISNUMBER(EV12),$C12*EV12,"n/a"),"n/a")</f>
        <v>-0.0677276214300457</v>
      </c>
      <c r="EX12" s="13" t="n">
        <f aca="false">IFERROR(AVERAGEIF('Pemetaan Variant'!$A$5:$A$32,$B12,'Pemetaan Variant'!$BN$5:$BN$32),"n/a")</f>
        <v>12000</v>
      </c>
      <c r="EY12" s="14" t="n">
        <f aca="false">IFERROR(IF(ISNUMBER(EX12),(EX12-AVERAGEIF('Pemetaan Variant'!$A$5:$A$32,$B12,'Pemetaan Variant'!$O$5:$O$32))/AVERAGEIF('Pemetaan Variant'!$A$5:$A$32,$B12,'Pemetaan Variant'!$O$5:$O$32)*100,"n/a"),"n/a")</f>
        <v>1.26582278481013</v>
      </c>
      <c r="EZ12" s="4" t="n">
        <f aca="false">IFERROR(IF(ISNUMBER(EY12),$C12*EY12,"n/a"),"n/a")</f>
        <v>0.0514386998202879</v>
      </c>
      <c r="FA12" s="13" t="n">
        <f aca="false">IFERROR(AVERAGEIF('Pemetaan Variant'!$A$5:$A$32,$B12,'Pemetaan Variant'!$BO$5:$BO$32),"n/a")</f>
        <v>11600</v>
      </c>
      <c r="FB12" s="14" t="n">
        <f aca="false">IFERROR(IF(ISNUMBER(FA12),(FA12-AVERAGEIF('Pemetaan Variant'!$A$5:$A$32,$B12,'Pemetaan Variant'!$O$5:$O$32))/AVERAGEIF('Pemetaan Variant'!$A$5:$A$32,$B12,'Pemetaan Variant'!$O$5:$O$32)*100,"n/a"),"n/a")</f>
        <v>-2.10970464135021</v>
      </c>
      <c r="FC12" s="4" t="n">
        <f aca="false">IFERROR(IF(ISNUMBER(FB12),$C12*FB12,"n/a"),"n/a")</f>
        <v>-0.0857311663671464</v>
      </c>
      <c r="FD12" s="13" t="n">
        <f aca="false">IFERROR(AVERAGEIF('Pemetaan Variant'!$A$5:$A$32,$B12,'Pemetaan Variant'!$BP$5:$BP$32),"n/a")</f>
        <v>11000</v>
      </c>
      <c r="FE12" s="14" t="n">
        <f aca="false">IFERROR(IF(ISNUMBER(FD12),(FD12-AVERAGEIF('Pemetaan Variant'!$A$5:$A$32,$B12,'Pemetaan Variant'!$O$5:$O$32))/AVERAGEIF('Pemetaan Variant'!$A$5:$A$32,$B12,'Pemetaan Variant'!$O$5:$O$32)*100,"n/a"),"n/a")</f>
        <v>-7.17299578059072</v>
      </c>
      <c r="FF12" s="4" t="n">
        <f aca="false">IFERROR(IF(ISNUMBER(FE12),$C12*FE12,"n/a"),"n/a")</f>
        <v>-0.291485965648298</v>
      </c>
      <c r="FG12" s="13" t="n">
        <f aca="false">IFERROR(AVERAGEIF('Pemetaan Variant'!$A$5:$A$32,$B12,'Pemetaan Variant'!$BQ$5:$BQ$32),"n/a")</f>
        <v>11000</v>
      </c>
      <c r="FH12" s="14" t="n">
        <f aca="false">IFERROR(IF(ISNUMBER(FG12),(FG12-AVERAGEIF('Pemetaan Variant'!$A$5:$A$32,$B12,'Pemetaan Variant'!$O$5:$O$32))/AVERAGEIF('Pemetaan Variant'!$A$5:$A$32,$B12,'Pemetaan Variant'!$O$5:$O$32)*100,"n/a"),"n/a")</f>
        <v>-7.17299578059072</v>
      </c>
      <c r="FI12" s="4" t="n">
        <f aca="false">IFERROR(IF(ISNUMBER(FH12),$C12*FH12,"n/a"),"n/a")</f>
        <v>-0.291485965648298</v>
      </c>
      <c r="FJ12" s="13" t="n">
        <f aca="false">IFERROR(AVERAGEIF('Pemetaan Variant'!$A$5:$A$32,$B12,'Pemetaan Variant'!$BR$5:$BR$32),"n/a")</f>
        <v>11000</v>
      </c>
      <c r="FK12" s="14" t="n">
        <f aca="false">IFERROR(IF(ISNUMBER(FJ12),(FJ12-AVERAGEIF('Pemetaan Variant'!$A$5:$A$32,$B12,'Pemetaan Variant'!$O$5:$O$32))/AVERAGEIF('Pemetaan Variant'!$A$5:$A$32,$B12,'Pemetaan Variant'!$O$5:$O$32)*100,"n/a"),"n/a")</f>
        <v>-7.17299578059072</v>
      </c>
      <c r="FL12" s="4" t="n">
        <f aca="false">IFERROR(IF(ISNUMBER(FK12),$C12*FK12,"n/a"),"n/a")</f>
        <v>-0.291485965648298</v>
      </c>
      <c r="FM12" s="15" t="s">
        <v>242</v>
      </c>
      <c r="FO12" s="11" t="n">
        <f aca="false">IFERROR(ABS(F12),0)</f>
        <v>0</v>
      </c>
      <c r="FP12" s="11" t="n">
        <f aca="false">IFERROR(ABS(I12),0)</f>
        <v>0</v>
      </c>
      <c r="FQ12" s="11" t="n">
        <f aca="false">IFERROR(ABS(L12),0)</f>
        <v>0</v>
      </c>
      <c r="FR12" s="11" t="n">
        <f aca="false">IFERROR(ABS(O12),0)</f>
        <v>0</v>
      </c>
      <c r="FS12" s="11" t="n">
        <f aca="false">IFERROR(ABS(R12),0)</f>
        <v>0</v>
      </c>
      <c r="FT12" s="11" t="n">
        <f aca="false">IFERROR(ABS(U12),0)</f>
        <v>0</v>
      </c>
      <c r="FU12" s="11" t="n">
        <f aca="false">IFERROR(ABS(X12),0)</f>
        <v>0</v>
      </c>
      <c r="FV12" s="11" t="n">
        <f aca="false">IFERROR(ABS(AA12),0)</f>
        <v>0</v>
      </c>
      <c r="FW12" s="11" t="n">
        <f aca="false">IFERROR(ABS(AD12),0)</f>
        <v>0</v>
      </c>
      <c r="FX12" s="11" t="n">
        <f aca="false">IFERROR(ABS(AG12),0)</f>
        <v>0</v>
      </c>
      <c r="FY12" s="11" t="n">
        <f aca="false">IFERROR(ABS(AJ12),0)</f>
        <v>0</v>
      </c>
      <c r="FZ12" s="11" t="n">
        <f aca="false">IFERROR(ABS(AM12),0)</f>
        <v>0</v>
      </c>
      <c r="GA12" s="11" t="n">
        <f aca="false">IFERROR(ABS(AP12),0)</f>
        <v>0</v>
      </c>
      <c r="GB12" s="11" t="n">
        <f aca="false">IFERROR(ABS(AS12),0)</f>
        <v>0</v>
      </c>
      <c r="GC12" s="11" t="n">
        <f aca="false">IFERROR(ABS(AV12),0)</f>
        <v>0</v>
      </c>
      <c r="GD12" s="11" t="n">
        <f aca="false">IFERROR(ABS(AY12),0)</f>
        <v>0</v>
      </c>
      <c r="GE12" s="11" t="n">
        <f aca="false">IFERROR(ABS(BB12),0)</f>
        <v>0</v>
      </c>
      <c r="GF12" s="11" t="n">
        <f aca="false">IFERROR(ABS(BE12),0)</f>
        <v>0.12503560879393</v>
      </c>
      <c r="GG12" s="11" t="n">
        <f aca="false">IFERROR(ABS(BH12),0)</f>
        <v>0.312589021984826</v>
      </c>
      <c r="GH12" s="11" t="n">
        <f aca="false">IFERROR(ABS(BK12),0)</f>
        <v>0.220198178048424</v>
      </c>
      <c r="GI12" s="11" t="n">
        <f aca="false">IFERROR(ABS(BN12),0)</f>
        <v>0.220198178048424</v>
      </c>
      <c r="GJ12" s="11" t="n">
        <f aca="false">IFERROR(ABS(BQ12),0)</f>
        <v>0.220198178048424</v>
      </c>
      <c r="GK12" s="11" t="n">
        <f aca="false">IFERROR(ABS(BT12),0)</f>
        <v>0.220198178048424</v>
      </c>
      <c r="GL12" s="11" t="n">
        <f aca="false">IFERROR(ABS(BW12),0)</f>
        <v>0.220198178048424</v>
      </c>
      <c r="GM12" s="11" t="n">
        <f aca="false">IFERROR(ABS(BZ12),0)</f>
        <v>0</v>
      </c>
      <c r="GN12" s="11" t="n">
        <f aca="false">IFERROR(ABS(CC12),0)</f>
        <v>0</v>
      </c>
      <c r="GO12" s="11" t="n">
        <f aca="false">IFERROR(ABS(CF12),0)</f>
        <v>0</v>
      </c>
      <c r="GP12" s="11" t="n">
        <f aca="false">IFERROR(ABS(CI12),0)</f>
        <v>0</v>
      </c>
      <c r="GQ12" s="11" t="n">
        <f aca="false">IFERROR(ABS(CL12),0)</f>
        <v>0</v>
      </c>
      <c r="GR12" s="11" t="n">
        <f aca="false">IFERROR(ABS(CO12),0)</f>
        <v>0</v>
      </c>
      <c r="GS12" s="11" t="n">
        <f aca="false">IFERROR(ABS(CR12),0)</f>
        <v>0</v>
      </c>
      <c r="GT12" s="11" t="n">
        <f aca="false">IFERROR(ABS(CU12),0)</f>
        <v>0</v>
      </c>
      <c r="GU12" s="11" t="n">
        <f aca="false">IFERROR(ABS(CX12),0)</f>
        <v>0</v>
      </c>
      <c r="GV12" s="11" t="n">
        <f aca="false">IFERROR(ABS(DA12),0)</f>
        <v>0</v>
      </c>
      <c r="GW12" s="11" t="n">
        <f aca="false">IFERROR(ABS(DD12),0)</f>
        <v>0</v>
      </c>
      <c r="GX12" s="11" t="n">
        <f aca="false">IFERROR(ABS(DG12),0)</f>
        <v>0</v>
      </c>
      <c r="GY12" s="11" t="n">
        <f aca="false">IFERROR(ABS(DJ12),0)</f>
        <v>0</v>
      </c>
      <c r="GZ12" s="11" t="n">
        <f aca="false">IFERROR(ABS(DM12),0)</f>
        <v>0</v>
      </c>
      <c r="HA12" s="11" t="n">
        <f aca="false">IFERROR(ABS(DP12),0)</f>
        <v>0</v>
      </c>
      <c r="HB12" s="11" t="n">
        <f aca="false">IFERROR(ABS(DS12),0)</f>
        <v>0</v>
      </c>
      <c r="HC12" s="11" t="n">
        <f aca="false">IFERROR(ABS(DV12),0)</f>
        <v>0</v>
      </c>
      <c r="HD12" s="11" t="n">
        <f aca="false">IFERROR(ABS(DY12),0)</f>
        <v>0</v>
      </c>
      <c r="HE12" s="11" t="n">
        <f aca="false">IFERROR(ABS(EB12),0)</f>
        <v>0</v>
      </c>
      <c r="HF12" s="11" t="n">
        <f aca="false">IFERROR(ABS(EE12),0)</f>
        <v>0</v>
      </c>
      <c r="HG12" s="11" t="n">
        <f aca="false">IFERROR(ABS(EH12),0)</f>
        <v>0</v>
      </c>
      <c r="HH12" s="11" t="n">
        <f aca="false">IFERROR(ABS(EK12),0)</f>
        <v>0</v>
      </c>
      <c r="HI12" s="11" t="n">
        <f aca="false">IFERROR(ABS(EN12),0)</f>
        <v>0</v>
      </c>
      <c r="HJ12" s="11" t="n">
        <f aca="false">IFERROR(ABS(EQ12),0)</f>
        <v>0</v>
      </c>
      <c r="HK12" s="11" t="n">
        <f aca="false">IFERROR(ABS(ET12),0)</f>
        <v>0.135455242860091</v>
      </c>
      <c r="HL12" s="11" t="n">
        <f aca="false">IFERROR(ABS(EW12),0)</f>
        <v>0.0677276214300457</v>
      </c>
      <c r="HM12" s="11" t="n">
        <f aca="false">IFERROR(ABS(EZ12),0)</f>
        <v>0.0514386998202879</v>
      </c>
      <c r="HN12" s="11" t="n">
        <f aca="false">IFERROR(ABS(FC12),0)</f>
        <v>0.0857311663671464</v>
      </c>
      <c r="HO12" s="11" t="n">
        <f aca="false">IFERROR(ABS(FF12),0)</f>
        <v>0.291485965648298</v>
      </c>
      <c r="HP12" s="11" t="n">
        <f aca="false">IFERROR(ABS(FI12),0)</f>
        <v>0.291485965648298</v>
      </c>
      <c r="HQ12" s="11" t="n">
        <f aca="false">IFERROR(ABS(FL12),0)</f>
        <v>0.291485965648298</v>
      </c>
    </row>
    <row r="13" customFormat="false" ht="15" hidden="false" customHeight="false" outlineLevel="0" collapsed="false">
      <c r="A13" s="3" t="n">
        <v>8</v>
      </c>
      <c r="B13" s="3" t="s">
        <v>243</v>
      </c>
      <c r="C13" s="12" t="n">
        <f aca="false">'P0Q0 Dasar 2022'!F12</f>
        <v>0.0177017323628706</v>
      </c>
      <c r="D13" s="13" t="n">
        <f aca="false">IFERROR(AVERAGEIF('Pemetaan Variant'!$A$5:$A$32,$B13,'Pemetaan Variant'!$P$5:$P$32),"n/a")</f>
        <v>45000</v>
      </c>
      <c r="E13" s="14" t="n">
        <f aca="false">IFERROR(IF(ISNUMBER(D13),(D13-AVERAGEIF('Pemetaan Variant'!$A$5:$A$32,$B13,'Pemetaan Variant'!$D$5:$D$32))/AVERAGEIF('Pemetaan Variant'!$A$5:$A$32,$B13,'Pemetaan Variant'!$D$5:$D$32)*100,"n/a"),"n/a")</f>
        <v>44.3850267379679</v>
      </c>
      <c r="F13" s="4" t="n">
        <f aca="false">IFERROR(IF(ISNUMBER(E13),$C13*E13,"n/a"),"n/a")</f>
        <v>0.785691864234363</v>
      </c>
      <c r="G13" s="13" t="n">
        <f aca="false">IFERROR(AVERAGEIF('Pemetaan Variant'!$A$5:$A$32,$B13,'Pemetaan Variant'!$Q$5:$Q$32),"n/a")</f>
        <v>47000</v>
      </c>
      <c r="H13" s="14" t="n">
        <f aca="false">IFERROR(IF(ISNUMBER(G13),(G13-AVERAGEIF('Pemetaan Variant'!$A$5:$A$32,$B13,'Pemetaan Variant'!$D$5:$D$32))/AVERAGEIF('Pemetaan Variant'!$A$5:$A$32,$B13,'Pemetaan Variant'!$D$5:$D$32)*100,"n/a"),"n/a")</f>
        <v>50.8021390374332</v>
      </c>
      <c r="I13" s="4" t="n">
        <f aca="false">IFERROR(IF(ISNUMBER(H13),$C13*H13,"n/a"),"n/a")</f>
        <v>0.899285868701982</v>
      </c>
      <c r="J13" s="13" t="n">
        <f aca="false">IFERROR(AVERAGEIF('Pemetaan Variant'!$A$5:$A$32,$B13,'Pemetaan Variant'!$R$5:$R$32),"n/a")</f>
        <v>46600</v>
      </c>
      <c r="K13" s="14" t="n">
        <f aca="false">IFERROR(IF(ISNUMBER(J13),(J13-AVERAGEIF('Pemetaan Variant'!$A$5:$A$32,$B13,'Pemetaan Variant'!$D$5:$D$32))/AVERAGEIF('Pemetaan Variant'!$A$5:$A$32,$B13,'Pemetaan Variant'!$D$5:$D$32)*100,"n/a"),"n/a")</f>
        <v>49.5187165775401</v>
      </c>
      <c r="L13" s="4" t="n">
        <f aca="false">IFERROR(IF(ISNUMBER(K13),$C13*K13,"n/a"),"n/a")</f>
        <v>0.876567067808459</v>
      </c>
      <c r="M13" s="13" t="n">
        <f aca="false">IFERROR(AVERAGEIF('Pemetaan Variant'!$A$5:$A$32,$B13,'Pemetaan Variant'!$S$5:$S$32),"n/a")</f>
        <v>45100</v>
      </c>
      <c r="N13" s="14" t="n">
        <f aca="false">IFERROR(IF(ISNUMBER(M13),(M13-AVERAGEIF('Pemetaan Variant'!$A$5:$A$32,$B13,'Pemetaan Variant'!$D$5:$D$32))/AVERAGEIF('Pemetaan Variant'!$A$5:$A$32,$B13,'Pemetaan Variant'!$D$5:$D$32)*100,"n/a"),"n/a")</f>
        <v>44.7058823529412</v>
      </c>
      <c r="O13" s="4" t="n">
        <f aca="false">IFERROR(IF(ISNUMBER(N13),$C13*N13,"n/a"),"n/a")</f>
        <v>0.791371564457744</v>
      </c>
      <c r="P13" s="13" t="n">
        <f aca="false">IFERROR(AVERAGEIF('Pemetaan Variant'!$A$5:$A$32,$B13,'Pemetaan Variant'!$T$5:$T$32),"n/a")</f>
        <v>47000</v>
      </c>
      <c r="Q13" s="14" t="n">
        <f aca="false">IFERROR(IF(ISNUMBER(P13),(P13-AVERAGEIF('Pemetaan Variant'!$A$5:$A$32,$B13,'Pemetaan Variant'!$D$5:$D$32))/AVERAGEIF('Pemetaan Variant'!$A$5:$A$32,$B13,'Pemetaan Variant'!$D$5:$D$32)*100,"n/a"),"n/a")</f>
        <v>50.8021390374332</v>
      </c>
      <c r="R13" s="4" t="n">
        <f aca="false">IFERROR(IF(ISNUMBER(Q13),$C13*Q13,"n/a"),"n/a")</f>
        <v>0.899285868701982</v>
      </c>
      <c r="S13" s="13" t="n">
        <f aca="false">IFERROR(AVERAGEIF('Pemetaan Variant'!$A$5:$A$32,$B13,'Pemetaan Variant'!$U$5:$U$32),"n/a")</f>
        <v>47000</v>
      </c>
      <c r="T13" s="14" t="n">
        <f aca="false">IFERROR(IF(ISNUMBER(S13),(S13-AVERAGEIF('Pemetaan Variant'!$A$5:$A$32,$B13,'Pemetaan Variant'!$E$5:$E$32))/AVERAGEIF('Pemetaan Variant'!$A$5:$A$32,$B13,'Pemetaan Variant'!$E$5:$E$32)*100,"n/a"),"n/a")</f>
        <v>1.76638176638177</v>
      </c>
      <c r="U13" s="4" t="n">
        <f aca="false">IFERROR(IF(ISNUMBER(T13),$C13*T13,"n/a"),"n/a")</f>
        <v>0.0312680172791448</v>
      </c>
      <c r="V13" s="13" t="n">
        <f aca="false">IFERROR(AVERAGEIF('Pemetaan Variant'!$A$5:$A$32,$B13,'Pemetaan Variant'!$V$5:$V$32),"n/a")</f>
        <v>47000</v>
      </c>
      <c r="W13" s="14" t="n">
        <f aca="false">IFERROR(IF(ISNUMBER(V13),(V13-AVERAGEIF('Pemetaan Variant'!$A$5:$A$32,$B13,'Pemetaan Variant'!$E$5:$E$32))/AVERAGEIF('Pemetaan Variant'!$A$5:$A$32,$B13,'Pemetaan Variant'!$E$5:$E$32)*100,"n/a"),"n/a")</f>
        <v>1.76638176638177</v>
      </c>
      <c r="X13" s="4" t="n">
        <f aca="false">IFERROR(IF(ISNUMBER(W13),$C13*W13,"n/a"),"n/a")</f>
        <v>0.0312680172791448</v>
      </c>
      <c r="Y13" s="13" t="n">
        <f aca="false">IFERROR(AVERAGEIF('Pemetaan Variant'!$A$5:$A$32,$B13,'Pemetaan Variant'!$W$5:$W$32),"n/a")</f>
        <v>49600</v>
      </c>
      <c r="Z13" s="14" t="n">
        <f aca="false">IFERROR(IF(ISNUMBER(Y13),(Y13-AVERAGEIF('Pemetaan Variant'!$A$5:$A$32,$B13,'Pemetaan Variant'!$E$5:$E$32))/AVERAGEIF('Pemetaan Variant'!$A$5:$A$32,$B13,'Pemetaan Variant'!$E$5:$E$32)*100,"n/a"),"n/a")</f>
        <v>7.3960113960114</v>
      </c>
      <c r="AA13" s="4" t="n">
        <f aca="false">IFERROR(IF(ISNUMBER(Z13),$C13*Z13,"n/a"),"n/a")</f>
        <v>0.130922214284935</v>
      </c>
      <c r="AB13" s="13" t="n">
        <f aca="false">IFERROR(AVERAGEIF('Pemetaan Variant'!$A$5:$A$32,$B13,'Pemetaan Variant'!$X$5:$X$32),"n/a")</f>
        <v>50000</v>
      </c>
      <c r="AC13" s="14" t="n">
        <f aca="false">IFERROR(IF(ISNUMBER(AB13),(AB13-AVERAGEIF('Pemetaan Variant'!$A$5:$A$32,$B13,'Pemetaan Variant'!$E$5:$E$32))/AVERAGEIF('Pemetaan Variant'!$A$5:$A$32,$B13,'Pemetaan Variant'!$E$5:$E$32)*100,"n/a"),"n/a")</f>
        <v>8.26210826210827</v>
      </c>
      <c r="AD13" s="4" t="n">
        <f aca="false">IFERROR(IF(ISNUMBER(AC13),$C13*AC13,"n/a"),"n/a")</f>
        <v>0.146253629208903</v>
      </c>
      <c r="AE13" s="13" t="n">
        <f aca="false">IFERROR(AVERAGEIF('Pemetaan Variant'!$A$5:$A$32,$B13,'Pemetaan Variant'!$Y$5:$Y$32),"n/a")</f>
        <v>46000</v>
      </c>
      <c r="AF13" s="14" t="n">
        <f aca="false">IFERROR(IF(ISNUMBER(AE13),(AE13-AVERAGEIF('Pemetaan Variant'!$A$5:$A$32,$B13,'Pemetaan Variant'!$F$5:$F$32))/AVERAGEIF('Pemetaan Variant'!$A$5:$A$32,$B13,'Pemetaan Variant'!$F$5:$F$32)*100,"n/a"),"n/a")</f>
        <v>-4.79302832244009</v>
      </c>
      <c r="AG13" s="4" t="n">
        <f aca="false">IFERROR(IF(ISNUMBER(AF13),$C13*AF13,"n/a"),"n/a")</f>
        <v>-0.0848449045714932</v>
      </c>
      <c r="AH13" s="13" t="n">
        <f aca="false">IFERROR(AVERAGEIF('Pemetaan Variant'!$A$5:$A$32,$B13,'Pemetaan Variant'!$Z$5:$Z$32),"n/a")</f>
        <v>45000</v>
      </c>
      <c r="AI13" s="14" t="n">
        <f aca="false">IFERROR(IF(ISNUMBER(AH13),(AH13-AVERAGEIF('Pemetaan Variant'!$A$5:$A$32,$B13,'Pemetaan Variant'!$F$5:$F$32))/AVERAGEIF('Pemetaan Variant'!$A$5:$A$32,$B13,'Pemetaan Variant'!$F$5:$F$32)*100,"n/a"),"n/a")</f>
        <v>-6.86274509803922</v>
      </c>
      <c r="AJ13" s="4" t="n">
        <f aca="false">IFERROR(IF(ISNUMBER(AI13),$C13*AI13,"n/a"),"n/a")</f>
        <v>-0.121482477000092</v>
      </c>
      <c r="AK13" s="13" t="n">
        <f aca="false">IFERROR(AVERAGEIF('Pemetaan Variant'!$A$5:$A$32,$B13,'Pemetaan Variant'!$AA$5:$AA$32),"n/a")</f>
        <v>46200</v>
      </c>
      <c r="AL13" s="14" t="n">
        <f aca="false">IFERROR(IF(ISNUMBER(AK13),(AK13-AVERAGEIF('Pemetaan Variant'!$A$5:$A$32,$B13,'Pemetaan Variant'!$F$5:$F$32))/AVERAGEIF('Pemetaan Variant'!$A$5:$A$32,$B13,'Pemetaan Variant'!$F$5:$F$32)*100,"n/a"),"n/a")</f>
        <v>-4.37908496732027</v>
      </c>
      <c r="AM13" s="4" t="n">
        <f aca="false">IFERROR(IF(ISNUMBER(AL13),$C13*AL13,"n/a"),"n/a")</f>
        <v>-0.0775173900857733</v>
      </c>
      <c r="AN13" s="13" t="n">
        <f aca="false">IFERROR(AVERAGEIF('Pemetaan Variant'!$A$5:$A$32,$B13,'Pemetaan Variant'!$AB$5:$AB$32),"n/a")</f>
        <v>47750</v>
      </c>
      <c r="AO13" s="14" t="n">
        <f aca="false">IFERROR(IF(ISNUMBER(AN13),(AN13-AVERAGEIF('Pemetaan Variant'!$A$5:$A$32,$B13,'Pemetaan Variant'!$F$5:$F$32))/AVERAGEIF('Pemetaan Variant'!$A$5:$A$32,$B13,'Pemetaan Variant'!$F$5:$F$32)*100,"n/a"),"n/a")</f>
        <v>-1.17102396514162</v>
      </c>
      <c r="AP13" s="4" t="n">
        <f aca="false">IFERROR(IF(ISNUMBER(AO13),$C13*AO13,"n/a"),"n/a")</f>
        <v>-0.0207291528214444</v>
      </c>
      <c r="AQ13" s="13" t="str">
        <f aca="false">IFERROR(AVERAGEIF('Pemetaan Variant'!$A$5:$A$32,$B13,'Pemetaan Variant'!$AC$5:$AC$32),"n/a")</f>
        <v>n/a</v>
      </c>
      <c r="AR13" s="14" t="str">
        <f aca="false">IFERROR(IF(ISNUMBER(AQ13),(AQ13-AVERAGEIF('Pemetaan Variant'!$A$5:$A$32,$B13,'Pemetaan Variant'!$F$5:$F$32))/AVERAGEIF('Pemetaan Variant'!$A$5:$A$32,$B13,'Pemetaan Variant'!$F$5:$F$32)*100,"n/a"),"n/a")</f>
        <v>n/a</v>
      </c>
      <c r="AS13" s="4" t="str">
        <f aca="false">IFERROR(IF(ISNUMBER(AR13),$C13*AR13,"n/a"),"n/a")</f>
        <v>n/a</v>
      </c>
      <c r="AT13" s="13" t="str">
        <f aca="false">IFERROR(AVERAGEIF('Pemetaan Variant'!$A$5:$A$32,$B13,'Pemetaan Variant'!$AD$5:$AD$32),"n/a")</f>
        <v>n/a</v>
      </c>
      <c r="AU13" s="14" t="str">
        <f aca="false">IFERROR(IF(ISNUMBER(AT13),(AT13-AVERAGEIF('Pemetaan Variant'!$A$5:$A$32,$B13,'Pemetaan Variant'!$G$5:$G$32))/AVERAGEIF('Pemetaan Variant'!$A$5:$A$32,$B13,'Pemetaan Variant'!$G$5:$G$32)*100,"n/a"),"n/a")</f>
        <v>n/a</v>
      </c>
      <c r="AV13" s="4" t="str">
        <f aca="false">IFERROR(IF(ISNUMBER(AU13),$C13*AU13,"n/a"),"n/a")</f>
        <v>n/a</v>
      </c>
      <c r="AW13" s="13" t="n">
        <f aca="false">IFERROR(AVERAGEIF('Pemetaan Variant'!$A$5:$A$32,$B13,'Pemetaan Variant'!$AE$5:$AE$32),"n/a")</f>
        <v>60000</v>
      </c>
      <c r="AX13" s="14" t="n">
        <f aca="false">IFERROR(IF(ISNUMBER(AW13),(AW13-AVERAGEIF('Pemetaan Variant'!$A$5:$A$32,$B13,'Pemetaan Variant'!$G$5:$G$32))/AVERAGEIF('Pemetaan Variant'!$A$5:$A$32,$B13,'Pemetaan Variant'!$G$5:$G$32)*100,"n/a"),"n/a")</f>
        <v>29.9885974914481</v>
      </c>
      <c r="AY13" s="4" t="n">
        <f aca="false">IFERROR(IF(ISNUMBER(AX13),$C13*AX13,"n/a"),"n/a")</f>
        <v>0.530850126731467</v>
      </c>
      <c r="AZ13" s="13" t="n">
        <f aca="false">IFERROR(AVERAGEIF('Pemetaan Variant'!$A$5:$A$32,$B13,'Pemetaan Variant'!$AF$5:$AF$32),"n/a")</f>
        <v>59375</v>
      </c>
      <c r="BA13" s="14" t="n">
        <f aca="false">IFERROR(IF(ISNUMBER(AZ13),(AZ13-AVERAGEIF('Pemetaan Variant'!$A$5:$A$32,$B13,'Pemetaan Variant'!$G$5:$G$32))/AVERAGEIF('Pemetaan Variant'!$A$5:$A$32,$B13,'Pemetaan Variant'!$G$5:$G$32)*100,"n/a"),"n/a")</f>
        <v>28.6345496009122</v>
      </c>
      <c r="BB13" s="4" t="n">
        <f aca="false">IFERROR(IF(ISNUMBER(BA13),$C13*BA13,"n/a"),"n/a")</f>
        <v>0.506881133366691</v>
      </c>
      <c r="BC13" s="13" t="n">
        <f aca="false">IFERROR(AVERAGEIF('Pemetaan Variant'!$A$5:$A$32,$B13,'Pemetaan Variant'!$AG$5:$AG$32),"n/a")</f>
        <v>48900</v>
      </c>
      <c r="BD13" s="14" t="n">
        <f aca="false">IFERROR(IF(ISNUMBER(BC13),(BC13-AVERAGEIF('Pemetaan Variant'!$A$5:$A$32,$B13,'Pemetaan Variant'!$G$5:$G$32))/AVERAGEIF('Pemetaan Variant'!$A$5:$A$32,$B13,'Pemetaan Variant'!$G$5:$G$32)*100,"n/a"),"n/a")</f>
        <v>5.94070695553021</v>
      </c>
      <c r="BE13" s="4" t="n">
        <f aca="false">IFERROR(IF(ISNUMBER(BD13),$C13*BD13,"n/a"),"n/a")</f>
        <v>0.10516080457304</v>
      </c>
      <c r="BF13" s="13" t="n">
        <f aca="false">IFERROR(AVERAGEIF('Pemetaan Variant'!$A$5:$A$32,$B13,'Pemetaan Variant'!$AH$5:$AH$32),"n/a")</f>
        <v>28666.6666666667</v>
      </c>
      <c r="BG13" s="14" t="n">
        <f aca="false">IFERROR(IF(ISNUMBER(BF13),(BF13-AVERAGEIF('Pemetaan Variant'!$A$5:$A$32,$B13,'Pemetaan Variant'!$G$5:$G$32))/AVERAGEIF('Pemetaan Variant'!$A$5:$A$32,$B13,'Pemetaan Variant'!$G$5:$G$32)*100,"n/a"),"n/a")</f>
        <v>-37.8943367540859</v>
      </c>
      <c r="BH13" s="4" t="n">
        <f aca="false">IFERROR(IF(ISNUMBER(BG13),$C13*BG13,"n/a"),"n/a")</f>
        <v>-0.670795407289319</v>
      </c>
      <c r="BI13" s="13" t="n">
        <f aca="false">IFERROR(AVERAGEIF('Pemetaan Variant'!$A$5:$A$32,$B13,'Pemetaan Variant'!$AI$5:$AI$32),"n/a")</f>
        <v>28000</v>
      </c>
      <c r="BJ13" s="14" t="n">
        <f aca="false">IFERROR(IF(ISNUMBER(BI13),(BI13-AVERAGEIF('Pemetaan Variant'!$A$5:$A$32,$B13,'Pemetaan Variant'!$H$5:$H$32))/AVERAGEIF('Pemetaan Variant'!$A$5:$A$32,$B13,'Pemetaan Variant'!$H$5:$H$32)*100,"n/a"),"n/a")</f>
        <v>-44.5544554455446</v>
      </c>
      <c r="BK13" s="4" t="n">
        <f aca="false">IFERROR(IF(ISNUMBER(BJ13),$C13*BJ13,"n/a"),"n/a")</f>
        <v>-0.788691045870472</v>
      </c>
      <c r="BL13" s="13" t="n">
        <f aca="false">IFERROR(AVERAGEIF('Pemetaan Variant'!$A$5:$A$32,$B13,'Pemetaan Variant'!$AJ$5:$AJ$32),"n/a")</f>
        <v>26800</v>
      </c>
      <c r="BM13" s="14" t="n">
        <f aca="false">IFERROR(IF(ISNUMBER(BL13),(BL13-AVERAGEIF('Pemetaan Variant'!$A$5:$A$32,$B13,'Pemetaan Variant'!$H$5:$H$32))/AVERAGEIF('Pemetaan Variant'!$A$5:$A$32,$B13,'Pemetaan Variant'!$H$5:$H$32)*100,"n/a"),"n/a")</f>
        <v>-46.9306930693069</v>
      </c>
      <c r="BN13" s="4" t="n">
        <f aca="false">IFERROR(IF(ISNUMBER(BM13),$C13*BM13,"n/a"),"n/a")</f>
        <v>-0.830754568316897</v>
      </c>
      <c r="BO13" s="13" t="n">
        <f aca="false">IFERROR(AVERAGEIF('Pemetaan Variant'!$A$5:$A$32,$B13,'Pemetaan Variant'!$AK$5:$AK$32),"n/a")</f>
        <v>20000</v>
      </c>
      <c r="BP13" s="14" t="n">
        <f aca="false">IFERROR(IF(ISNUMBER(BO13),(BO13-AVERAGEIF('Pemetaan Variant'!$A$5:$A$32,$B13,'Pemetaan Variant'!$H$5:$H$32))/AVERAGEIF('Pemetaan Variant'!$A$5:$A$32,$B13,'Pemetaan Variant'!$H$5:$H$32)*100,"n/a"),"n/a")</f>
        <v>-60.3960396039604</v>
      </c>
      <c r="BQ13" s="4" t="n">
        <f aca="false">IFERROR(IF(ISNUMBER(BP13),$C13*BP13,"n/a"),"n/a")</f>
        <v>-1.06911452884664</v>
      </c>
      <c r="BR13" s="13" t="n">
        <f aca="false">IFERROR(AVERAGEIF('Pemetaan Variant'!$A$5:$A$32,$B13,'Pemetaan Variant'!$AL$5:$AL$32),"n/a")</f>
        <v>20000</v>
      </c>
      <c r="BS13" s="14" t="n">
        <f aca="false">IFERROR(IF(ISNUMBER(BR13),(BR13-AVERAGEIF('Pemetaan Variant'!$A$5:$A$32,$B13,'Pemetaan Variant'!$H$5:$H$32))/AVERAGEIF('Pemetaan Variant'!$A$5:$A$32,$B13,'Pemetaan Variant'!$H$5:$H$32)*100,"n/a"),"n/a")</f>
        <v>-60.3960396039604</v>
      </c>
      <c r="BT13" s="4" t="n">
        <f aca="false">IFERROR(IF(ISNUMBER(BS13),$C13*BS13,"n/a"),"n/a")</f>
        <v>-1.06911452884664</v>
      </c>
      <c r="BU13" s="13" t="n">
        <f aca="false">IFERROR(AVERAGEIF('Pemetaan Variant'!$A$5:$A$32,$B13,'Pemetaan Variant'!$AM$5:$AM$32),"n/a")</f>
        <v>21333.3333333333</v>
      </c>
      <c r="BV13" s="14" t="n">
        <f aca="false">IFERROR(IF(ISNUMBER(BU13),(BU13-AVERAGEIF('Pemetaan Variant'!$A$5:$A$32,$B13,'Pemetaan Variant'!$H$5:$H$32))/AVERAGEIF('Pemetaan Variant'!$A$5:$A$32,$B13,'Pemetaan Variant'!$H$5:$H$32)*100,"n/a"),"n/a")</f>
        <v>-57.7557755775578</v>
      </c>
      <c r="BW13" s="4" t="n">
        <f aca="false">IFERROR(IF(ISNUMBER(BV13),$C13*BV13,"n/a"),"n/a")</f>
        <v>-1.02237728168395</v>
      </c>
      <c r="BX13" s="13" t="n">
        <f aca="false">IFERROR(AVERAGEIF('Pemetaan Variant'!$A$5:$A$32,$B13,'Pemetaan Variant'!$AN$5:$AN$32),"n/a")</f>
        <v>32500</v>
      </c>
      <c r="BY13" s="14" t="n">
        <f aca="false">IFERROR(IF(ISNUMBER(BX13),(BX13-AVERAGEIF('Pemetaan Variant'!$A$5:$A$32,$B13,'Pemetaan Variant'!$I$5:$I$32))/AVERAGEIF('Pemetaan Variant'!$A$5:$A$32,$B13,'Pemetaan Variant'!$I$5:$I$32)*100,"n/a"),"n/a")</f>
        <v>43.1347150259067</v>
      </c>
      <c r="BZ13" s="4" t="n">
        <f aca="false">IFERROR(IF(ISNUMBER(BY13),$C13*BY13,"n/a"),"n/a")</f>
        <v>0.763559180937294</v>
      </c>
      <c r="CA13" s="13" t="n">
        <f aca="false">IFERROR(AVERAGEIF('Pemetaan Variant'!$A$5:$A$32,$B13,'Pemetaan Variant'!$AO$5:$AO$32),"n/a")</f>
        <v>27000</v>
      </c>
      <c r="CB13" s="14" t="n">
        <f aca="false">IFERROR(IF(ISNUMBER(CA13),(CA13-AVERAGEIF('Pemetaan Variant'!$A$5:$A$32,$B13,'Pemetaan Variant'!$I$5:$I$32))/AVERAGEIF('Pemetaan Variant'!$A$5:$A$32,$B13,'Pemetaan Variant'!$I$5:$I$32)*100,"n/a"),"n/a")</f>
        <v>18.9119170984456</v>
      </c>
      <c r="CC13" s="4" t="n">
        <f aca="false">IFERROR(IF(ISNUMBER(CB13),$C13*CB13,"n/a"),"n/a")</f>
        <v>0.33477369494548</v>
      </c>
      <c r="CD13" s="13" t="n">
        <f aca="false">IFERROR(AVERAGEIF('Pemetaan Variant'!$A$5:$A$32,$B13,'Pemetaan Variant'!$AP$5:$AP$32),"n/a")</f>
        <v>20400</v>
      </c>
      <c r="CE13" s="14" t="n">
        <f aca="false">IFERROR(IF(ISNUMBER(CD13),(CD13-AVERAGEIF('Pemetaan Variant'!$A$5:$A$32,$B13,'Pemetaan Variant'!$I$5:$I$32))/AVERAGEIF('Pemetaan Variant'!$A$5:$A$32,$B13,'Pemetaan Variant'!$I$5:$I$32)*100,"n/a"),"n/a")</f>
        <v>-10.1554404145078</v>
      </c>
      <c r="CF13" s="4" t="n">
        <f aca="false">IFERROR(IF(ISNUMBER(CE13),$C13*CE13,"n/a"),"n/a")</f>
        <v>-0.179768888244696</v>
      </c>
      <c r="CG13" s="13" t="n">
        <f aca="false">IFERROR(AVERAGEIF('Pemetaan Variant'!$A$5:$A$32,$B13,'Pemetaan Variant'!$AQ$5:$AQ$32),"n/a")</f>
        <v>22000</v>
      </c>
      <c r="CH13" s="14" t="n">
        <f aca="false">IFERROR(IF(ISNUMBER(CG13),(CG13-AVERAGEIF('Pemetaan Variant'!$A$5:$A$32,$B13,'Pemetaan Variant'!$I$5:$I$32))/AVERAGEIF('Pemetaan Variant'!$A$5:$A$32,$B13,'Pemetaan Variant'!$I$5:$I$32)*100,"n/a"),"n/a")</f>
        <v>-3.10880829015543</v>
      </c>
      <c r="CI13" s="4" t="n">
        <f aca="false">IFERROR(IF(ISNUMBER(CH13),$C13*CH13,"n/a"),"n/a")</f>
        <v>-0.0550312923198048</v>
      </c>
      <c r="CJ13" s="13" t="n">
        <f aca="false">IFERROR(AVERAGEIF('Pemetaan Variant'!$A$5:$A$32,$B13,'Pemetaan Variant'!$AR$5:$AR$32),"n/a")</f>
        <v>25500</v>
      </c>
      <c r="CK13" s="14" t="n">
        <f aca="false">IFERROR(IF(ISNUMBER(CJ13),(CJ13-AVERAGEIF('Pemetaan Variant'!$A$5:$A$32,$B13,'Pemetaan Variant'!$J$5:$J$32))/AVERAGEIF('Pemetaan Variant'!$A$5:$A$32,$B13,'Pemetaan Variant'!$J$5:$J$32)*100,"n/a"),"n/a")</f>
        <v>1.28504672897196</v>
      </c>
      <c r="CL13" s="4" t="n">
        <f aca="false">IFERROR(IF(ISNUMBER(CK13),$C13*CK13,"n/a"),"n/a")</f>
        <v>0.022747553270044</v>
      </c>
      <c r="CM13" s="13" t="n">
        <f aca="false">IFERROR(AVERAGEIF('Pemetaan Variant'!$A$5:$A$32,$B13,'Pemetaan Variant'!$AS$5:$AS$32),"n/a")</f>
        <v>30600</v>
      </c>
      <c r="CN13" s="14" t="n">
        <f aca="false">IFERROR(IF(ISNUMBER(CM13),(CM13-AVERAGEIF('Pemetaan Variant'!$A$5:$A$32,$B13,'Pemetaan Variant'!$J$5:$J$32))/AVERAGEIF('Pemetaan Variant'!$A$5:$A$32,$B13,'Pemetaan Variant'!$J$5:$J$32)*100,"n/a"),"n/a")</f>
        <v>21.5420560747664</v>
      </c>
      <c r="CO13" s="4" t="n">
        <f aca="false">IFERROR(IF(ISNUMBER(CN13),$C13*CN13,"n/a"),"n/a")</f>
        <v>0.381331711181465</v>
      </c>
      <c r="CP13" s="13" t="n">
        <f aca="false">IFERROR(AVERAGEIF('Pemetaan Variant'!$A$5:$A$32,$B13,'Pemetaan Variant'!$AT$5:$AT$32),"n/a")</f>
        <v>30200</v>
      </c>
      <c r="CQ13" s="14" t="n">
        <f aca="false">IFERROR(IF(ISNUMBER(CP13),(CP13-AVERAGEIF('Pemetaan Variant'!$A$5:$A$32,$B13,'Pemetaan Variant'!$J$5:$J$32))/AVERAGEIF('Pemetaan Variant'!$A$5:$A$32,$B13,'Pemetaan Variant'!$J$5:$J$32)*100,"n/a"),"n/a")</f>
        <v>19.9532710280374</v>
      </c>
      <c r="CR13" s="4" t="n">
        <f aca="false">IFERROR(IF(ISNUMBER(CQ13),$C13*CQ13,"n/a"),"n/a")</f>
        <v>0.353207463502138</v>
      </c>
      <c r="CS13" s="13" t="n">
        <f aca="false">IFERROR(AVERAGEIF('Pemetaan Variant'!$A$5:$A$32,$B13,'Pemetaan Variant'!$AU$5:$AU$32),"n/a")</f>
        <v>30000</v>
      </c>
      <c r="CT13" s="14" t="n">
        <f aca="false">IFERROR(IF(ISNUMBER(CS13),(CS13-AVERAGEIF('Pemetaan Variant'!$A$5:$A$32,$B13,'Pemetaan Variant'!$J$5:$J$32))/AVERAGEIF('Pemetaan Variant'!$A$5:$A$32,$B13,'Pemetaan Variant'!$J$5:$J$32)*100,"n/a"),"n/a")</f>
        <v>19.1588785046729</v>
      </c>
      <c r="CU13" s="4" t="n">
        <f aca="false">IFERROR(IF(ISNUMBER(CT13),$C13*CT13,"n/a"),"n/a")</f>
        <v>0.339145339662474</v>
      </c>
      <c r="CV13" s="13" t="n">
        <f aca="false">IFERROR(AVERAGEIF('Pemetaan Variant'!$A$5:$A$32,$B13,'Pemetaan Variant'!$AV$5:$AV$32),"n/a")</f>
        <v>28500</v>
      </c>
      <c r="CW13" s="14" t="n">
        <f aca="false">IFERROR(IF(ISNUMBER(CV13),(CV13-AVERAGEIF('Pemetaan Variant'!$A$5:$A$32,$B13,'Pemetaan Variant'!$J$5:$J$32))/AVERAGEIF('Pemetaan Variant'!$A$5:$A$32,$B13,'Pemetaan Variant'!$J$5:$J$32)*100,"n/a"),"n/a")</f>
        <v>13.2009345794393</v>
      </c>
      <c r="CX13" s="4" t="n">
        <f aca="false">IFERROR(IF(ISNUMBER(CW13),$C13*CW13,"n/a"),"n/a")</f>
        <v>0.233679410864997</v>
      </c>
      <c r="CY13" s="13" t="n">
        <f aca="false">IFERROR(AVERAGEIF('Pemetaan Variant'!$A$5:$A$32,$B13,'Pemetaan Variant'!$AW$5:$AW$32),"n/a")</f>
        <v>27000</v>
      </c>
      <c r="CZ13" s="14" t="n">
        <f aca="false">IFERROR(IF(ISNUMBER(CY13),(CY13-AVERAGEIF('Pemetaan Variant'!$A$5:$A$32,$B13,'Pemetaan Variant'!$K$5:$K$32))/AVERAGEIF('Pemetaan Variant'!$A$5:$A$32,$B13,'Pemetaan Variant'!$K$5:$K$32)*100,"n/a"),"n/a")</f>
        <v>-7.3134328358209</v>
      </c>
      <c r="DA13" s="4" t="n">
        <f aca="false">IFERROR(IF(ISNUMBER(CZ13),$C13*CZ13,"n/a"),"n/a")</f>
        <v>-0.129460430713531</v>
      </c>
      <c r="DB13" s="13" t="n">
        <f aca="false">IFERROR(AVERAGEIF('Pemetaan Variant'!$A$5:$A$32,$B13,'Pemetaan Variant'!$AX$5:$AX$32),"n/a")</f>
        <v>26400</v>
      </c>
      <c r="DC13" s="14" t="n">
        <f aca="false">IFERROR(IF(ISNUMBER(DB13),(DB13-AVERAGEIF('Pemetaan Variant'!$A$5:$A$32,$B13,'Pemetaan Variant'!$K$5:$K$32))/AVERAGEIF('Pemetaan Variant'!$A$5:$A$32,$B13,'Pemetaan Variant'!$K$5:$K$32)*100,"n/a"),"n/a")</f>
        <v>-9.37313432835821</v>
      </c>
      <c r="DD13" s="4" t="n">
        <f aca="false">IFERROR(IF(ISNUMBER(DC13),$C13*DC13,"n/a"),"n/a")</f>
        <v>-0.165920715281832</v>
      </c>
      <c r="DE13" s="13" t="n">
        <f aca="false">IFERROR(AVERAGEIF('Pemetaan Variant'!$A$5:$A$32,$B13,'Pemetaan Variant'!$AY$5:$AY$32),"n/a")</f>
        <v>24000</v>
      </c>
      <c r="DF13" s="14" t="n">
        <f aca="false">IFERROR(IF(ISNUMBER(DE13),(DE13-AVERAGEIF('Pemetaan Variant'!$A$5:$A$32,$B13,'Pemetaan Variant'!$K$5:$K$32))/AVERAGEIF('Pemetaan Variant'!$A$5:$A$32,$B13,'Pemetaan Variant'!$K$5:$K$32)*100,"n/a"),"n/a")</f>
        <v>-17.6119402985075</v>
      </c>
      <c r="DG13" s="4" t="n">
        <f aca="false">IFERROR(IF(ISNUMBER(DF13),$C13*DF13,"n/a"),"n/a")</f>
        <v>-0.311761853555034</v>
      </c>
      <c r="DH13" s="13" t="n">
        <f aca="false">IFERROR(AVERAGEIF('Pemetaan Variant'!$A$5:$A$32,$B13,'Pemetaan Variant'!$AZ$5:$AZ$32),"n/a")</f>
        <v>24000</v>
      </c>
      <c r="DI13" s="14" t="n">
        <f aca="false">IFERROR(IF(ISNUMBER(DH13),(DH13-AVERAGEIF('Pemetaan Variant'!$A$5:$A$32,$B13,'Pemetaan Variant'!$K$5:$K$32))/AVERAGEIF('Pemetaan Variant'!$A$5:$A$32,$B13,'Pemetaan Variant'!$K$5:$K$32)*100,"n/a"),"n/a")</f>
        <v>-17.6119402985075</v>
      </c>
      <c r="DJ13" s="4" t="n">
        <f aca="false">IFERROR(IF(ISNUMBER(DI13),$C13*DI13,"n/a"),"n/a")</f>
        <v>-0.311761853555034</v>
      </c>
      <c r="DK13" s="13" t="n">
        <f aca="false">IFERROR(AVERAGEIF('Pemetaan Variant'!$A$5:$A$32,$B13,'Pemetaan Variant'!$BA$5:$BA$32),"n/a")</f>
        <v>23500</v>
      </c>
      <c r="DL13" s="14" t="n">
        <f aca="false">IFERROR(IF(ISNUMBER(DK13),(DK13-AVERAGEIF('Pemetaan Variant'!$A$5:$A$32,$B13,'Pemetaan Variant'!$L$5:$L$32))/AVERAGEIF('Pemetaan Variant'!$A$5:$A$32,$B13,'Pemetaan Variant'!$L$5:$L$32)*100,"n/a"),"n/a")</f>
        <v>-7.55693581780538</v>
      </c>
      <c r="DM13" s="4" t="n">
        <f aca="false">IFERROR(IF(ISNUMBER(DL13),$C13*DL13,"n/a"),"n/a")</f>
        <v>-0.133770855330182</v>
      </c>
      <c r="DN13" s="13" t="n">
        <f aca="false">IFERROR(AVERAGEIF('Pemetaan Variant'!$A$5:$A$32,$B13,'Pemetaan Variant'!$BB$5:$BB$32),"n/a")</f>
        <v>22000</v>
      </c>
      <c r="DO13" s="14" t="n">
        <f aca="false">IFERROR(IF(ISNUMBER(DN13),(DN13-AVERAGEIF('Pemetaan Variant'!$A$5:$A$32,$B13,'Pemetaan Variant'!$L$5:$L$32))/AVERAGEIF('Pemetaan Variant'!$A$5:$A$32,$B13,'Pemetaan Variant'!$L$5:$L$32)*100,"n/a"),"n/a")</f>
        <v>-13.4575569358178</v>
      </c>
      <c r="DP13" s="4" t="n">
        <f aca="false">IFERROR(IF(ISNUMBER(DO13),$C13*DO13,"n/a"),"n/a")</f>
        <v>-0.23822207113594</v>
      </c>
      <c r="DQ13" s="13" t="n">
        <f aca="false">IFERROR(AVERAGEIF('Pemetaan Variant'!$A$5:$A$32,$B13,'Pemetaan Variant'!$BC$5:$BC$32),"n/a")</f>
        <v>22400</v>
      </c>
      <c r="DR13" s="14" t="n">
        <f aca="false">IFERROR(IF(ISNUMBER(DQ13),(DQ13-AVERAGEIF('Pemetaan Variant'!$A$5:$A$32,$B13,'Pemetaan Variant'!$L$5:$L$32))/AVERAGEIF('Pemetaan Variant'!$A$5:$A$32,$B13,'Pemetaan Variant'!$L$5:$L$32)*100,"n/a"),"n/a")</f>
        <v>-11.8840579710145</v>
      </c>
      <c r="DS13" s="4" t="n">
        <f aca="false">IFERROR(IF(ISNUMBER(DR13),$C13*DR13,"n/a"),"n/a")</f>
        <v>-0.210368413587738</v>
      </c>
      <c r="DT13" s="13" t="n">
        <f aca="false">IFERROR(AVERAGEIF('Pemetaan Variant'!$A$5:$A$32,$B13,'Pemetaan Variant'!$BD$5:$BD$32),"n/a")</f>
        <v>23800</v>
      </c>
      <c r="DU13" s="14" t="n">
        <f aca="false">IFERROR(IF(ISNUMBER(DT13),(DT13-AVERAGEIF('Pemetaan Variant'!$A$5:$A$32,$B13,'Pemetaan Variant'!$L$5:$L$32))/AVERAGEIF('Pemetaan Variant'!$A$5:$A$32,$B13,'Pemetaan Variant'!$L$5:$L$32)*100,"n/a"),"n/a")</f>
        <v>-6.3768115942029</v>
      </c>
      <c r="DV13" s="4" t="n">
        <f aca="false">IFERROR(IF(ISNUMBER(DU13),$C13*DU13,"n/a"),"n/a")</f>
        <v>-0.11288061216903</v>
      </c>
      <c r="DW13" s="13" t="n">
        <f aca="false">IFERROR(AVERAGEIF('Pemetaan Variant'!$A$5:$A$32,$B13,'Pemetaan Variant'!$BE$5:$BE$32),"n/a")</f>
        <v>26000</v>
      </c>
      <c r="DX13" s="14" t="n">
        <f aca="false">IFERROR(IF(ISNUMBER(DW13),(DW13-AVERAGEIF('Pemetaan Variant'!$A$5:$A$32,$B13,'Pemetaan Variant'!$M$5:$M$32))/AVERAGEIF('Pemetaan Variant'!$A$5:$A$32,$B13,'Pemetaan Variant'!$M$5:$M$32)*100,"n/a"),"n/a")</f>
        <v>13.5632183908046</v>
      </c>
      <c r="DY13" s="4" t="n">
        <f aca="false">IFERROR(IF(ISNUMBER(DX13),$C13*DX13,"n/a"),"n/a")</f>
        <v>0.240092461933187</v>
      </c>
      <c r="DZ13" s="13" t="n">
        <f aca="false">IFERROR(AVERAGEIF('Pemetaan Variant'!$A$5:$A$32,$B13,'Pemetaan Variant'!$BF$5:$BF$32),"n/a")</f>
        <v>25200</v>
      </c>
      <c r="EA13" s="14" t="n">
        <f aca="false">IFERROR(IF(ISNUMBER(DZ13),(DZ13-AVERAGEIF('Pemetaan Variant'!$A$5:$A$32,$B13,'Pemetaan Variant'!$M$5:$M$32))/AVERAGEIF('Pemetaan Variant'!$A$5:$A$32,$B13,'Pemetaan Variant'!$M$5:$M$32)*100,"n/a"),"n/a")</f>
        <v>10.0689655172414</v>
      </c>
      <c r="EB13" s="4" t="n">
        <f aca="false">IFERROR(IF(ISNUMBER(EA13),$C13*EA13,"n/a"),"n/a")</f>
        <v>0.17823813275718</v>
      </c>
      <c r="EC13" s="13" t="n">
        <f aca="false">IFERROR(AVERAGEIF('Pemetaan Variant'!$A$5:$A$32,$B13,'Pemetaan Variant'!$BG$5:$BG$32),"n/a")</f>
        <v>22000</v>
      </c>
      <c r="ED13" s="14" t="n">
        <f aca="false">IFERROR(IF(ISNUMBER(EC13),(EC13-AVERAGEIF('Pemetaan Variant'!$A$5:$A$32,$B13,'Pemetaan Variant'!$M$5:$M$32))/AVERAGEIF('Pemetaan Variant'!$A$5:$A$32,$B13,'Pemetaan Variant'!$M$5:$M$32)*100,"n/a"),"n/a")</f>
        <v>-3.9080459770115</v>
      </c>
      <c r="EE13" s="4" t="n">
        <f aca="false">IFERROR(IF(ISNUMBER(ED13),$C13*ED13,"n/a"),"n/a")</f>
        <v>-0.0691791839468506</v>
      </c>
      <c r="EF13" s="13" t="n">
        <f aca="false">IFERROR(AVERAGEIF('Pemetaan Variant'!$A$5:$A$32,$B13,'Pemetaan Variant'!$BH$5:$BH$32),"n/a")</f>
        <v>23200</v>
      </c>
      <c r="EG13" s="14" t="n">
        <f aca="false">IFERROR(IF(ISNUMBER(EF13),(EF13-AVERAGEIF('Pemetaan Variant'!$A$5:$A$32,$B13,'Pemetaan Variant'!$M$5:$M$32))/AVERAGEIF('Pemetaan Variant'!$A$5:$A$32,$B13,'Pemetaan Variant'!$M$5:$M$32)*100,"n/a"),"n/a")</f>
        <v>1.33333333333333</v>
      </c>
      <c r="EH13" s="4" t="n">
        <f aca="false">IFERROR(IF(ISNUMBER(EG13),$C13*EG13,"n/a"),"n/a")</f>
        <v>0.0236023098171608</v>
      </c>
      <c r="EI13" s="13" t="n">
        <f aca="false">IFERROR(AVERAGEIF('Pemetaan Variant'!$A$5:$A$32,$B13,'Pemetaan Variant'!$BI$5:$BI$32),"n/a")</f>
        <v>24000</v>
      </c>
      <c r="EJ13" s="14" t="n">
        <f aca="false">IFERROR(IF(ISNUMBER(EI13),(EI13-AVERAGEIF('Pemetaan Variant'!$A$5:$A$32,$B13,'Pemetaan Variant'!$M$5:$M$32))/AVERAGEIF('Pemetaan Variant'!$A$5:$A$32,$B13,'Pemetaan Variant'!$M$5:$M$32)*100,"n/a"),"n/a")</f>
        <v>4.82758620689655</v>
      </c>
      <c r="EK13" s="4" t="n">
        <f aca="false">IFERROR(IF(ISNUMBER(EJ13),$C13*EJ13,"n/a"),"n/a")</f>
        <v>0.0854566389931684</v>
      </c>
      <c r="EL13" s="13" t="n">
        <f aca="false">IFERROR(AVERAGEIF('Pemetaan Variant'!$A$5:$A$32,$B13,'Pemetaan Variant'!$BJ$5:$BJ$32),"n/a")</f>
        <v>22000</v>
      </c>
      <c r="EM13" s="14" t="n">
        <f aca="false">IFERROR(IF(ISNUMBER(EL13),(EL13-AVERAGEIF('Pemetaan Variant'!$A$5:$A$32,$B13,'Pemetaan Variant'!$N$5:$N$32))/AVERAGEIF('Pemetaan Variant'!$A$5:$A$32,$B13,'Pemetaan Variant'!$N$5:$N$32)*100,"n/a"),"n/a")</f>
        <v>-8</v>
      </c>
      <c r="EN13" s="4" t="n">
        <f aca="false">IFERROR(IF(ISNUMBER(EM13),$C13*EM13,"n/a"),"n/a")</f>
        <v>-0.141613858902965</v>
      </c>
      <c r="EO13" s="13" t="n">
        <f aca="false">IFERROR(AVERAGEIF('Pemetaan Variant'!$A$5:$A$32,$B13,'Pemetaan Variant'!$BK$5:$BK$32),"n/a")</f>
        <v>22000</v>
      </c>
      <c r="EP13" s="14" t="n">
        <f aca="false">IFERROR(IF(ISNUMBER(EO13),(EO13-AVERAGEIF('Pemetaan Variant'!$A$5:$A$32,$B13,'Pemetaan Variant'!$N$5:$N$32))/AVERAGEIF('Pemetaan Variant'!$A$5:$A$32,$B13,'Pemetaan Variant'!$N$5:$N$32)*100,"n/a"),"n/a")</f>
        <v>-8</v>
      </c>
      <c r="EQ13" s="4" t="n">
        <f aca="false">IFERROR(IF(ISNUMBER(EP13),$C13*EP13,"n/a"),"n/a")</f>
        <v>-0.141613858902965</v>
      </c>
      <c r="ER13" s="13" t="n">
        <f aca="false">IFERROR(AVERAGEIF('Pemetaan Variant'!$A$5:$A$32,$B13,'Pemetaan Variant'!$BL$5:$BL$32),"n/a")</f>
        <v>24000</v>
      </c>
      <c r="ES13" s="14" t="n">
        <f aca="false">IFERROR(IF(ISNUMBER(ER13),(ER13-AVERAGEIF('Pemetaan Variant'!$A$5:$A$32,$B13,'Pemetaan Variant'!$N$5:$N$32))/AVERAGEIF('Pemetaan Variant'!$A$5:$A$32,$B13,'Pemetaan Variant'!$N$5:$N$32)*100,"n/a"),"n/a")</f>
        <v>0.36363636363637</v>
      </c>
      <c r="ET13" s="4" t="n">
        <f aca="false">IFERROR(IF(ISNUMBER(ES13),$C13*ES13,"n/a"),"n/a")</f>
        <v>0.00643699358649851</v>
      </c>
      <c r="EU13" s="13" t="n">
        <f aca="false">IFERROR(AVERAGEIF('Pemetaan Variant'!$A$5:$A$32,$B13,'Pemetaan Variant'!$BM$5:$BM$32),"n/a")</f>
        <v>24000</v>
      </c>
      <c r="EV13" s="14" t="n">
        <f aca="false">IFERROR(IF(ISNUMBER(EU13),(EU13-AVERAGEIF('Pemetaan Variant'!$A$5:$A$32,$B13,'Pemetaan Variant'!$N$5:$N$32))/AVERAGEIF('Pemetaan Variant'!$A$5:$A$32,$B13,'Pemetaan Variant'!$N$5:$N$32)*100,"n/a"),"n/a")</f>
        <v>0.36363636363637</v>
      </c>
      <c r="EW13" s="4" t="n">
        <f aca="false">IFERROR(IF(ISNUMBER(EV13),$C13*EV13,"n/a"),"n/a")</f>
        <v>0.00643699358649851</v>
      </c>
      <c r="EX13" s="13" t="n">
        <f aca="false">IFERROR(AVERAGEIF('Pemetaan Variant'!$A$5:$A$32,$B13,'Pemetaan Variant'!$BN$5:$BN$32),"n/a")</f>
        <v>25600</v>
      </c>
      <c r="EY13" s="14" t="n">
        <f aca="false">IFERROR(IF(ISNUMBER(EX13),(EX13-AVERAGEIF('Pemetaan Variant'!$A$5:$A$32,$B13,'Pemetaan Variant'!$O$5:$O$32))/AVERAGEIF('Pemetaan Variant'!$A$5:$A$32,$B13,'Pemetaan Variant'!$O$5:$O$32)*100,"n/a"),"n/a")</f>
        <v>11.304347826087</v>
      </c>
      <c r="EZ13" s="4" t="n">
        <f aca="false">IFERROR(IF(ISNUMBER(EY13),$C13*EY13,"n/a"),"n/a")</f>
        <v>0.200106539754189</v>
      </c>
      <c r="FA13" s="13" t="n">
        <f aca="false">IFERROR(AVERAGEIF('Pemetaan Variant'!$A$5:$A$32,$B13,'Pemetaan Variant'!$BO$5:$BO$32),"n/a")</f>
        <v>28400</v>
      </c>
      <c r="FB13" s="14" t="n">
        <f aca="false">IFERROR(IF(ISNUMBER(FA13),(FA13-AVERAGEIF('Pemetaan Variant'!$A$5:$A$32,$B13,'Pemetaan Variant'!$O$5:$O$32))/AVERAGEIF('Pemetaan Variant'!$A$5:$A$32,$B13,'Pemetaan Variant'!$O$5:$O$32)*100,"n/a"),"n/a")</f>
        <v>23.4782608695652</v>
      </c>
      <c r="FC13" s="4" t="n">
        <f aca="false">IFERROR(IF(ISNUMBER(FB13),$C13*FB13,"n/a"),"n/a")</f>
        <v>0.415605890258701</v>
      </c>
      <c r="FD13" s="13" t="n">
        <f aca="false">IFERROR(AVERAGEIF('Pemetaan Variant'!$A$5:$A$32,$B13,'Pemetaan Variant'!$BP$5:$BP$32),"n/a")</f>
        <v>26600</v>
      </c>
      <c r="FE13" s="14" t="n">
        <f aca="false">IFERROR(IF(ISNUMBER(FD13),(FD13-AVERAGEIF('Pemetaan Variant'!$A$5:$A$32,$B13,'Pemetaan Variant'!$O$5:$O$32))/AVERAGEIF('Pemetaan Variant'!$A$5:$A$32,$B13,'Pemetaan Variant'!$O$5:$O$32)*100,"n/a"),"n/a")</f>
        <v>15.6521739130435</v>
      </c>
      <c r="FF13" s="4" t="n">
        <f aca="false">IFERROR(IF(ISNUMBER(FE13),$C13*FE13,"n/a"),"n/a")</f>
        <v>0.277070593505801</v>
      </c>
      <c r="FG13" s="13" t="n">
        <f aca="false">IFERROR(AVERAGEIF('Pemetaan Variant'!$A$5:$A$32,$B13,'Pemetaan Variant'!$BQ$5:$BQ$32),"n/a")</f>
        <v>29333.3333333333</v>
      </c>
      <c r="FH13" s="14" t="n">
        <f aca="false">IFERROR(IF(ISNUMBER(FG13),(FG13-AVERAGEIF('Pemetaan Variant'!$A$5:$A$32,$B13,'Pemetaan Variant'!$O$5:$O$32))/AVERAGEIF('Pemetaan Variant'!$A$5:$A$32,$B13,'Pemetaan Variant'!$O$5:$O$32)*100,"n/a"),"n/a")</f>
        <v>27.536231884058</v>
      </c>
      <c r="FI13" s="4" t="n">
        <f aca="false">IFERROR(IF(ISNUMBER(FH13),$C13*FH13,"n/a"),"n/a")</f>
        <v>0.487439007093538</v>
      </c>
      <c r="FJ13" s="13" t="n">
        <f aca="false">IFERROR(AVERAGEIF('Pemetaan Variant'!$A$5:$A$32,$B13,'Pemetaan Variant'!$BR$5:$BR$32),"n/a")</f>
        <v>30000</v>
      </c>
      <c r="FK13" s="14" t="n">
        <f aca="false">IFERROR(IF(ISNUMBER(FJ13),(FJ13-AVERAGEIF('Pemetaan Variant'!$A$5:$A$32,$B13,'Pemetaan Variant'!$O$5:$O$32))/AVERAGEIF('Pemetaan Variant'!$A$5:$A$32,$B13,'Pemetaan Variant'!$O$5:$O$32)*100,"n/a"),"n/a")</f>
        <v>30.4347826086957</v>
      </c>
      <c r="FL13" s="4" t="n">
        <f aca="false">IFERROR(IF(ISNUMBER(FK13),$C13*FK13,"n/a"),"n/a")</f>
        <v>0.538748376261279</v>
      </c>
      <c r="FM13" s="15"/>
      <c r="FO13" s="11" t="n">
        <f aca="false">IFERROR(ABS(F13),0)</f>
        <v>0.785691864234363</v>
      </c>
      <c r="FP13" s="11" t="n">
        <f aca="false">IFERROR(ABS(I13),0)</f>
        <v>0.899285868701982</v>
      </c>
      <c r="FQ13" s="11" t="n">
        <f aca="false">IFERROR(ABS(L13),0)</f>
        <v>0.876567067808459</v>
      </c>
      <c r="FR13" s="11" t="n">
        <f aca="false">IFERROR(ABS(O13),0)</f>
        <v>0.791371564457744</v>
      </c>
      <c r="FS13" s="11" t="n">
        <f aca="false">IFERROR(ABS(R13),0)</f>
        <v>0.899285868701982</v>
      </c>
      <c r="FT13" s="11" t="n">
        <f aca="false">IFERROR(ABS(U13),0)</f>
        <v>0.0312680172791448</v>
      </c>
      <c r="FU13" s="11" t="n">
        <f aca="false">IFERROR(ABS(X13),0)</f>
        <v>0.0312680172791448</v>
      </c>
      <c r="FV13" s="11" t="n">
        <f aca="false">IFERROR(ABS(AA13),0)</f>
        <v>0.130922214284935</v>
      </c>
      <c r="FW13" s="11" t="n">
        <f aca="false">IFERROR(ABS(AD13),0)</f>
        <v>0.146253629208903</v>
      </c>
      <c r="FX13" s="11" t="n">
        <f aca="false">IFERROR(ABS(AG13),0)</f>
        <v>0.0848449045714932</v>
      </c>
      <c r="FY13" s="11" t="n">
        <f aca="false">IFERROR(ABS(AJ13),0)</f>
        <v>0.121482477000092</v>
      </c>
      <c r="FZ13" s="11" t="n">
        <f aca="false">IFERROR(ABS(AM13),0)</f>
        <v>0.0775173900857733</v>
      </c>
      <c r="GA13" s="11" t="n">
        <f aca="false">IFERROR(ABS(AP13),0)</f>
        <v>0.0207291528214444</v>
      </c>
      <c r="GB13" s="11" t="n">
        <f aca="false">IFERROR(ABS(AS13),0)</f>
        <v>0</v>
      </c>
      <c r="GC13" s="11" t="n">
        <f aca="false">IFERROR(ABS(AV13),0)</f>
        <v>0</v>
      </c>
      <c r="GD13" s="11" t="n">
        <f aca="false">IFERROR(ABS(AY13),0)</f>
        <v>0.530850126731467</v>
      </c>
      <c r="GE13" s="11" t="n">
        <f aca="false">IFERROR(ABS(BB13),0)</f>
        <v>0.506881133366691</v>
      </c>
      <c r="GF13" s="11" t="n">
        <f aca="false">IFERROR(ABS(BE13),0)</f>
        <v>0.10516080457304</v>
      </c>
      <c r="GG13" s="11" t="n">
        <f aca="false">IFERROR(ABS(BH13),0)</f>
        <v>0.670795407289319</v>
      </c>
      <c r="GH13" s="11" t="n">
        <f aca="false">IFERROR(ABS(BK13),0)</f>
        <v>0.788691045870472</v>
      </c>
      <c r="GI13" s="11" t="n">
        <f aca="false">IFERROR(ABS(BN13),0)</f>
        <v>0.830754568316897</v>
      </c>
      <c r="GJ13" s="11" t="n">
        <f aca="false">IFERROR(ABS(BQ13),0)</f>
        <v>1.06911452884664</v>
      </c>
      <c r="GK13" s="11" t="n">
        <f aca="false">IFERROR(ABS(BT13),0)</f>
        <v>1.06911452884664</v>
      </c>
      <c r="GL13" s="11" t="n">
        <f aca="false">IFERROR(ABS(BW13),0)</f>
        <v>1.02237728168395</v>
      </c>
      <c r="GM13" s="11" t="n">
        <f aca="false">IFERROR(ABS(BZ13),0)</f>
        <v>0.763559180937294</v>
      </c>
      <c r="GN13" s="11" t="n">
        <f aca="false">IFERROR(ABS(CC13),0)</f>
        <v>0.33477369494548</v>
      </c>
      <c r="GO13" s="11" t="n">
        <f aca="false">IFERROR(ABS(CF13),0)</f>
        <v>0.179768888244696</v>
      </c>
      <c r="GP13" s="11" t="n">
        <f aca="false">IFERROR(ABS(CI13),0)</f>
        <v>0.0550312923198048</v>
      </c>
      <c r="GQ13" s="11" t="n">
        <f aca="false">IFERROR(ABS(CL13),0)</f>
        <v>0.022747553270044</v>
      </c>
      <c r="GR13" s="11" t="n">
        <f aca="false">IFERROR(ABS(CO13),0)</f>
        <v>0.381331711181465</v>
      </c>
      <c r="GS13" s="11" t="n">
        <f aca="false">IFERROR(ABS(CR13),0)</f>
        <v>0.353207463502138</v>
      </c>
      <c r="GT13" s="11" t="n">
        <f aca="false">IFERROR(ABS(CU13),0)</f>
        <v>0.339145339662474</v>
      </c>
      <c r="GU13" s="11" t="n">
        <f aca="false">IFERROR(ABS(CX13),0)</f>
        <v>0.233679410864997</v>
      </c>
      <c r="GV13" s="11" t="n">
        <f aca="false">IFERROR(ABS(DA13),0)</f>
        <v>0.129460430713531</v>
      </c>
      <c r="GW13" s="11" t="n">
        <f aca="false">IFERROR(ABS(DD13),0)</f>
        <v>0.165920715281832</v>
      </c>
      <c r="GX13" s="11" t="n">
        <f aca="false">IFERROR(ABS(DG13),0)</f>
        <v>0.311761853555034</v>
      </c>
      <c r="GY13" s="11" t="n">
        <f aca="false">IFERROR(ABS(DJ13),0)</f>
        <v>0.311761853555034</v>
      </c>
      <c r="GZ13" s="11" t="n">
        <f aca="false">IFERROR(ABS(DM13),0)</f>
        <v>0.133770855330182</v>
      </c>
      <c r="HA13" s="11" t="n">
        <f aca="false">IFERROR(ABS(DP13),0)</f>
        <v>0.23822207113594</v>
      </c>
      <c r="HB13" s="11" t="n">
        <f aca="false">IFERROR(ABS(DS13),0)</f>
        <v>0.210368413587738</v>
      </c>
      <c r="HC13" s="11" t="n">
        <f aca="false">IFERROR(ABS(DV13),0)</f>
        <v>0.11288061216903</v>
      </c>
      <c r="HD13" s="11" t="n">
        <f aca="false">IFERROR(ABS(DY13),0)</f>
        <v>0.240092461933187</v>
      </c>
      <c r="HE13" s="11" t="n">
        <f aca="false">IFERROR(ABS(EB13),0)</f>
        <v>0.17823813275718</v>
      </c>
      <c r="HF13" s="11" t="n">
        <f aca="false">IFERROR(ABS(EE13),0)</f>
        <v>0.0691791839468506</v>
      </c>
      <c r="HG13" s="11" t="n">
        <f aca="false">IFERROR(ABS(EH13),0)</f>
        <v>0.0236023098171608</v>
      </c>
      <c r="HH13" s="11" t="n">
        <f aca="false">IFERROR(ABS(EK13),0)</f>
        <v>0.0854566389931684</v>
      </c>
      <c r="HI13" s="11" t="n">
        <f aca="false">IFERROR(ABS(EN13),0)</f>
        <v>0.141613858902965</v>
      </c>
      <c r="HJ13" s="11" t="n">
        <f aca="false">IFERROR(ABS(EQ13),0)</f>
        <v>0.141613858902965</v>
      </c>
      <c r="HK13" s="11" t="n">
        <f aca="false">IFERROR(ABS(ET13),0)</f>
        <v>0.00643699358649851</v>
      </c>
      <c r="HL13" s="11" t="n">
        <f aca="false">IFERROR(ABS(EW13),0)</f>
        <v>0.00643699358649851</v>
      </c>
      <c r="HM13" s="11" t="n">
        <f aca="false">IFERROR(ABS(EZ13),0)</f>
        <v>0.200106539754189</v>
      </c>
      <c r="HN13" s="11" t="n">
        <f aca="false">IFERROR(ABS(FC13),0)</f>
        <v>0.415605890258701</v>
      </c>
      <c r="HO13" s="11" t="n">
        <f aca="false">IFERROR(ABS(FF13),0)</f>
        <v>0.277070593505801</v>
      </c>
      <c r="HP13" s="11" t="n">
        <f aca="false">IFERROR(ABS(FI13),0)</f>
        <v>0.487439007093538</v>
      </c>
      <c r="HQ13" s="11" t="n">
        <f aca="false">IFERROR(ABS(FL13),0)</f>
        <v>0.538748376261279</v>
      </c>
    </row>
    <row r="14" customFormat="false" ht="15" hidden="false" customHeight="false" outlineLevel="0" collapsed="false">
      <c r="A14" s="3" t="n">
        <v>9</v>
      </c>
      <c r="B14" s="3" t="s">
        <v>244</v>
      </c>
      <c r="C14" s="12" t="n">
        <f aca="false">'P0Q0 Dasar 2022'!F13</f>
        <v>0.0298777910794593</v>
      </c>
      <c r="D14" s="13" t="n">
        <f aca="false">IFERROR(AVERAGEIF('Pemetaan Variant'!$A$5:$A$32,$B14,'Pemetaan Variant'!$P$5:$P$32),"n/a")</f>
        <v>27000</v>
      </c>
      <c r="E14" s="14" t="n">
        <f aca="false">IFERROR(IF(ISNUMBER(D14),(D14-AVERAGEIF('Pemetaan Variant'!$A$5:$A$32,$B14,'Pemetaan Variant'!$D$5:$D$32))/AVERAGEIF('Pemetaan Variant'!$A$5:$A$32,$B14,'Pemetaan Variant'!$D$5:$D$32)*100,"n/a"),"n/a")</f>
        <v>0.934579439252336</v>
      </c>
      <c r="F14" s="4" t="n">
        <f aca="false">IFERROR(IF(ISNUMBER(E14),$C14*E14,"n/a"),"n/a")</f>
        <v>0.0279231692331395</v>
      </c>
      <c r="G14" s="13" t="n">
        <f aca="false">IFERROR(AVERAGEIF('Pemetaan Variant'!$A$5:$A$32,$B14,'Pemetaan Variant'!$Q$5:$Q$32),"n/a")</f>
        <v>26900</v>
      </c>
      <c r="H14" s="14" t="n">
        <f aca="false">IFERROR(IF(ISNUMBER(G14),(G14-AVERAGEIF('Pemetaan Variant'!$A$5:$A$32,$B14,'Pemetaan Variant'!$D$5:$D$32))/AVERAGEIF('Pemetaan Variant'!$A$5:$A$32,$B14,'Pemetaan Variant'!$D$5:$D$32)*100,"n/a"),"n/a")</f>
        <v>0.560747663551402</v>
      </c>
      <c r="I14" s="4" t="n">
        <f aca="false">IFERROR(IF(ISNUMBER(H14),$C14*H14,"n/a"),"n/a")</f>
        <v>0.0167539015398837</v>
      </c>
      <c r="J14" s="13" t="n">
        <f aca="false">IFERROR(AVERAGEIF('Pemetaan Variant'!$A$5:$A$32,$B14,'Pemetaan Variant'!$R$5:$R$32),"n/a")</f>
        <v>23600</v>
      </c>
      <c r="K14" s="14" t="n">
        <f aca="false">IFERROR(IF(ISNUMBER(J14),(J14-AVERAGEIF('Pemetaan Variant'!$A$5:$A$32,$B14,'Pemetaan Variant'!$D$5:$D$32))/AVERAGEIF('Pemetaan Variant'!$A$5:$A$32,$B14,'Pemetaan Variant'!$D$5:$D$32)*100,"n/a"),"n/a")</f>
        <v>-11.7757009345794</v>
      </c>
      <c r="L14" s="4" t="n">
        <f aca="false">IFERROR(IF(ISNUMBER(K14),$C14*K14,"n/a"),"n/a")</f>
        <v>-0.351831932337558</v>
      </c>
      <c r="M14" s="13" t="n">
        <f aca="false">IFERROR(AVERAGEIF('Pemetaan Variant'!$A$5:$A$32,$B14,'Pemetaan Variant'!$S$5:$S$32),"n/a")</f>
        <v>24500</v>
      </c>
      <c r="N14" s="14" t="n">
        <f aca="false">IFERROR(IF(ISNUMBER(M14),(M14-AVERAGEIF('Pemetaan Variant'!$A$5:$A$32,$B14,'Pemetaan Variant'!$D$5:$D$32))/AVERAGEIF('Pemetaan Variant'!$A$5:$A$32,$B14,'Pemetaan Variant'!$D$5:$D$32)*100,"n/a"),"n/a")</f>
        <v>-8.41121495327103</v>
      </c>
      <c r="O14" s="4" t="n">
        <f aca="false">IFERROR(IF(ISNUMBER(N14),$C14*N14,"n/a"),"n/a")</f>
        <v>-0.251308523098256</v>
      </c>
      <c r="P14" s="13" t="n">
        <f aca="false">IFERROR(AVERAGEIF('Pemetaan Variant'!$A$5:$A$32,$B14,'Pemetaan Variant'!$T$5:$T$32),"n/a")</f>
        <v>24500</v>
      </c>
      <c r="Q14" s="14" t="n">
        <f aca="false">IFERROR(IF(ISNUMBER(P14),(P14-AVERAGEIF('Pemetaan Variant'!$A$5:$A$32,$B14,'Pemetaan Variant'!$D$5:$D$32))/AVERAGEIF('Pemetaan Variant'!$A$5:$A$32,$B14,'Pemetaan Variant'!$D$5:$D$32)*100,"n/a"),"n/a")</f>
        <v>-8.41121495327103</v>
      </c>
      <c r="R14" s="4" t="n">
        <f aca="false">IFERROR(IF(ISNUMBER(Q14),$C14*Q14,"n/a"),"n/a")</f>
        <v>-0.251308523098256</v>
      </c>
      <c r="S14" s="13" t="n">
        <f aca="false">IFERROR(AVERAGEIF('Pemetaan Variant'!$A$5:$A$32,$B14,'Pemetaan Variant'!$U$5:$U$32),"n/a")</f>
        <v>24900</v>
      </c>
      <c r="T14" s="14" t="n">
        <f aca="false">IFERROR(IF(ISNUMBER(S14),(S14-AVERAGEIF('Pemetaan Variant'!$A$5:$A$32,$B14,'Pemetaan Variant'!$E$5:$E$32))/AVERAGEIF('Pemetaan Variant'!$A$5:$A$32,$B14,'Pemetaan Variant'!$E$5:$E$32)*100,"n/a"),"n/a")</f>
        <v>-1.02510460251047</v>
      </c>
      <c r="U14" s="4" t="n">
        <f aca="false">IFERROR(IF(ISNUMBER(T14),$C14*T14,"n/a"),"n/a")</f>
        <v>-0.0306278611483999</v>
      </c>
      <c r="V14" s="13" t="n">
        <f aca="false">IFERROR(AVERAGEIF('Pemetaan Variant'!$A$5:$A$32,$B14,'Pemetaan Variant'!$V$5:$V$32),"n/a")</f>
        <v>25500</v>
      </c>
      <c r="W14" s="14" t="n">
        <f aca="false">IFERROR(IF(ISNUMBER(V14),(V14-AVERAGEIF('Pemetaan Variant'!$A$5:$A$32,$B14,'Pemetaan Variant'!$E$5:$E$32))/AVERAGEIF('Pemetaan Variant'!$A$5:$A$32,$B14,'Pemetaan Variant'!$E$5:$E$32)*100,"n/a"),"n/a")</f>
        <v>1.35983263598326</v>
      </c>
      <c r="X14" s="4" t="n">
        <f aca="false">IFERROR(IF(ISNUMBER(W14),$C14*W14,"n/a"),"n/a")</f>
        <v>0.0406287954009382</v>
      </c>
      <c r="Y14" s="13" t="n">
        <f aca="false">IFERROR(AVERAGEIF('Pemetaan Variant'!$A$5:$A$32,$B14,'Pemetaan Variant'!$W$5:$W$32),"n/a")</f>
        <v>26100</v>
      </c>
      <c r="Z14" s="14" t="n">
        <f aca="false">IFERROR(IF(ISNUMBER(Y14),(Y14-AVERAGEIF('Pemetaan Variant'!$A$5:$A$32,$B14,'Pemetaan Variant'!$E$5:$E$32))/AVERAGEIF('Pemetaan Variant'!$A$5:$A$32,$B14,'Pemetaan Variant'!$E$5:$E$32)*100,"n/a"),"n/a")</f>
        <v>3.74476987447698</v>
      </c>
      <c r="AA14" s="4" t="n">
        <f aca="false">IFERROR(IF(ISNUMBER(Z14),$C14*Z14,"n/a"),"n/a")</f>
        <v>0.111885451950276</v>
      </c>
      <c r="AB14" s="13" t="n">
        <f aca="false">IFERROR(AVERAGEIF('Pemetaan Variant'!$A$5:$A$32,$B14,'Pemetaan Variant'!$X$5:$X$32),"n/a")</f>
        <v>26500</v>
      </c>
      <c r="AC14" s="14" t="n">
        <f aca="false">IFERROR(IF(ISNUMBER(AB14),(AB14-AVERAGEIF('Pemetaan Variant'!$A$5:$A$32,$B14,'Pemetaan Variant'!$E$5:$E$32))/AVERAGEIF('Pemetaan Variant'!$A$5:$A$32,$B14,'Pemetaan Variant'!$E$5:$E$32)*100,"n/a"),"n/a")</f>
        <v>5.3347280334728</v>
      </c>
      <c r="AD14" s="4" t="n">
        <f aca="false">IFERROR(IF(ISNUMBER(AC14),$C14*AC14,"n/a"),"n/a")</f>
        <v>0.159389889649835</v>
      </c>
      <c r="AE14" s="13" t="n">
        <f aca="false">IFERROR(AVERAGEIF('Pemetaan Variant'!$A$5:$A$32,$B14,'Pemetaan Variant'!$Y$5:$Y$32),"n/a")</f>
        <v>26100</v>
      </c>
      <c r="AF14" s="14" t="n">
        <f aca="false">IFERROR(IF(ISNUMBER(AE14),(AE14-AVERAGEIF('Pemetaan Variant'!$A$5:$A$32,$B14,'Pemetaan Variant'!$F$5:$F$32))/AVERAGEIF('Pemetaan Variant'!$A$5:$A$32,$B14,'Pemetaan Variant'!$F$5:$F$32)*100,"n/a"),"n/a")</f>
        <v>1.51484135107472</v>
      </c>
      <c r="AG14" s="4" t="n">
        <f aca="false">IFERROR(IF(ISNUMBER(AF14),$C14*AF14,"n/a"),"n/a")</f>
        <v>0.0452601134059363</v>
      </c>
      <c r="AH14" s="13" t="n">
        <f aca="false">IFERROR(AVERAGEIF('Pemetaan Variant'!$A$5:$A$32,$B14,'Pemetaan Variant'!$Z$5:$Z$32),"n/a")</f>
        <v>25600</v>
      </c>
      <c r="AI14" s="14" t="n">
        <f aca="false">IFERROR(IF(ISNUMBER(AH14),(AH14-AVERAGEIF('Pemetaan Variant'!$A$5:$A$32,$B14,'Pemetaan Variant'!$F$5:$F$32))/AVERAGEIF('Pemetaan Variant'!$A$5:$A$32,$B14,'Pemetaan Variant'!$F$5:$F$32)*100,"n/a"),"n/a")</f>
        <v>-0.429887410440121</v>
      </c>
      <c r="AJ14" s="4" t="n">
        <f aca="false">IFERROR(IF(ISNUMBER(AI14),$C14*AI14,"n/a"),"n/a")</f>
        <v>-0.0128440862368197</v>
      </c>
      <c r="AK14" s="13" t="n">
        <f aca="false">IFERROR(AVERAGEIF('Pemetaan Variant'!$A$5:$A$32,$B14,'Pemetaan Variant'!$AA$5:$AA$32),"n/a")</f>
        <v>25000</v>
      </c>
      <c r="AL14" s="14" t="n">
        <f aca="false">IFERROR(IF(ISNUMBER(AK14),(AK14-AVERAGEIF('Pemetaan Variant'!$A$5:$A$32,$B14,'Pemetaan Variant'!$F$5:$F$32))/AVERAGEIF('Pemetaan Variant'!$A$5:$A$32,$B14,'Pemetaan Variant'!$F$5:$F$32)*100,"n/a"),"n/a")</f>
        <v>-2.76356192425793</v>
      </c>
      <c r="AM14" s="4" t="n">
        <f aca="false">IFERROR(IF(ISNUMBER(AL14),$C14*AL14,"n/a"),"n/a")</f>
        <v>-0.082569125808127</v>
      </c>
      <c r="AN14" s="13" t="n">
        <f aca="false">IFERROR(AVERAGEIF('Pemetaan Variant'!$A$5:$A$32,$B14,'Pemetaan Variant'!$AB$5:$AB$32),"n/a")</f>
        <v>24875</v>
      </c>
      <c r="AO14" s="14" t="n">
        <f aca="false">IFERROR(IF(ISNUMBER(AN14),(AN14-AVERAGEIF('Pemetaan Variant'!$A$5:$A$32,$B14,'Pemetaan Variant'!$F$5:$F$32))/AVERAGEIF('Pemetaan Variant'!$A$5:$A$32,$B14,'Pemetaan Variant'!$F$5:$F$32)*100,"n/a"),"n/a")</f>
        <v>-3.24974411463664</v>
      </c>
      <c r="AP14" s="4" t="n">
        <f aca="false">IFERROR(IF(ISNUMBER(AO14),$C14*AO14,"n/a"),"n/a")</f>
        <v>-0.097095175718816</v>
      </c>
      <c r="AQ14" s="13" t="str">
        <f aca="false">IFERROR(AVERAGEIF('Pemetaan Variant'!$A$5:$A$32,$B14,'Pemetaan Variant'!$AC$5:$AC$32),"n/a")</f>
        <v>n/a</v>
      </c>
      <c r="AR14" s="14" t="str">
        <f aca="false">IFERROR(IF(ISNUMBER(AQ14),(AQ14-AVERAGEIF('Pemetaan Variant'!$A$5:$A$32,$B14,'Pemetaan Variant'!$F$5:$F$32))/AVERAGEIF('Pemetaan Variant'!$A$5:$A$32,$B14,'Pemetaan Variant'!$F$5:$F$32)*100,"n/a"),"n/a")</f>
        <v>n/a</v>
      </c>
      <c r="AS14" s="4" t="str">
        <f aca="false">IFERROR(IF(ISNUMBER(AR14),$C14*AR14,"n/a"),"n/a")</f>
        <v>n/a</v>
      </c>
      <c r="AT14" s="13" t="str">
        <f aca="false">IFERROR(AVERAGEIF('Pemetaan Variant'!$A$5:$A$32,$B14,'Pemetaan Variant'!$AD$5:$AD$32),"n/a")</f>
        <v>n/a</v>
      </c>
      <c r="AU14" s="14" t="str">
        <f aca="false">IFERROR(IF(ISNUMBER(AT14),(AT14-AVERAGEIF('Pemetaan Variant'!$A$5:$A$32,$B14,'Pemetaan Variant'!$G$5:$G$32))/AVERAGEIF('Pemetaan Variant'!$A$5:$A$32,$B14,'Pemetaan Variant'!$G$5:$G$32)*100,"n/a"),"n/a")</f>
        <v>n/a</v>
      </c>
      <c r="AV14" s="4" t="str">
        <f aca="false">IFERROR(IF(ISNUMBER(AU14),$C14*AU14,"n/a"),"n/a")</f>
        <v>n/a</v>
      </c>
      <c r="AW14" s="13" t="n">
        <f aca="false">IFERROR(AVERAGEIF('Pemetaan Variant'!$A$5:$A$32,$B14,'Pemetaan Variant'!$AE$5:$AE$32),"n/a")</f>
        <v>24250</v>
      </c>
      <c r="AX14" s="14" t="n">
        <f aca="false">IFERROR(IF(ISNUMBER(AW14),(AW14-AVERAGEIF('Pemetaan Variant'!$A$5:$A$32,$B14,'Pemetaan Variant'!$G$5:$G$32))/AVERAGEIF('Pemetaan Variant'!$A$5:$A$32,$B14,'Pemetaan Variant'!$G$5:$G$32)*100,"n/a"),"n/a")</f>
        <v>-4.60662525879917</v>
      </c>
      <c r="AY14" s="4" t="n">
        <f aca="false">IFERROR(IF(ISNUMBER(AX14),$C14*AX14,"n/a"),"n/a")</f>
        <v>-0.137635787063762</v>
      </c>
      <c r="AZ14" s="13" t="n">
        <f aca="false">IFERROR(AVERAGEIF('Pemetaan Variant'!$A$5:$A$32,$B14,'Pemetaan Variant'!$AF$5:$AF$32),"n/a")</f>
        <v>23375</v>
      </c>
      <c r="BA14" s="14" t="n">
        <f aca="false">IFERROR(IF(ISNUMBER(AZ14),(AZ14-AVERAGEIF('Pemetaan Variant'!$A$5:$A$32,$B14,'Pemetaan Variant'!$G$5:$G$32))/AVERAGEIF('Pemetaan Variant'!$A$5:$A$32,$B14,'Pemetaan Variant'!$G$5:$G$32)*100,"n/a"),"n/a")</f>
        <v>-8.04865424430641</v>
      </c>
      <c r="BB14" s="4" t="n">
        <f aca="false">IFERROR(IF(ISNUMBER(BA14),$C14*BA14,"n/a"),"n/a")</f>
        <v>-0.24047600998219</v>
      </c>
      <c r="BC14" s="13" t="n">
        <f aca="false">IFERROR(AVERAGEIF('Pemetaan Variant'!$A$5:$A$32,$B14,'Pemetaan Variant'!$AG$5:$AG$32),"n/a")</f>
        <v>23000</v>
      </c>
      <c r="BD14" s="14" t="n">
        <f aca="false">IFERROR(IF(ISNUMBER(BC14),(BC14-AVERAGEIF('Pemetaan Variant'!$A$5:$A$32,$B14,'Pemetaan Variant'!$G$5:$G$32))/AVERAGEIF('Pemetaan Variant'!$A$5:$A$32,$B14,'Pemetaan Variant'!$G$5:$G$32)*100,"n/a"),"n/a")</f>
        <v>-9.52380952380952</v>
      </c>
      <c r="BE14" s="4" t="n">
        <f aca="false">IFERROR(IF(ISNUMBER(BD14),$C14*BD14,"n/a"),"n/a")</f>
        <v>-0.284550391232946</v>
      </c>
      <c r="BF14" s="13" t="n">
        <f aca="false">IFERROR(AVERAGEIF('Pemetaan Variant'!$A$5:$A$32,$B14,'Pemetaan Variant'!$AH$5:$AH$32),"n/a")</f>
        <v>23000</v>
      </c>
      <c r="BG14" s="14" t="n">
        <f aca="false">IFERROR(IF(ISNUMBER(BF14),(BF14-AVERAGEIF('Pemetaan Variant'!$A$5:$A$32,$B14,'Pemetaan Variant'!$G$5:$G$32))/AVERAGEIF('Pemetaan Variant'!$A$5:$A$32,$B14,'Pemetaan Variant'!$G$5:$G$32)*100,"n/a"),"n/a")</f>
        <v>-9.52380952380952</v>
      </c>
      <c r="BH14" s="4" t="n">
        <f aca="false">IFERROR(IF(ISNUMBER(BG14),$C14*BG14,"n/a"),"n/a")</f>
        <v>-0.284550391232946</v>
      </c>
      <c r="BI14" s="13" t="n">
        <f aca="false">IFERROR(AVERAGEIF('Pemetaan Variant'!$A$5:$A$32,$B14,'Pemetaan Variant'!$AI$5:$AI$32),"n/a")</f>
        <v>23000</v>
      </c>
      <c r="BJ14" s="14" t="n">
        <f aca="false">IFERROR(IF(ISNUMBER(BI14),(BI14-AVERAGEIF('Pemetaan Variant'!$A$5:$A$32,$B14,'Pemetaan Variant'!$H$5:$H$32))/AVERAGEIF('Pemetaan Variant'!$A$5:$A$32,$B14,'Pemetaan Variant'!$H$5:$H$32)*100,"n/a"),"n/a")</f>
        <v>-1.73564753004005</v>
      </c>
      <c r="BK14" s="4" t="n">
        <f aca="false">IFERROR(IF(ISNUMBER(BJ14),$C14*BJ14,"n/a"),"n/a")</f>
        <v>-0.0518573142901163</v>
      </c>
      <c r="BL14" s="13" t="n">
        <f aca="false">IFERROR(AVERAGEIF('Pemetaan Variant'!$A$5:$A$32,$B14,'Pemetaan Variant'!$AJ$5:$AJ$32),"n/a")</f>
        <v>23000</v>
      </c>
      <c r="BM14" s="14" t="n">
        <f aca="false">IFERROR(IF(ISNUMBER(BL14),(BL14-AVERAGEIF('Pemetaan Variant'!$A$5:$A$32,$B14,'Pemetaan Variant'!$H$5:$H$32))/AVERAGEIF('Pemetaan Variant'!$A$5:$A$32,$B14,'Pemetaan Variant'!$H$5:$H$32)*100,"n/a"),"n/a")</f>
        <v>-1.73564753004005</v>
      </c>
      <c r="BN14" s="4" t="n">
        <f aca="false">IFERROR(IF(ISNUMBER(BM14),$C14*BM14,"n/a"),"n/a")</f>
        <v>-0.0518573142901163</v>
      </c>
      <c r="BO14" s="13" t="n">
        <f aca="false">IFERROR(AVERAGEIF('Pemetaan Variant'!$A$5:$A$32,$B14,'Pemetaan Variant'!$AK$5:$AK$32),"n/a")</f>
        <v>23000</v>
      </c>
      <c r="BP14" s="14" t="n">
        <f aca="false">IFERROR(IF(ISNUMBER(BO14),(BO14-AVERAGEIF('Pemetaan Variant'!$A$5:$A$32,$B14,'Pemetaan Variant'!$H$5:$H$32))/AVERAGEIF('Pemetaan Variant'!$A$5:$A$32,$B14,'Pemetaan Variant'!$H$5:$H$32)*100,"n/a"),"n/a")</f>
        <v>-1.73564753004005</v>
      </c>
      <c r="BQ14" s="4" t="n">
        <f aca="false">IFERROR(IF(ISNUMBER(BP14),$C14*BP14,"n/a"),"n/a")</f>
        <v>-0.0518573142901163</v>
      </c>
      <c r="BR14" s="13" t="n">
        <f aca="false">IFERROR(AVERAGEIF('Pemetaan Variant'!$A$5:$A$32,$B14,'Pemetaan Variant'!$AL$5:$AL$32),"n/a")</f>
        <v>23000</v>
      </c>
      <c r="BS14" s="14" t="n">
        <f aca="false">IFERROR(IF(ISNUMBER(BR14),(BR14-AVERAGEIF('Pemetaan Variant'!$A$5:$A$32,$B14,'Pemetaan Variant'!$H$5:$H$32))/AVERAGEIF('Pemetaan Variant'!$A$5:$A$32,$B14,'Pemetaan Variant'!$H$5:$H$32)*100,"n/a"),"n/a")</f>
        <v>-1.73564753004005</v>
      </c>
      <c r="BT14" s="4" t="n">
        <f aca="false">IFERROR(IF(ISNUMBER(BS14),$C14*BS14,"n/a"),"n/a")</f>
        <v>-0.0518573142901163</v>
      </c>
      <c r="BU14" s="13" t="n">
        <f aca="false">IFERROR(AVERAGEIF('Pemetaan Variant'!$A$5:$A$32,$B14,'Pemetaan Variant'!$AM$5:$AM$32),"n/a")</f>
        <v>23833.3333333333</v>
      </c>
      <c r="BV14" s="14" t="n">
        <f aca="false">IFERROR(IF(ISNUMBER(BU14),(BU14-AVERAGEIF('Pemetaan Variant'!$A$5:$A$32,$B14,'Pemetaan Variant'!$H$5:$H$32))/AVERAGEIF('Pemetaan Variant'!$A$5:$A$32,$B14,'Pemetaan Variant'!$H$5:$H$32)*100,"n/a"),"n/a")</f>
        <v>1.82465509568313</v>
      </c>
      <c r="BW14" s="4" t="n">
        <f aca="false">IFERROR(IF(ISNUMBER(BV14),$C14*BV14,"n/a"),"n/a")</f>
        <v>0.0545166637408913</v>
      </c>
      <c r="BX14" s="13" t="n">
        <f aca="false">IFERROR(AVERAGEIF('Pemetaan Variant'!$A$5:$A$32,$B14,'Pemetaan Variant'!$AN$5:$AN$32),"n/a")</f>
        <v>25000</v>
      </c>
      <c r="BY14" s="14" t="n">
        <f aca="false">IFERROR(IF(ISNUMBER(BX14),(BX14-AVERAGEIF('Pemetaan Variant'!$A$5:$A$32,$B14,'Pemetaan Variant'!$I$5:$I$32))/AVERAGEIF('Pemetaan Variant'!$A$5:$A$32,$B14,'Pemetaan Variant'!$I$5:$I$32)*100,"n/a"),"n/a")</f>
        <v>8.00508259212198</v>
      </c>
      <c r="BZ14" s="4" t="n">
        <f aca="false">IFERROR(IF(ISNUMBER(BY14),$C14*BY14,"n/a"),"n/a")</f>
        <v>0.239174185261237</v>
      </c>
      <c r="CA14" s="13" t="n">
        <f aca="false">IFERROR(AVERAGEIF('Pemetaan Variant'!$A$5:$A$32,$B14,'Pemetaan Variant'!$AO$5:$AO$32),"n/a")</f>
        <v>24000</v>
      </c>
      <c r="CB14" s="14" t="n">
        <f aca="false">IFERROR(IF(ISNUMBER(CA14),(CA14-AVERAGEIF('Pemetaan Variant'!$A$5:$A$32,$B14,'Pemetaan Variant'!$I$5:$I$32))/AVERAGEIF('Pemetaan Variant'!$A$5:$A$32,$B14,'Pemetaan Variant'!$I$5:$I$32)*100,"n/a"),"n/a")</f>
        <v>3.6848792884371</v>
      </c>
      <c r="CC14" s="4" t="n">
        <f aca="false">IFERROR(IF(ISNUMBER(CB14),$C14*CB14,"n/a"),"n/a")</f>
        <v>0.11009605353295</v>
      </c>
      <c r="CD14" s="13" t="n">
        <f aca="false">IFERROR(AVERAGEIF('Pemetaan Variant'!$A$5:$A$32,$B14,'Pemetaan Variant'!$AP$5:$AP$32),"n/a")</f>
        <v>22200</v>
      </c>
      <c r="CE14" s="14" t="n">
        <f aca="false">IFERROR(IF(ISNUMBER(CD14),(CD14-AVERAGEIF('Pemetaan Variant'!$A$5:$A$32,$B14,'Pemetaan Variant'!$I$5:$I$32))/AVERAGEIF('Pemetaan Variant'!$A$5:$A$32,$B14,'Pemetaan Variant'!$I$5:$I$32)*100,"n/a"),"n/a")</f>
        <v>-4.09148665819568</v>
      </c>
      <c r="CF14" s="4" t="n">
        <f aca="false">IFERROR(IF(ISNUMBER(CE14),$C14*CE14,"n/a"),"n/a")</f>
        <v>-0.122244583577966</v>
      </c>
      <c r="CG14" s="13" t="n">
        <f aca="false">IFERROR(AVERAGEIF('Pemetaan Variant'!$A$5:$A$32,$B14,'Pemetaan Variant'!$AQ$5:$AQ$32),"n/a")</f>
        <v>23000</v>
      </c>
      <c r="CH14" s="14" t="n">
        <f aca="false">IFERROR(IF(ISNUMBER(CG14),(CG14-AVERAGEIF('Pemetaan Variant'!$A$5:$A$32,$B14,'Pemetaan Variant'!$I$5:$I$32))/AVERAGEIF('Pemetaan Variant'!$A$5:$A$32,$B14,'Pemetaan Variant'!$I$5:$I$32)*100,"n/a"),"n/a")</f>
        <v>-0.63532401524778</v>
      </c>
      <c r="CI14" s="4" t="n">
        <f aca="false">IFERROR(IF(ISNUMBER(CH14),$C14*CH14,"n/a"),"n/a")</f>
        <v>-0.0189820781953364</v>
      </c>
      <c r="CJ14" s="13" t="n">
        <f aca="false">IFERROR(AVERAGEIF('Pemetaan Variant'!$A$5:$A$32,$B14,'Pemetaan Variant'!$AR$5:$AR$32),"n/a")</f>
        <v>23250</v>
      </c>
      <c r="CK14" s="14" t="n">
        <f aca="false">IFERROR(IF(ISNUMBER(CJ14),(CJ14-AVERAGEIF('Pemetaan Variant'!$A$5:$A$32,$B14,'Pemetaan Variant'!$J$5:$J$32))/AVERAGEIF('Pemetaan Variant'!$A$5:$A$32,$B14,'Pemetaan Variant'!$J$5:$J$32)*100,"n/a"),"n/a")</f>
        <v>-0.939849624060156</v>
      </c>
      <c r="CL14" s="4" t="n">
        <f aca="false">IFERROR(IF(ISNUMBER(CK14),$C14*CK14,"n/a"),"n/a")</f>
        <v>-0.0280806307137777</v>
      </c>
      <c r="CM14" s="13" t="n">
        <f aca="false">IFERROR(AVERAGEIF('Pemetaan Variant'!$A$5:$A$32,$B14,'Pemetaan Variant'!$AS$5:$AS$32),"n/a")</f>
        <v>24400</v>
      </c>
      <c r="CN14" s="14" t="n">
        <f aca="false">IFERROR(IF(ISNUMBER(CM14),(CM14-AVERAGEIF('Pemetaan Variant'!$A$5:$A$32,$B14,'Pemetaan Variant'!$J$5:$J$32))/AVERAGEIF('Pemetaan Variant'!$A$5:$A$32,$B14,'Pemetaan Variant'!$J$5:$J$32)*100,"n/a"),"n/a")</f>
        <v>3.95989974937343</v>
      </c>
      <c r="CO14" s="4" t="n">
        <f aca="false">IFERROR(IF(ISNUMBER(CN14),$C14*CN14,"n/a"),"n/a")</f>
        <v>0.118313057407383</v>
      </c>
      <c r="CP14" s="13" t="n">
        <f aca="false">IFERROR(AVERAGEIF('Pemetaan Variant'!$A$5:$A$32,$B14,'Pemetaan Variant'!$AT$5:$AT$32),"n/a")</f>
        <v>24200</v>
      </c>
      <c r="CQ14" s="14" t="n">
        <f aca="false">IFERROR(IF(ISNUMBER(CP14),(CP14-AVERAGEIF('Pemetaan Variant'!$A$5:$A$32,$B14,'Pemetaan Variant'!$J$5:$J$32))/AVERAGEIF('Pemetaan Variant'!$A$5:$A$32,$B14,'Pemetaan Variant'!$J$5:$J$32)*100,"n/a"),"n/a")</f>
        <v>3.10776942355889</v>
      </c>
      <c r="CR14" s="4" t="n">
        <f aca="false">IFERROR(IF(ISNUMBER(CQ14),$C14*CQ14,"n/a"),"n/a")</f>
        <v>0.0928532855602242</v>
      </c>
      <c r="CS14" s="13" t="n">
        <f aca="false">IFERROR(AVERAGEIF('Pemetaan Variant'!$A$5:$A$32,$B14,'Pemetaan Variant'!$AU$5:$AU$32),"n/a")</f>
        <v>25000</v>
      </c>
      <c r="CT14" s="14" t="n">
        <f aca="false">IFERROR(IF(ISNUMBER(CS14),(CS14-AVERAGEIF('Pemetaan Variant'!$A$5:$A$32,$B14,'Pemetaan Variant'!$J$5:$J$32))/AVERAGEIF('Pemetaan Variant'!$A$5:$A$32,$B14,'Pemetaan Variant'!$J$5:$J$32)*100,"n/a"),"n/a")</f>
        <v>6.51629072681704</v>
      </c>
      <c r="CU14" s="4" t="n">
        <f aca="false">IFERROR(IF(ISNUMBER(CT14),$C14*CT14,"n/a"),"n/a")</f>
        <v>0.194692372948857</v>
      </c>
      <c r="CV14" s="13" t="n">
        <f aca="false">IFERROR(AVERAGEIF('Pemetaan Variant'!$A$5:$A$32,$B14,'Pemetaan Variant'!$AV$5:$AV$32),"n/a")</f>
        <v>23875</v>
      </c>
      <c r="CW14" s="14" t="n">
        <f aca="false">IFERROR(IF(ISNUMBER(CV14),(CV14-AVERAGEIF('Pemetaan Variant'!$A$5:$A$32,$B14,'Pemetaan Variant'!$J$5:$J$32))/AVERAGEIF('Pemetaan Variant'!$A$5:$A$32,$B14,'Pemetaan Variant'!$J$5:$J$32)*100,"n/a"),"n/a")</f>
        <v>1.72305764411027</v>
      </c>
      <c r="CX14" s="4" t="n">
        <f aca="false">IFERROR(IF(ISNUMBER(CW14),$C14*CW14,"n/a"),"n/a")</f>
        <v>0.051481156308592</v>
      </c>
      <c r="CY14" s="13" t="n">
        <f aca="false">IFERROR(AVERAGEIF('Pemetaan Variant'!$A$5:$A$32,$B14,'Pemetaan Variant'!$AW$5:$AW$32),"n/a")</f>
        <v>23000</v>
      </c>
      <c r="CZ14" s="14" t="n">
        <f aca="false">IFERROR(IF(ISNUMBER(CY14),(CY14-AVERAGEIF('Pemetaan Variant'!$A$5:$A$32,$B14,'Pemetaan Variant'!$K$5:$K$32))/AVERAGEIF('Pemetaan Variant'!$A$5:$A$32,$B14,'Pemetaan Variant'!$K$5:$K$32)*100,"n/a"),"n/a")</f>
        <v>-4.94159928122193</v>
      </c>
      <c r="DA14" s="4" t="n">
        <f aca="false">IFERROR(IF(ISNUMBER(CZ14),$C14*CZ14,"n/a"),"n/a")</f>
        <v>-0.147644070922755</v>
      </c>
      <c r="DB14" s="13" t="n">
        <f aca="false">IFERROR(AVERAGEIF('Pemetaan Variant'!$A$5:$A$32,$B14,'Pemetaan Variant'!$AX$5:$AX$32),"n/a")</f>
        <v>23200</v>
      </c>
      <c r="DC14" s="14" t="n">
        <f aca="false">IFERROR(IF(ISNUMBER(DB14),(DB14-AVERAGEIF('Pemetaan Variant'!$A$5:$A$32,$B14,'Pemetaan Variant'!$K$5:$K$32))/AVERAGEIF('Pemetaan Variant'!$A$5:$A$32,$B14,'Pemetaan Variant'!$K$5:$K$32)*100,"n/a"),"n/a")</f>
        <v>-4.11500449236299</v>
      </c>
      <c r="DD14" s="4" t="n">
        <f aca="false">IFERROR(IF(ISNUMBER(DC14),$C14*DC14,"n/a"),"n/a")</f>
        <v>-0.122947244513858</v>
      </c>
      <c r="DE14" s="13" t="n">
        <f aca="false">IFERROR(AVERAGEIF('Pemetaan Variant'!$A$5:$A$32,$B14,'Pemetaan Variant'!$AY$5:$AY$32),"n/a")</f>
        <v>24000</v>
      </c>
      <c r="DF14" s="14" t="n">
        <f aca="false">IFERROR(IF(ISNUMBER(DE14),(DE14-AVERAGEIF('Pemetaan Variant'!$A$5:$A$32,$B14,'Pemetaan Variant'!$K$5:$K$32))/AVERAGEIF('Pemetaan Variant'!$A$5:$A$32,$B14,'Pemetaan Variant'!$K$5:$K$32)*100,"n/a"),"n/a")</f>
        <v>-0.808625336927226</v>
      </c>
      <c r="DG14" s="4" t="n">
        <f aca="false">IFERROR(IF(ISNUMBER(DF14),$C14*DF14,"n/a"),"n/a")</f>
        <v>-0.024159938878269</v>
      </c>
      <c r="DH14" s="13" t="n">
        <f aca="false">IFERROR(AVERAGEIF('Pemetaan Variant'!$A$5:$A$32,$B14,'Pemetaan Variant'!$AZ$5:$AZ$32),"n/a")</f>
        <v>24000</v>
      </c>
      <c r="DI14" s="14" t="n">
        <f aca="false">IFERROR(IF(ISNUMBER(DH14),(DH14-AVERAGEIF('Pemetaan Variant'!$A$5:$A$32,$B14,'Pemetaan Variant'!$K$5:$K$32))/AVERAGEIF('Pemetaan Variant'!$A$5:$A$32,$B14,'Pemetaan Variant'!$K$5:$K$32)*100,"n/a"),"n/a")</f>
        <v>-0.808625336927226</v>
      </c>
      <c r="DJ14" s="4" t="n">
        <f aca="false">IFERROR(IF(ISNUMBER(DI14),$C14*DI14,"n/a"),"n/a")</f>
        <v>-0.024159938878269</v>
      </c>
      <c r="DK14" s="13" t="n">
        <f aca="false">IFERROR(AVERAGEIF('Pemetaan Variant'!$A$5:$A$32,$B14,'Pemetaan Variant'!$BA$5:$BA$32),"n/a")</f>
        <v>23750</v>
      </c>
      <c r="DL14" s="14" t="n">
        <f aca="false">IFERROR(IF(ISNUMBER(DK14),(DK14-AVERAGEIF('Pemetaan Variant'!$A$5:$A$32,$B14,'Pemetaan Variant'!$L$5:$L$32))/AVERAGEIF('Pemetaan Variant'!$A$5:$A$32,$B14,'Pemetaan Variant'!$L$5:$L$32)*100,"n/a"),"n/a")</f>
        <v>0.950782997762868</v>
      </c>
      <c r="DM14" s="4" t="n">
        <f aca="false">IFERROR(IF(ISNUMBER(DL14),$C14*DL14,"n/a"),"n/a")</f>
        <v>0.028407295769061</v>
      </c>
      <c r="DN14" s="13" t="n">
        <f aca="false">IFERROR(AVERAGEIF('Pemetaan Variant'!$A$5:$A$32,$B14,'Pemetaan Variant'!$BB$5:$BB$32),"n/a")</f>
        <v>23800</v>
      </c>
      <c r="DO14" s="14" t="n">
        <f aca="false">IFERROR(IF(ISNUMBER(DN14),(DN14-AVERAGEIF('Pemetaan Variant'!$A$5:$A$32,$B14,'Pemetaan Variant'!$L$5:$L$32))/AVERAGEIF('Pemetaan Variant'!$A$5:$A$32,$B14,'Pemetaan Variant'!$L$5:$L$32)*100,"n/a"),"n/a")</f>
        <v>1.16331096196868</v>
      </c>
      <c r="DP14" s="4" t="n">
        <f aca="false">IFERROR(IF(ISNUMBER(DO14),$C14*DO14,"n/a"),"n/a")</f>
        <v>0.0347571618821452</v>
      </c>
      <c r="DQ14" s="13" t="n">
        <f aca="false">IFERROR(AVERAGEIF('Pemetaan Variant'!$A$5:$A$32,$B14,'Pemetaan Variant'!$BC$5:$BC$32),"n/a")</f>
        <v>25400</v>
      </c>
      <c r="DR14" s="14" t="n">
        <f aca="false">IFERROR(IF(ISNUMBER(DQ14),(DQ14-AVERAGEIF('Pemetaan Variant'!$A$5:$A$32,$B14,'Pemetaan Variant'!$L$5:$L$32))/AVERAGEIF('Pemetaan Variant'!$A$5:$A$32,$B14,'Pemetaan Variant'!$L$5:$L$32)*100,"n/a"),"n/a")</f>
        <v>7.96420581655482</v>
      </c>
      <c r="DS14" s="4" t="n">
        <f aca="false">IFERROR(IF(ISNUMBER(DR14),$C14*DR14,"n/a"),"n/a")</f>
        <v>0.237952877500839</v>
      </c>
      <c r="DT14" s="13" t="n">
        <f aca="false">IFERROR(AVERAGEIF('Pemetaan Variant'!$A$5:$A$32,$B14,'Pemetaan Variant'!$BD$5:$BD$32),"n/a")</f>
        <v>25600</v>
      </c>
      <c r="DU14" s="14" t="n">
        <f aca="false">IFERROR(IF(ISNUMBER(DT14),(DT14-AVERAGEIF('Pemetaan Variant'!$A$5:$A$32,$B14,'Pemetaan Variant'!$L$5:$L$32))/AVERAGEIF('Pemetaan Variant'!$A$5:$A$32,$B14,'Pemetaan Variant'!$L$5:$L$32)*100,"n/a"),"n/a")</f>
        <v>8.81431767337808</v>
      </c>
      <c r="DV14" s="4" t="n">
        <f aca="false">IFERROR(IF(ISNUMBER(DU14),$C14*DU14,"n/a"),"n/a")</f>
        <v>0.263352341953176</v>
      </c>
      <c r="DW14" s="13" t="n">
        <f aca="false">IFERROR(AVERAGEIF('Pemetaan Variant'!$A$5:$A$32,$B14,'Pemetaan Variant'!$BE$5:$BE$32),"n/a")</f>
        <v>25000</v>
      </c>
      <c r="DX14" s="14" t="n">
        <f aca="false">IFERROR(IF(ISNUMBER(DW14),(DW14-AVERAGEIF('Pemetaan Variant'!$A$5:$A$32,$B14,'Pemetaan Variant'!$M$5:$M$32))/AVERAGEIF('Pemetaan Variant'!$A$5:$A$32,$B14,'Pemetaan Variant'!$M$5:$M$32)*100,"n/a"),"n/a")</f>
        <v>1.27931769722814</v>
      </c>
      <c r="DY14" s="4" t="n">
        <f aca="false">IFERROR(IF(ISNUMBER(DX14),$C14*DX14,"n/a"),"n/a")</f>
        <v>0.0382231868820374</v>
      </c>
      <c r="DZ14" s="13" t="n">
        <f aca="false">IFERROR(AVERAGEIF('Pemetaan Variant'!$A$5:$A$32,$B14,'Pemetaan Variant'!$BF$5:$BF$32),"n/a")</f>
        <v>24600</v>
      </c>
      <c r="EA14" s="14" t="n">
        <f aca="false">IFERROR(IF(ISNUMBER(DZ14),(DZ14-AVERAGEIF('Pemetaan Variant'!$A$5:$A$32,$B14,'Pemetaan Variant'!$M$5:$M$32))/AVERAGEIF('Pemetaan Variant'!$A$5:$A$32,$B14,'Pemetaan Variant'!$M$5:$M$32)*100,"n/a"),"n/a")</f>
        <v>-0.341151385927508</v>
      </c>
      <c r="EB14" s="4" t="n">
        <f aca="false">IFERROR(IF(ISNUMBER(EA14),$C14*EA14,"n/a"),"n/a")</f>
        <v>-0.0101928498352101</v>
      </c>
      <c r="EC14" s="13" t="n">
        <f aca="false">IFERROR(AVERAGEIF('Pemetaan Variant'!$A$5:$A$32,$B14,'Pemetaan Variant'!$BG$5:$BG$32),"n/a")</f>
        <v>23000</v>
      </c>
      <c r="ED14" s="14" t="n">
        <f aca="false">IFERROR(IF(ISNUMBER(EC14),(EC14-AVERAGEIF('Pemetaan Variant'!$A$5:$A$32,$B14,'Pemetaan Variant'!$M$5:$M$32))/AVERAGEIF('Pemetaan Variant'!$A$5:$A$32,$B14,'Pemetaan Variant'!$M$5:$M$32)*100,"n/a"),"n/a")</f>
        <v>-6.82302771855011</v>
      </c>
      <c r="EE14" s="4" t="n">
        <f aca="false">IFERROR(IF(ISNUMBER(ED14),$C14*ED14,"n/a"),"n/a")</f>
        <v>-0.2038569967042</v>
      </c>
      <c r="EF14" s="13" t="n">
        <f aca="false">IFERROR(AVERAGEIF('Pemetaan Variant'!$A$5:$A$32,$B14,'Pemetaan Variant'!$BH$5:$BH$32),"n/a")</f>
        <v>24400</v>
      </c>
      <c r="EG14" s="14" t="n">
        <f aca="false">IFERROR(IF(ISNUMBER(EF14),(EF14-AVERAGEIF('Pemetaan Variant'!$A$5:$A$32,$B14,'Pemetaan Variant'!$M$5:$M$32))/AVERAGEIF('Pemetaan Variant'!$A$5:$A$32,$B14,'Pemetaan Variant'!$M$5:$M$32)*100,"n/a"),"n/a")</f>
        <v>-1.15138592750533</v>
      </c>
      <c r="EH14" s="4" t="n">
        <f aca="false">IFERROR(IF(ISNUMBER(EG14),$C14*EG14,"n/a"),"n/a")</f>
        <v>-0.0344008681938338</v>
      </c>
      <c r="EI14" s="13" t="n">
        <f aca="false">IFERROR(AVERAGEIF('Pemetaan Variant'!$A$5:$A$32,$B14,'Pemetaan Variant'!$BI$5:$BI$32),"n/a")</f>
        <v>26800</v>
      </c>
      <c r="EJ14" s="14" t="n">
        <f aca="false">IFERROR(IF(ISNUMBER(EI14),(EI14-AVERAGEIF('Pemetaan Variant'!$A$5:$A$32,$B14,'Pemetaan Variant'!$M$5:$M$32))/AVERAGEIF('Pemetaan Variant'!$A$5:$A$32,$B14,'Pemetaan Variant'!$M$5:$M$32)*100,"n/a"),"n/a")</f>
        <v>8.57142857142857</v>
      </c>
      <c r="EK14" s="4" t="n">
        <f aca="false">IFERROR(IF(ISNUMBER(EJ14),$C14*EJ14,"n/a"),"n/a")</f>
        <v>0.256095352109651</v>
      </c>
      <c r="EL14" s="13" t="n">
        <f aca="false">IFERROR(AVERAGEIF('Pemetaan Variant'!$A$5:$A$32,$B14,'Pemetaan Variant'!$BJ$5:$BJ$32),"n/a")</f>
        <v>26600</v>
      </c>
      <c r="EM14" s="14" t="n">
        <f aca="false">IFERROR(IF(ISNUMBER(EL14),(EL14-AVERAGEIF('Pemetaan Variant'!$A$5:$A$32,$B14,'Pemetaan Variant'!$N$5:$N$32))/AVERAGEIF('Pemetaan Variant'!$A$5:$A$32,$B14,'Pemetaan Variant'!$N$5:$N$32)*100,"n/a"),"n/a")</f>
        <v>7.52196836555361</v>
      </c>
      <c r="EN14" s="4" t="n">
        <f aca="false">IFERROR(IF(ISNUMBER(EM14),$C14*EM14,"n/a"),"n/a")</f>
        <v>0.224739799332313</v>
      </c>
      <c r="EO14" s="13" t="n">
        <f aca="false">IFERROR(AVERAGEIF('Pemetaan Variant'!$A$5:$A$32,$B14,'Pemetaan Variant'!$BK$5:$BK$32),"n/a")</f>
        <v>26000</v>
      </c>
      <c r="EP14" s="14" t="n">
        <f aca="false">IFERROR(IF(ISNUMBER(EO14),(EO14-AVERAGEIF('Pemetaan Variant'!$A$5:$A$32,$B14,'Pemetaan Variant'!$N$5:$N$32))/AVERAGEIF('Pemetaan Variant'!$A$5:$A$32,$B14,'Pemetaan Variant'!$N$5:$N$32)*100,"n/a"),"n/a")</f>
        <v>5.09666080843586</v>
      </c>
      <c r="EQ14" s="4" t="n">
        <f aca="false">IFERROR(IF(ISNUMBER(EP14),$C14*EP14,"n/a"),"n/a")</f>
        <v>0.152276966837315</v>
      </c>
      <c r="ER14" s="13" t="n">
        <f aca="false">IFERROR(AVERAGEIF('Pemetaan Variant'!$A$5:$A$32,$B14,'Pemetaan Variant'!$BL$5:$BL$32),"n/a")</f>
        <v>26000</v>
      </c>
      <c r="ES14" s="14" t="n">
        <f aca="false">IFERROR(IF(ISNUMBER(ER14),(ER14-AVERAGEIF('Pemetaan Variant'!$A$5:$A$32,$B14,'Pemetaan Variant'!$N$5:$N$32))/AVERAGEIF('Pemetaan Variant'!$A$5:$A$32,$B14,'Pemetaan Variant'!$N$5:$N$32)*100,"n/a"),"n/a")</f>
        <v>5.09666080843586</v>
      </c>
      <c r="ET14" s="4" t="n">
        <f aca="false">IFERROR(IF(ISNUMBER(ES14),$C14*ES14,"n/a"),"n/a")</f>
        <v>0.152276966837315</v>
      </c>
      <c r="EU14" s="13" t="n">
        <f aca="false">IFERROR(AVERAGEIF('Pemetaan Variant'!$A$5:$A$32,$B14,'Pemetaan Variant'!$BM$5:$BM$32),"n/a")</f>
        <v>26000</v>
      </c>
      <c r="EV14" s="14" t="n">
        <f aca="false">IFERROR(IF(ISNUMBER(EU14),(EU14-AVERAGEIF('Pemetaan Variant'!$A$5:$A$32,$B14,'Pemetaan Variant'!$N$5:$N$32))/AVERAGEIF('Pemetaan Variant'!$A$5:$A$32,$B14,'Pemetaan Variant'!$N$5:$N$32)*100,"n/a"),"n/a")</f>
        <v>5.09666080843586</v>
      </c>
      <c r="EW14" s="4" t="n">
        <f aca="false">IFERROR(IF(ISNUMBER(EV14),$C14*EV14,"n/a"),"n/a")</f>
        <v>0.152276966837315</v>
      </c>
      <c r="EX14" s="13" t="n">
        <f aca="false">IFERROR(AVERAGEIF('Pemetaan Variant'!$A$5:$A$32,$B14,'Pemetaan Variant'!$BN$5:$BN$32),"n/a")</f>
        <v>26000</v>
      </c>
      <c r="EY14" s="14" t="n">
        <f aca="false">IFERROR(IF(ISNUMBER(EX14),(EX14-AVERAGEIF('Pemetaan Variant'!$A$5:$A$32,$B14,'Pemetaan Variant'!$O$5:$O$32))/AVERAGEIF('Pemetaan Variant'!$A$5:$A$32,$B14,'Pemetaan Variant'!$O$5:$O$32)*100,"n/a"),"n/a")</f>
        <v>-0.573613766730402</v>
      </c>
      <c r="EZ14" s="4" t="n">
        <f aca="false">IFERROR(IF(ISNUMBER(EY14),$C14*EY14,"n/a"),"n/a")</f>
        <v>-0.0171383122826726</v>
      </c>
      <c r="FA14" s="13" t="n">
        <f aca="false">IFERROR(AVERAGEIF('Pemetaan Variant'!$A$5:$A$32,$B14,'Pemetaan Variant'!$BO$5:$BO$32),"n/a")</f>
        <v>25400</v>
      </c>
      <c r="FB14" s="14" t="n">
        <f aca="false">IFERROR(IF(ISNUMBER(FA14),(FA14-AVERAGEIF('Pemetaan Variant'!$A$5:$A$32,$B14,'Pemetaan Variant'!$O$5:$O$32))/AVERAGEIF('Pemetaan Variant'!$A$5:$A$32,$B14,'Pemetaan Variant'!$O$5:$O$32)*100,"n/a"),"n/a")</f>
        <v>-2.86806883365201</v>
      </c>
      <c r="FC14" s="4" t="n">
        <f aca="false">IFERROR(IF(ISNUMBER(FB14),$C14*FB14,"n/a"),"n/a")</f>
        <v>-0.0856915614133632</v>
      </c>
      <c r="FD14" s="13" t="n">
        <f aca="false">IFERROR(AVERAGEIF('Pemetaan Variant'!$A$5:$A$32,$B14,'Pemetaan Variant'!$BP$5:$BP$32),"n/a")</f>
        <v>24000</v>
      </c>
      <c r="FE14" s="14" t="n">
        <f aca="false">IFERROR(IF(ISNUMBER(FD14),(FD14-AVERAGEIF('Pemetaan Variant'!$A$5:$A$32,$B14,'Pemetaan Variant'!$O$5:$O$32))/AVERAGEIF('Pemetaan Variant'!$A$5:$A$32,$B14,'Pemetaan Variant'!$O$5:$O$32)*100,"n/a"),"n/a")</f>
        <v>-8.22179732313576</v>
      </c>
      <c r="FF14" s="4" t="n">
        <f aca="false">IFERROR(IF(ISNUMBER(FE14),$C14*FE14,"n/a"),"n/a")</f>
        <v>-0.245649142718308</v>
      </c>
      <c r="FG14" s="13" t="n">
        <f aca="false">IFERROR(AVERAGEIF('Pemetaan Variant'!$A$5:$A$32,$B14,'Pemetaan Variant'!$BQ$5:$BQ$32),"n/a")</f>
        <v>24666.6666666667</v>
      </c>
      <c r="FH14" s="14" t="n">
        <f aca="false">IFERROR(IF(ISNUMBER(FG14),(FG14-AVERAGEIF('Pemetaan Variant'!$A$5:$A$32,$B14,'Pemetaan Variant'!$O$5:$O$32))/AVERAGEIF('Pemetaan Variant'!$A$5:$A$32,$B14,'Pemetaan Variant'!$O$5:$O$32)*100,"n/a"),"n/a")</f>
        <v>-5.67240280433397</v>
      </c>
      <c r="FI14" s="4" t="n">
        <f aca="false">IFERROR(IF(ISNUMBER(FH14),$C14*FH14,"n/a"),"n/a")</f>
        <v>-0.169478865906429</v>
      </c>
      <c r="FJ14" s="13" t="n">
        <f aca="false">IFERROR(AVERAGEIF('Pemetaan Variant'!$A$5:$A$32,$B14,'Pemetaan Variant'!$BR$5:$BR$32),"n/a")</f>
        <v>25000</v>
      </c>
      <c r="FK14" s="14" t="n">
        <f aca="false">IFERROR(IF(ISNUMBER(FJ14),(FJ14-AVERAGEIF('Pemetaan Variant'!$A$5:$A$32,$B14,'Pemetaan Variant'!$O$5:$O$32))/AVERAGEIF('Pemetaan Variant'!$A$5:$A$32,$B14,'Pemetaan Variant'!$O$5:$O$32)*100,"n/a"),"n/a")</f>
        <v>-4.39770554493308</v>
      </c>
      <c r="FL14" s="4" t="n">
        <f aca="false">IFERROR(IF(ISNUMBER(FK14),$C14*FK14,"n/a"),"n/a")</f>
        <v>-0.13139372750049</v>
      </c>
      <c r="FM14" s="15"/>
      <c r="FO14" s="11" t="n">
        <f aca="false">IFERROR(ABS(F14),0)</f>
        <v>0.0279231692331395</v>
      </c>
      <c r="FP14" s="11" t="n">
        <f aca="false">IFERROR(ABS(I14),0)</f>
        <v>0.0167539015398837</v>
      </c>
      <c r="FQ14" s="11" t="n">
        <f aca="false">IFERROR(ABS(L14),0)</f>
        <v>0.351831932337558</v>
      </c>
      <c r="FR14" s="11" t="n">
        <f aca="false">IFERROR(ABS(O14),0)</f>
        <v>0.251308523098256</v>
      </c>
      <c r="FS14" s="11" t="n">
        <f aca="false">IFERROR(ABS(R14),0)</f>
        <v>0.251308523098256</v>
      </c>
      <c r="FT14" s="11" t="n">
        <f aca="false">IFERROR(ABS(U14),0)</f>
        <v>0.0306278611483999</v>
      </c>
      <c r="FU14" s="11" t="n">
        <f aca="false">IFERROR(ABS(X14),0)</f>
        <v>0.0406287954009382</v>
      </c>
      <c r="FV14" s="11" t="n">
        <f aca="false">IFERROR(ABS(AA14),0)</f>
        <v>0.111885451950276</v>
      </c>
      <c r="FW14" s="11" t="n">
        <f aca="false">IFERROR(ABS(AD14),0)</f>
        <v>0.159389889649835</v>
      </c>
      <c r="FX14" s="11" t="n">
        <f aca="false">IFERROR(ABS(AG14),0)</f>
        <v>0.0452601134059363</v>
      </c>
      <c r="FY14" s="11" t="n">
        <f aca="false">IFERROR(ABS(AJ14),0)</f>
        <v>0.0128440862368197</v>
      </c>
      <c r="FZ14" s="11" t="n">
        <f aca="false">IFERROR(ABS(AM14),0)</f>
        <v>0.082569125808127</v>
      </c>
      <c r="GA14" s="11" t="n">
        <f aca="false">IFERROR(ABS(AP14),0)</f>
        <v>0.097095175718816</v>
      </c>
      <c r="GB14" s="11" t="n">
        <f aca="false">IFERROR(ABS(AS14),0)</f>
        <v>0</v>
      </c>
      <c r="GC14" s="11" t="n">
        <f aca="false">IFERROR(ABS(AV14),0)</f>
        <v>0</v>
      </c>
      <c r="GD14" s="11" t="n">
        <f aca="false">IFERROR(ABS(AY14),0)</f>
        <v>0.137635787063762</v>
      </c>
      <c r="GE14" s="11" t="n">
        <f aca="false">IFERROR(ABS(BB14),0)</f>
        <v>0.24047600998219</v>
      </c>
      <c r="GF14" s="11" t="n">
        <f aca="false">IFERROR(ABS(BE14),0)</f>
        <v>0.284550391232946</v>
      </c>
      <c r="GG14" s="11" t="n">
        <f aca="false">IFERROR(ABS(BH14),0)</f>
        <v>0.284550391232946</v>
      </c>
      <c r="GH14" s="11" t="n">
        <f aca="false">IFERROR(ABS(BK14),0)</f>
        <v>0.0518573142901163</v>
      </c>
      <c r="GI14" s="11" t="n">
        <f aca="false">IFERROR(ABS(BN14),0)</f>
        <v>0.0518573142901163</v>
      </c>
      <c r="GJ14" s="11" t="n">
        <f aca="false">IFERROR(ABS(BQ14),0)</f>
        <v>0.0518573142901163</v>
      </c>
      <c r="GK14" s="11" t="n">
        <f aca="false">IFERROR(ABS(BT14),0)</f>
        <v>0.0518573142901163</v>
      </c>
      <c r="GL14" s="11" t="n">
        <f aca="false">IFERROR(ABS(BW14),0)</f>
        <v>0.0545166637408913</v>
      </c>
      <c r="GM14" s="11" t="n">
        <f aca="false">IFERROR(ABS(BZ14),0)</f>
        <v>0.239174185261237</v>
      </c>
      <c r="GN14" s="11" t="n">
        <f aca="false">IFERROR(ABS(CC14),0)</f>
        <v>0.11009605353295</v>
      </c>
      <c r="GO14" s="11" t="n">
        <f aca="false">IFERROR(ABS(CF14),0)</f>
        <v>0.122244583577966</v>
      </c>
      <c r="GP14" s="11" t="n">
        <f aca="false">IFERROR(ABS(CI14),0)</f>
        <v>0.0189820781953364</v>
      </c>
      <c r="GQ14" s="11" t="n">
        <f aca="false">IFERROR(ABS(CL14),0)</f>
        <v>0.0280806307137777</v>
      </c>
      <c r="GR14" s="11" t="n">
        <f aca="false">IFERROR(ABS(CO14),0)</f>
        <v>0.118313057407383</v>
      </c>
      <c r="GS14" s="11" t="n">
        <f aca="false">IFERROR(ABS(CR14),0)</f>
        <v>0.0928532855602242</v>
      </c>
      <c r="GT14" s="11" t="n">
        <f aca="false">IFERROR(ABS(CU14),0)</f>
        <v>0.194692372948857</v>
      </c>
      <c r="GU14" s="11" t="n">
        <f aca="false">IFERROR(ABS(CX14),0)</f>
        <v>0.051481156308592</v>
      </c>
      <c r="GV14" s="11" t="n">
        <f aca="false">IFERROR(ABS(DA14),0)</f>
        <v>0.147644070922755</v>
      </c>
      <c r="GW14" s="11" t="n">
        <f aca="false">IFERROR(ABS(DD14),0)</f>
        <v>0.122947244513858</v>
      </c>
      <c r="GX14" s="11" t="n">
        <f aca="false">IFERROR(ABS(DG14),0)</f>
        <v>0.024159938878269</v>
      </c>
      <c r="GY14" s="11" t="n">
        <f aca="false">IFERROR(ABS(DJ14),0)</f>
        <v>0.024159938878269</v>
      </c>
      <c r="GZ14" s="11" t="n">
        <f aca="false">IFERROR(ABS(DM14),0)</f>
        <v>0.028407295769061</v>
      </c>
      <c r="HA14" s="11" t="n">
        <f aca="false">IFERROR(ABS(DP14),0)</f>
        <v>0.0347571618821452</v>
      </c>
      <c r="HB14" s="11" t="n">
        <f aca="false">IFERROR(ABS(DS14),0)</f>
        <v>0.237952877500839</v>
      </c>
      <c r="HC14" s="11" t="n">
        <f aca="false">IFERROR(ABS(DV14),0)</f>
        <v>0.263352341953176</v>
      </c>
      <c r="HD14" s="11" t="n">
        <f aca="false">IFERROR(ABS(DY14),0)</f>
        <v>0.0382231868820374</v>
      </c>
      <c r="HE14" s="11" t="n">
        <f aca="false">IFERROR(ABS(EB14),0)</f>
        <v>0.0101928498352101</v>
      </c>
      <c r="HF14" s="11" t="n">
        <f aca="false">IFERROR(ABS(EE14),0)</f>
        <v>0.2038569967042</v>
      </c>
      <c r="HG14" s="11" t="n">
        <f aca="false">IFERROR(ABS(EH14),0)</f>
        <v>0.0344008681938338</v>
      </c>
      <c r="HH14" s="11" t="n">
        <f aca="false">IFERROR(ABS(EK14),0)</f>
        <v>0.256095352109651</v>
      </c>
      <c r="HI14" s="11" t="n">
        <f aca="false">IFERROR(ABS(EN14),0)</f>
        <v>0.224739799332313</v>
      </c>
      <c r="HJ14" s="11" t="n">
        <f aca="false">IFERROR(ABS(EQ14),0)</f>
        <v>0.152276966837315</v>
      </c>
      <c r="HK14" s="11" t="n">
        <f aca="false">IFERROR(ABS(ET14),0)</f>
        <v>0.152276966837315</v>
      </c>
      <c r="HL14" s="11" t="n">
        <f aca="false">IFERROR(ABS(EW14),0)</f>
        <v>0.152276966837315</v>
      </c>
      <c r="HM14" s="11" t="n">
        <f aca="false">IFERROR(ABS(EZ14),0)</f>
        <v>0.0171383122826726</v>
      </c>
      <c r="HN14" s="11" t="n">
        <f aca="false">IFERROR(ABS(FC14),0)</f>
        <v>0.0856915614133632</v>
      </c>
      <c r="HO14" s="11" t="n">
        <f aca="false">IFERROR(ABS(FF14),0)</f>
        <v>0.245649142718308</v>
      </c>
      <c r="HP14" s="11" t="n">
        <f aca="false">IFERROR(ABS(FI14),0)</f>
        <v>0.169478865906429</v>
      </c>
      <c r="HQ14" s="11" t="n">
        <f aca="false">IFERROR(ABS(FL14),0)</f>
        <v>0.13139372750049</v>
      </c>
    </row>
    <row r="15" customFormat="false" ht="15" hidden="false" customHeight="false" outlineLevel="0" collapsed="false">
      <c r="A15" s="3" t="n">
        <v>10</v>
      </c>
      <c r="B15" s="3" t="s">
        <v>245</v>
      </c>
      <c r="C15" s="12" t="n">
        <f aca="false">'P0Q0 Dasar 2022'!F14</f>
        <v>0.0193652206786879</v>
      </c>
      <c r="D15" s="13" t="n">
        <f aca="false">IFERROR(AVERAGEIF('Pemetaan Variant'!$A$5:$A$32,$B15,'Pemetaan Variant'!$P$5:$P$32),"n/a")</f>
        <v>16500</v>
      </c>
      <c r="E15" s="14" t="n">
        <f aca="false">IFERROR(IF(ISNUMBER(D15),(D15-AVERAGEIF('Pemetaan Variant'!$A$5:$A$32,$B15,'Pemetaan Variant'!$D$5:$D$32))/AVERAGEIF('Pemetaan Variant'!$A$5:$A$32,$B15,'Pemetaan Variant'!$D$5:$D$32)*100,"n/a"),"n/a")</f>
        <v>0</v>
      </c>
      <c r="F15" s="4" t="n">
        <f aca="false">IFERROR(IF(ISNUMBER(E15),$C15*E15,"n/a"),"n/a")</f>
        <v>0</v>
      </c>
      <c r="G15" s="13" t="n">
        <f aca="false">IFERROR(AVERAGEIF('Pemetaan Variant'!$A$5:$A$32,$B15,'Pemetaan Variant'!$Q$5:$Q$32),"n/a")</f>
        <v>16500</v>
      </c>
      <c r="H15" s="14" t="n">
        <f aca="false">IFERROR(IF(ISNUMBER(G15),(G15-AVERAGEIF('Pemetaan Variant'!$A$5:$A$32,$B15,'Pemetaan Variant'!$D$5:$D$32))/AVERAGEIF('Pemetaan Variant'!$A$5:$A$32,$B15,'Pemetaan Variant'!$D$5:$D$32)*100,"n/a"),"n/a")</f>
        <v>0</v>
      </c>
      <c r="I15" s="4" t="n">
        <f aca="false">IFERROR(IF(ISNUMBER(H15),$C15*H15,"n/a"),"n/a")</f>
        <v>0</v>
      </c>
      <c r="J15" s="13" t="n">
        <f aca="false">IFERROR(AVERAGEIF('Pemetaan Variant'!$A$5:$A$32,$B15,'Pemetaan Variant'!$R$5:$R$32),"n/a")</f>
        <v>16500</v>
      </c>
      <c r="K15" s="14" t="n">
        <f aca="false">IFERROR(IF(ISNUMBER(J15),(J15-AVERAGEIF('Pemetaan Variant'!$A$5:$A$32,$B15,'Pemetaan Variant'!$D$5:$D$32))/AVERAGEIF('Pemetaan Variant'!$A$5:$A$32,$B15,'Pemetaan Variant'!$D$5:$D$32)*100,"n/a"),"n/a")</f>
        <v>0</v>
      </c>
      <c r="L15" s="4" t="n">
        <f aca="false">IFERROR(IF(ISNUMBER(K15),$C15*K15,"n/a"),"n/a")</f>
        <v>0</v>
      </c>
      <c r="M15" s="13" t="n">
        <f aca="false">IFERROR(AVERAGEIF('Pemetaan Variant'!$A$5:$A$32,$B15,'Pemetaan Variant'!$S$5:$S$32),"n/a")</f>
        <v>16500</v>
      </c>
      <c r="N15" s="14" t="n">
        <f aca="false">IFERROR(IF(ISNUMBER(M15),(M15-AVERAGEIF('Pemetaan Variant'!$A$5:$A$32,$B15,'Pemetaan Variant'!$D$5:$D$32))/AVERAGEIF('Pemetaan Variant'!$A$5:$A$32,$B15,'Pemetaan Variant'!$D$5:$D$32)*100,"n/a"),"n/a")</f>
        <v>0</v>
      </c>
      <c r="O15" s="4" t="n">
        <f aca="false">IFERROR(IF(ISNUMBER(N15),$C15*N15,"n/a"),"n/a")</f>
        <v>0</v>
      </c>
      <c r="P15" s="13" t="n">
        <f aca="false">IFERROR(AVERAGEIF('Pemetaan Variant'!$A$5:$A$32,$B15,'Pemetaan Variant'!$T$5:$T$32),"n/a")</f>
        <v>16500</v>
      </c>
      <c r="Q15" s="14" t="n">
        <f aca="false">IFERROR(IF(ISNUMBER(P15),(P15-AVERAGEIF('Pemetaan Variant'!$A$5:$A$32,$B15,'Pemetaan Variant'!$D$5:$D$32))/AVERAGEIF('Pemetaan Variant'!$A$5:$A$32,$B15,'Pemetaan Variant'!$D$5:$D$32)*100,"n/a"),"n/a")</f>
        <v>0</v>
      </c>
      <c r="R15" s="4" t="n">
        <f aca="false">IFERROR(IF(ISNUMBER(Q15),$C15*Q15,"n/a"),"n/a")</f>
        <v>0</v>
      </c>
      <c r="S15" s="13" t="n">
        <f aca="false">IFERROR(AVERAGEIF('Pemetaan Variant'!$A$5:$A$32,$B15,'Pemetaan Variant'!$U$5:$U$32),"n/a")</f>
        <v>16500</v>
      </c>
      <c r="T15" s="14" t="n">
        <f aca="false">IFERROR(IF(ISNUMBER(S15),(S15-AVERAGEIF('Pemetaan Variant'!$A$5:$A$32,$B15,'Pemetaan Variant'!$E$5:$E$32))/AVERAGEIF('Pemetaan Variant'!$A$5:$A$32,$B15,'Pemetaan Variant'!$E$5:$E$32)*100,"n/a"),"n/a")</f>
        <v>0</v>
      </c>
      <c r="U15" s="4" t="n">
        <f aca="false">IFERROR(IF(ISNUMBER(T15),$C15*T15,"n/a"),"n/a")</f>
        <v>0</v>
      </c>
      <c r="V15" s="13" t="n">
        <f aca="false">IFERROR(AVERAGEIF('Pemetaan Variant'!$A$5:$A$32,$B15,'Pemetaan Variant'!$V$5:$V$32),"n/a")</f>
        <v>16500</v>
      </c>
      <c r="W15" s="14" t="n">
        <f aca="false">IFERROR(IF(ISNUMBER(V15),(V15-AVERAGEIF('Pemetaan Variant'!$A$5:$A$32,$B15,'Pemetaan Variant'!$E$5:$E$32))/AVERAGEIF('Pemetaan Variant'!$A$5:$A$32,$B15,'Pemetaan Variant'!$E$5:$E$32)*100,"n/a"),"n/a")</f>
        <v>0</v>
      </c>
      <c r="X15" s="4" t="n">
        <f aca="false">IFERROR(IF(ISNUMBER(W15),$C15*W15,"n/a"),"n/a")</f>
        <v>0</v>
      </c>
      <c r="Y15" s="13" t="n">
        <f aca="false">IFERROR(AVERAGEIF('Pemetaan Variant'!$A$5:$A$32,$B15,'Pemetaan Variant'!$W$5:$W$32),"n/a")</f>
        <v>16500</v>
      </c>
      <c r="Z15" s="14" t="n">
        <f aca="false">IFERROR(IF(ISNUMBER(Y15),(Y15-AVERAGEIF('Pemetaan Variant'!$A$5:$A$32,$B15,'Pemetaan Variant'!$E$5:$E$32))/AVERAGEIF('Pemetaan Variant'!$A$5:$A$32,$B15,'Pemetaan Variant'!$E$5:$E$32)*100,"n/a"),"n/a")</f>
        <v>0</v>
      </c>
      <c r="AA15" s="4" t="n">
        <f aca="false">IFERROR(IF(ISNUMBER(Z15),$C15*Z15,"n/a"),"n/a")</f>
        <v>0</v>
      </c>
      <c r="AB15" s="13" t="n">
        <f aca="false">IFERROR(AVERAGEIF('Pemetaan Variant'!$A$5:$A$32,$B15,'Pemetaan Variant'!$X$5:$X$32),"n/a")</f>
        <v>16500</v>
      </c>
      <c r="AC15" s="14" t="n">
        <f aca="false">IFERROR(IF(ISNUMBER(AB15),(AB15-AVERAGEIF('Pemetaan Variant'!$A$5:$A$32,$B15,'Pemetaan Variant'!$E$5:$E$32))/AVERAGEIF('Pemetaan Variant'!$A$5:$A$32,$B15,'Pemetaan Variant'!$E$5:$E$32)*100,"n/a"),"n/a")</f>
        <v>0</v>
      </c>
      <c r="AD15" s="4" t="n">
        <f aca="false">IFERROR(IF(ISNUMBER(AC15),$C15*AC15,"n/a"),"n/a")</f>
        <v>0</v>
      </c>
      <c r="AE15" s="13" t="n">
        <f aca="false">IFERROR(AVERAGEIF('Pemetaan Variant'!$A$5:$A$32,$B15,'Pemetaan Variant'!$Y$5:$Y$32),"n/a")</f>
        <v>16500</v>
      </c>
      <c r="AF15" s="14" t="n">
        <f aca="false">IFERROR(IF(ISNUMBER(AE15),(AE15-AVERAGEIF('Pemetaan Variant'!$A$5:$A$32,$B15,'Pemetaan Variant'!$F$5:$F$32))/AVERAGEIF('Pemetaan Variant'!$A$5:$A$32,$B15,'Pemetaan Variant'!$F$5:$F$32)*100,"n/a"),"n/a")</f>
        <v>0</v>
      </c>
      <c r="AG15" s="4" t="n">
        <f aca="false">IFERROR(IF(ISNUMBER(AF15),$C15*AF15,"n/a"),"n/a")</f>
        <v>0</v>
      </c>
      <c r="AH15" s="13" t="n">
        <f aca="false">IFERROR(AVERAGEIF('Pemetaan Variant'!$A$5:$A$32,$B15,'Pemetaan Variant'!$Z$5:$Z$32),"n/a")</f>
        <v>16500</v>
      </c>
      <c r="AI15" s="14" t="n">
        <f aca="false">IFERROR(IF(ISNUMBER(AH15),(AH15-AVERAGEIF('Pemetaan Variant'!$A$5:$A$32,$B15,'Pemetaan Variant'!$F$5:$F$32))/AVERAGEIF('Pemetaan Variant'!$A$5:$A$32,$B15,'Pemetaan Variant'!$F$5:$F$32)*100,"n/a"),"n/a")</f>
        <v>0</v>
      </c>
      <c r="AJ15" s="4" t="n">
        <f aca="false">IFERROR(IF(ISNUMBER(AI15),$C15*AI15,"n/a"),"n/a")</f>
        <v>0</v>
      </c>
      <c r="AK15" s="13" t="n">
        <f aca="false">IFERROR(AVERAGEIF('Pemetaan Variant'!$A$5:$A$32,$B15,'Pemetaan Variant'!$AA$5:$AA$32),"n/a")</f>
        <v>16500</v>
      </c>
      <c r="AL15" s="14" t="n">
        <f aca="false">IFERROR(IF(ISNUMBER(AK15),(AK15-AVERAGEIF('Pemetaan Variant'!$A$5:$A$32,$B15,'Pemetaan Variant'!$F$5:$F$32))/AVERAGEIF('Pemetaan Variant'!$A$5:$A$32,$B15,'Pemetaan Variant'!$F$5:$F$32)*100,"n/a"),"n/a")</f>
        <v>0</v>
      </c>
      <c r="AM15" s="4" t="n">
        <f aca="false">IFERROR(IF(ISNUMBER(AL15),$C15*AL15,"n/a"),"n/a")</f>
        <v>0</v>
      </c>
      <c r="AN15" s="13" t="n">
        <f aca="false">IFERROR(AVERAGEIF('Pemetaan Variant'!$A$5:$A$32,$B15,'Pemetaan Variant'!$AB$5:$AB$32),"n/a")</f>
        <v>16500</v>
      </c>
      <c r="AO15" s="14" t="n">
        <f aca="false">IFERROR(IF(ISNUMBER(AN15),(AN15-AVERAGEIF('Pemetaan Variant'!$A$5:$A$32,$B15,'Pemetaan Variant'!$F$5:$F$32))/AVERAGEIF('Pemetaan Variant'!$A$5:$A$32,$B15,'Pemetaan Variant'!$F$5:$F$32)*100,"n/a"),"n/a")</f>
        <v>0</v>
      </c>
      <c r="AP15" s="4" t="n">
        <f aca="false">IFERROR(IF(ISNUMBER(AO15),$C15*AO15,"n/a"),"n/a")</f>
        <v>0</v>
      </c>
      <c r="AQ15" s="13" t="str">
        <f aca="false">IFERROR(AVERAGEIF('Pemetaan Variant'!$A$5:$A$32,$B15,'Pemetaan Variant'!$AC$5:$AC$32),"n/a")</f>
        <v>n/a</v>
      </c>
      <c r="AR15" s="14" t="str">
        <f aca="false">IFERROR(IF(ISNUMBER(AQ15),(AQ15-AVERAGEIF('Pemetaan Variant'!$A$5:$A$32,$B15,'Pemetaan Variant'!$F$5:$F$32))/AVERAGEIF('Pemetaan Variant'!$A$5:$A$32,$B15,'Pemetaan Variant'!$F$5:$F$32)*100,"n/a"),"n/a")</f>
        <v>n/a</v>
      </c>
      <c r="AS15" s="4" t="str">
        <f aca="false">IFERROR(IF(ISNUMBER(AR15),$C15*AR15,"n/a"),"n/a")</f>
        <v>n/a</v>
      </c>
      <c r="AT15" s="13" t="str">
        <f aca="false">IFERROR(AVERAGEIF('Pemetaan Variant'!$A$5:$A$32,$B15,'Pemetaan Variant'!$AD$5:$AD$32),"n/a")</f>
        <v>n/a</v>
      </c>
      <c r="AU15" s="14" t="str">
        <f aca="false">IFERROR(IF(ISNUMBER(AT15),(AT15-AVERAGEIF('Pemetaan Variant'!$A$5:$A$32,$B15,'Pemetaan Variant'!$G$5:$G$32))/AVERAGEIF('Pemetaan Variant'!$A$5:$A$32,$B15,'Pemetaan Variant'!$G$5:$G$32)*100,"n/a"),"n/a")</f>
        <v>n/a</v>
      </c>
      <c r="AV15" s="4" t="str">
        <f aca="false">IFERROR(IF(ISNUMBER(AU15),$C15*AU15,"n/a"),"n/a")</f>
        <v>n/a</v>
      </c>
      <c r="AW15" s="13" t="n">
        <f aca="false">IFERROR(AVERAGEIF('Pemetaan Variant'!$A$5:$A$32,$B15,'Pemetaan Variant'!$AE$5:$AE$32),"n/a")</f>
        <v>16500</v>
      </c>
      <c r="AX15" s="14" t="n">
        <f aca="false">IFERROR(IF(ISNUMBER(AW15),(AW15-AVERAGEIF('Pemetaan Variant'!$A$5:$A$32,$B15,'Pemetaan Variant'!$G$5:$G$32))/AVERAGEIF('Pemetaan Variant'!$A$5:$A$32,$B15,'Pemetaan Variant'!$G$5:$G$32)*100,"n/a"),"n/a")</f>
        <v>0</v>
      </c>
      <c r="AY15" s="4" t="n">
        <f aca="false">IFERROR(IF(ISNUMBER(AX15),$C15*AX15,"n/a"),"n/a")</f>
        <v>0</v>
      </c>
      <c r="AZ15" s="13" t="n">
        <f aca="false">IFERROR(AVERAGEIF('Pemetaan Variant'!$A$5:$A$32,$B15,'Pemetaan Variant'!$AF$5:$AF$32),"n/a")</f>
        <v>16000</v>
      </c>
      <c r="BA15" s="14" t="n">
        <f aca="false">IFERROR(IF(ISNUMBER(AZ15),(AZ15-AVERAGEIF('Pemetaan Variant'!$A$5:$A$32,$B15,'Pemetaan Variant'!$G$5:$G$32))/AVERAGEIF('Pemetaan Variant'!$A$5:$A$32,$B15,'Pemetaan Variant'!$G$5:$G$32)*100,"n/a"),"n/a")</f>
        <v>-3.03030303030303</v>
      </c>
      <c r="BB15" s="4" t="n">
        <f aca="false">IFERROR(IF(ISNUMBER(BA15),$C15*BA15,"n/a"),"n/a")</f>
        <v>-0.0586824869051149</v>
      </c>
      <c r="BC15" s="13" t="n">
        <f aca="false">IFERROR(AVERAGEIF('Pemetaan Variant'!$A$5:$A$32,$B15,'Pemetaan Variant'!$AG$5:$AG$32),"n/a")</f>
        <v>16000</v>
      </c>
      <c r="BD15" s="14" t="n">
        <f aca="false">IFERROR(IF(ISNUMBER(BC15),(BC15-AVERAGEIF('Pemetaan Variant'!$A$5:$A$32,$B15,'Pemetaan Variant'!$G$5:$G$32))/AVERAGEIF('Pemetaan Variant'!$A$5:$A$32,$B15,'Pemetaan Variant'!$G$5:$G$32)*100,"n/a"),"n/a")</f>
        <v>-3.03030303030303</v>
      </c>
      <c r="BE15" s="4" t="n">
        <f aca="false">IFERROR(IF(ISNUMBER(BD15),$C15*BD15,"n/a"),"n/a")</f>
        <v>-0.0586824869051149</v>
      </c>
      <c r="BF15" s="13" t="n">
        <f aca="false">IFERROR(AVERAGEIF('Pemetaan Variant'!$A$5:$A$32,$B15,'Pemetaan Variant'!$AH$5:$AH$32),"n/a")</f>
        <v>16000</v>
      </c>
      <c r="BG15" s="14" t="n">
        <f aca="false">IFERROR(IF(ISNUMBER(BF15),(BF15-AVERAGEIF('Pemetaan Variant'!$A$5:$A$32,$B15,'Pemetaan Variant'!$G$5:$G$32))/AVERAGEIF('Pemetaan Variant'!$A$5:$A$32,$B15,'Pemetaan Variant'!$G$5:$G$32)*100,"n/a"),"n/a")</f>
        <v>-3.03030303030303</v>
      </c>
      <c r="BH15" s="4" t="n">
        <f aca="false">IFERROR(IF(ISNUMBER(BG15),$C15*BG15,"n/a"),"n/a")</f>
        <v>-0.0586824869051149</v>
      </c>
      <c r="BI15" s="13" t="n">
        <f aca="false">IFERROR(AVERAGEIF('Pemetaan Variant'!$A$5:$A$32,$B15,'Pemetaan Variant'!$AI$5:$AI$32),"n/a")</f>
        <v>16000</v>
      </c>
      <c r="BJ15" s="14" t="n">
        <f aca="false">IFERROR(IF(ISNUMBER(BI15),(BI15-AVERAGEIF('Pemetaan Variant'!$A$5:$A$32,$B15,'Pemetaan Variant'!$H$5:$H$32))/AVERAGEIF('Pemetaan Variant'!$A$5:$A$32,$B15,'Pemetaan Variant'!$H$5:$H$32)*100,"n/a"),"n/a")</f>
        <v>-0.775193798449612</v>
      </c>
      <c r="BK15" s="4" t="n">
        <f aca="false">IFERROR(IF(ISNUMBER(BJ15),$C15*BJ15,"n/a"),"n/a")</f>
        <v>-0.0150117989757271</v>
      </c>
      <c r="BL15" s="13" t="n">
        <f aca="false">IFERROR(AVERAGEIF('Pemetaan Variant'!$A$5:$A$32,$B15,'Pemetaan Variant'!$AJ$5:$AJ$32),"n/a")</f>
        <v>16000</v>
      </c>
      <c r="BM15" s="14" t="n">
        <f aca="false">IFERROR(IF(ISNUMBER(BL15),(BL15-AVERAGEIF('Pemetaan Variant'!$A$5:$A$32,$B15,'Pemetaan Variant'!$H$5:$H$32))/AVERAGEIF('Pemetaan Variant'!$A$5:$A$32,$B15,'Pemetaan Variant'!$H$5:$H$32)*100,"n/a"),"n/a")</f>
        <v>-0.775193798449612</v>
      </c>
      <c r="BN15" s="4" t="n">
        <f aca="false">IFERROR(IF(ISNUMBER(BM15),$C15*BM15,"n/a"),"n/a")</f>
        <v>-0.0150117989757271</v>
      </c>
      <c r="BO15" s="13" t="n">
        <f aca="false">IFERROR(AVERAGEIF('Pemetaan Variant'!$A$5:$A$32,$B15,'Pemetaan Variant'!$AK$5:$AK$32),"n/a")</f>
        <v>16000</v>
      </c>
      <c r="BP15" s="14" t="n">
        <f aca="false">IFERROR(IF(ISNUMBER(BO15),(BO15-AVERAGEIF('Pemetaan Variant'!$A$5:$A$32,$B15,'Pemetaan Variant'!$H$5:$H$32))/AVERAGEIF('Pemetaan Variant'!$A$5:$A$32,$B15,'Pemetaan Variant'!$H$5:$H$32)*100,"n/a"),"n/a")</f>
        <v>-0.775193798449612</v>
      </c>
      <c r="BQ15" s="4" t="n">
        <f aca="false">IFERROR(IF(ISNUMBER(BP15),$C15*BP15,"n/a"),"n/a")</f>
        <v>-0.0150117989757271</v>
      </c>
      <c r="BR15" s="13" t="n">
        <f aca="false">IFERROR(AVERAGEIF('Pemetaan Variant'!$A$5:$A$32,$B15,'Pemetaan Variant'!$AL$5:$AL$32),"n/a")</f>
        <v>16000</v>
      </c>
      <c r="BS15" s="14" t="n">
        <f aca="false">IFERROR(IF(ISNUMBER(BR15),(BR15-AVERAGEIF('Pemetaan Variant'!$A$5:$A$32,$B15,'Pemetaan Variant'!$H$5:$H$32))/AVERAGEIF('Pemetaan Variant'!$A$5:$A$32,$B15,'Pemetaan Variant'!$H$5:$H$32)*100,"n/a"),"n/a")</f>
        <v>-0.775193798449612</v>
      </c>
      <c r="BT15" s="4" t="n">
        <f aca="false">IFERROR(IF(ISNUMBER(BS15),$C15*BS15,"n/a"),"n/a")</f>
        <v>-0.0150117989757271</v>
      </c>
      <c r="BU15" s="13" t="n">
        <f aca="false">IFERROR(AVERAGEIF('Pemetaan Variant'!$A$5:$A$32,$B15,'Pemetaan Variant'!$AM$5:$AM$32),"n/a")</f>
        <v>16500</v>
      </c>
      <c r="BV15" s="14" t="n">
        <f aca="false">IFERROR(IF(ISNUMBER(BU15),(BU15-AVERAGEIF('Pemetaan Variant'!$A$5:$A$32,$B15,'Pemetaan Variant'!$H$5:$H$32))/AVERAGEIF('Pemetaan Variant'!$A$5:$A$32,$B15,'Pemetaan Variant'!$H$5:$H$32)*100,"n/a"),"n/a")</f>
        <v>2.32558139534884</v>
      </c>
      <c r="BW15" s="4" t="n">
        <f aca="false">IFERROR(IF(ISNUMBER(BV15),$C15*BV15,"n/a"),"n/a")</f>
        <v>0.0450353969271812</v>
      </c>
      <c r="BX15" s="13" t="n">
        <f aca="false">IFERROR(AVERAGEIF('Pemetaan Variant'!$A$5:$A$32,$B15,'Pemetaan Variant'!$AN$5:$AN$32),"n/a")</f>
        <v>16500</v>
      </c>
      <c r="BY15" s="14" t="n">
        <f aca="false">IFERROR(IF(ISNUMBER(BX15),(BX15-AVERAGEIF('Pemetaan Variant'!$A$5:$A$32,$B15,'Pemetaan Variant'!$I$5:$I$32))/AVERAGEIF('Pemetaan Variant'!$A$5:$A$32,$B15,'Pemetaan Variant'!$I$5:$I$32)*100,"n/a"),"n/a")</f>
        <v>2.55941499085923</v>
      </c>
      <c r="BZ15" s="4" t="n">
        <f aca="false">IFERROR(IF(ISNUMBER(BY15),$C15*BY15,"n/a"),"n/a")</f>
        <v>0.049563636106331</v>
      </c>
      <c r="CA15" s="13" t="n">
        <f aca="false">IFERROR(AVERAGEIF('Pemetaan Variant'!$A$5:$A$32,$B15,'Pemetaan Variant'!$AO$5:$AO$32),"n/a")</f>
        <v>16000</v>
      </c>
      <c r="CB15" s="14" t="n">
        <f aca="false">IFERROR(IF(ISNUMBER(CA15),(CA15-AVERAGEIF('Pemetaan Variant'!$A$5:$A$32,$B15,'Pemetaan Variant'!$I$5:$I$32))/AVERAGEIF('Pemetaan Variant'!$A$5:$A$32,$B15,'Pemetaan Variant'!$I$5:$I$32)*100,"n/a"),"n/a")</f>
        <v>-0.548446069469834</v>
      </c>
      <c r="CC15" s="4" t="n">
        <f aca="false">IFERROR(IF(ISNUMBER(CB15),$C15*CB15,"n/a"),"n/a")</f>
        <v>-0.0106207791656423</v>
      </c>
      <c r="CD15" s="13" t="n">
        <f aca="false">IFERROR(AVERAGEIF('Pemetaan Variant'!$A$5:$A$32,$B15,'Pemetaan Variant'!$AP$5:$AP$32),"n/a")</f>
        <v>16000</v>
      </c>
      <c r="CE15" s="14" t="n">
        <f aca="false">IFERROR(IF(ISNUMBER(CD15),(CD15-AVERAGEIF('Pemetaan Variant'!$A$5:$A$32,$B15,'Pemetaan Variant'!$I$5:$I$32))/AVERAGEIF('Pemetaan Variant'!$A$5:$A$32,$B15,'Pemetaan Variant'!$I$5:$I$32)*100,"n/a"),"n/a")</f>
        <v>-0.548446069469834</v>
      </c>
      <c r="CF15" s="4" t="n">
        <f aca="false">IFERROR(IF(ISNUMBER(CE15),$C15*CE15,"n/a"),"n/a")</f>
        <v>-0.0106207791656423</v>
      </c>
      <c r="CG15" s="13" t="n">
        <f aca="false">IFERROR(AVERAGEIF('Pemetaan Variant'!$A$5:$A$32,$B15,'Pemetaan Variant'!$AQ$5:$AQ$32),"n/a")</f>
        <v>16000</v>
      </c>
      <c r="CH15" s="14" t="n">
        <f aca="false">IFERROR(IF(ISNUMBER(CG15),(CG15-AVERAGEIF('Pemetaan Variant'!$A$5:$A$32,$B15,'Pemetaan Variant'!$I$5:$I$32))/AVERAGEIF('Pemetaan Variant'!$A$5:$A$32,$B15,'Pemetaan Variant'!$I$5:$I$32)*100,"n/a"),"n/a")</f>
        <v>-0.548446069469834</v>
      </c>
      <c r="CI15" s="4" t="n">
        <f aca="false">IFERROR(IF(ISNUMBER(CH15),$C15*CH15,"n/a"),"n/a")</f>
        <v>-0.0106207791656423</v>
      </c>
      <c r="CJ15" s="13" t="n">
        <f aca="false">IFERROR(AVERAGEIF('Pemetaan Variant'!$A$5:$A$32,$B15,'Pemetaan Variant'!$AR$5:$AR$32),"n/a")</f>
        <v>16000</v>
      </c>
      <c r="CK15" s="14" t="n">
        <f aca="false">IFERROR(IF(ISNUMBER(CJ15),(CJ15-AVERAGEIF('Pemetaan Variant'!$A$5:$A$32,$B15,'Pemetaan Variant'!$J$5:$J$32))/AVERAGEIF('Pemetaan Variant'!$A$5:$A$32,$B15,'Pemetaan Variant'!$J$5:$J$32)*100,"n/a"),"n/a")</f>
        <v>-0.729927007299272</v>
      </c>
      <c r="CL15" s="4" t="n">
        <f aca="false">IFERROR(IF(ISNUMBER(CK15),$C15*CK15,"n/a"),"n/a")</f>
        <v>-0.0141351975756846</v>
      </c>
      <c r="CM15" s="13" t="n">
        <f aca="false">IFERROR(AVERAGEIF('Pemetaan Variant'!$A$5:$A$32,$B15,'Pemetaan Variant'!$AS$5:$AS$32),"n/a")</f>
        <v>16000</v>
      </c>
      <c r="CN15" s="14" t="n">
        <f aca="false">IFERROR(IF(ISNUMBER(CM15),(CM15-AVERAGEIF('Pemetaan Variant'!$A$5:$A$32,$B15,'Pemetaan Variant'!$J$5:$J$32))/AVERAGEIF('Pemetaan Variant'!$A$5:$A$32,$B15,'Pemetaan Variant'!$J$5:$J$32)*100,"n/a"),"n/a")</f>
        <v>-0.729927007299272</v>
      </c>
      <c r="CO15" s="4" t="n">
        <f aca="false">IFERROR(IF(ISNUMBER(CN15),$C15*CN15,"n/a"),"n/a")</f>
        <v>-0.0141351975756846</v>
      </c>
      <c r="CP15" s="13" t="n">
        <f aca="false">IFERROR(AVERAGEIF('Pemetaan Variant'!$A$5:$A$32,$B15,'Pemetaan Variant'!$AT$5:$AT$32),"n/a")</f>
        <v>16000</v>
      </c>
      <c r="CQ15" s="14" t="n">
        <f aca="false">IFERROR(IF(ISNUMBER(CP15),(CP15-AVERAGEIF('Pemetaan Variant'!$A$5:$A$32,$B15,'Pemetaan Variant'!$J$5:$J$32))/AVERAGEIF('Pemetaan Variant'!$A$5:$A$32,$B15,'Pemetaan Variant'!$J$5:$J$32)*100,"n/a"),"n/a")</f>
        <v>-0.729927007299272</v>
      </c>
      <c r="CR15" s="4" t="n">
        <f aca="false">IFERROR(IF(ISNUMBER(CQ15),$C15*CQ15,"n/a"),"n/a")</f>
        <v>-0.0141351975756846</v>
      </c>
      <c r="CS15" s="13" t="n">
        <f aca="false">IFERROR(AVERAGEIF('Pemetaan Variant'!$A$5:$A$32,$B15,'Pemetaan Variant'!$AU$5:$AU$32),"n/a")</f>
        <v>16000</v>
      </c>
      <c r="CT15" s="14" t="n">
        <f aca="false">IFERROR(IF(ISNUMBER(CS15),(CS15-AVERAGEIF('Pemetaan Variant'!$A$5:$A$32,$B15,'Pemetaan Variant'!$J$5:$J$32))/AVERAGEIF('Pemetaan Variant'!$A$5:$A$32,$B15,'Pemetaan Variant'!$J$5:$J$32)*100,"n/a"),"n/a")</f>
        <v>-0.729927007299272</v>
      </c>
      <c r="CU15" s="4" t="n">
        <f aca="false">IFERROR(IF(ISNUMBER(CT15),$C15*CT15,"n/a"),"n/a")</f>
        <v>-0.0141351975756846</v>
      </c>
      <c r="CV15" s="13" t="n">
        <f aca="false">IFERROR(AVERAGEIF('Pemetaan Variant'!$A$5:$A$32,$B15,'Pemetaan Variant'!$AV$5:$AV$32),"n/a")</f>
        <v>16000</v>
      </c>
      <c r="CW15" s="14" t="n">
        <f aca="false">IFERROR(IF(ISNUMBER(CV15),(CV15-AVERAGEIF('Pemetaan Variant'!$A$5:$A$32,$B15,'Pemetaan Variant'!$J$5:$J$32))/AVERAGEIF('Pemetaan Variant'!$A$5:$A$32,$B15,'Pemetaan Variant'!$J$5:$J$32)*100,"n/a"),"n/a")</f>
        <v>-0.729927007299272</v>
      </c>
      <c r="CX15" s="4" t="n">
        <f aca="false">IFERROR(IF(ISNUMBER(CW15),$C15*CW15,"n/a"),"n/a")</f>
        <v>-0.0141351975756846</v>
      </c>
      <c r="CY15" s="13" t="n">
        <f aca="false">IFERROR(AVERAGEIF('Pemetaan Variant'!$A$5:$A$32,$B15,'Pemetaan Variant'!$AW$5:$AW$32),"n/a")</f>
        <v>15600</v>
      </c>
      <c r="CZ15" s="14" t="n">
        <f aca="false">IFERROR(IF(ISNUMBER(CY15),(CY15-AVERAGEIF('Pemetaan Variant'!$A$5:$A$32,$B15,'Pemetaan Variant'!$K$5:$K$32))/AVERAGEIF('Pemetaan Variant'!$A$5:$A$32,$B15,'Pemetaan Variant'!$K$5:$K$32)*100,"n/a"),"n/a")</f>
        <v>-2.5</v>
      </c>
      <c r="DA15" s="4" t="n">
        <f aca="false">IFERROR(IF(ISNUMBER(CZ15),$C15*CZ15,"n/a"),"n/a")</f>
        <v>-0.0484130516967198</v>
      </c>
      <c r="DB15" s="13" t="n">
        <f aca="false">IFERROR(AVERAGEIF('Pemetaan Variant'!$A$5:$A$32,$B15,'Pemetaan Variant'!$AX$5:$AX$32),"n/a")</f>
        <v>15500</v>
      </c>
      <c r="DC15" s="14" t="n">
        <f aca="false">IFERROR(IF(ISNUMBER(DB15),(DB15-AVERAGEIF('Pemetaan Variant'!$A$5:$A$32,$B15,'Pemetaan Variant'!$K$5:$K$32))/AVERAGEIF('Pemetaan Variant'!$A$5:$A$32,$B15,'Pemetaan Variant'!$K$5:$K$32)*100,"n/a"),"n/a")</f>
        <v>-3.125</v>
      </c>
      <c r="DD15" s="4" t="n">
        <f aca="false">IFERROR(IF(ISNUMBER(DC15),$C15*DC15,"n/a"),"n/a")</f>
        <v>-0.0605163146208997</v>
      </c>
      <c r="DE15" s="13" t="n">
        <f aca="false">IFERROR(AVERAGEIF('Pemetaan Variant'!$A$5:$A$32,$B15,'Pemetaan Variant'!$AY$5:$AY$32),"n/a")</f>
        <v>15500</v>
      </c>
      <c r="DF15" s="14" t="n">
        <f aca="false">IFERROR(IF(ISNUMBER(DE15),(DE15-AVERAGEIF('Pemetaan Variant'!$A$5:$A$32,$B15,'Pemetaan Variant'!$K$5:$K$32))/AVERAGEIF('Pemetaan Variant'!$A$5:$A$32,$B15,'Pemetaan Variant'!$K$5:$K$32)*100,"n/a"),"n/a")</f>
        <v>-3.125</v>
      </c>
      <c r="DG15" s="4" t="n">
        <f aca="false">IFERROR(IF(ISNUMBER(DF15),$C15*DF15,"n/a"),"n/a")</f>
        <v>-0.0605163146208997</v>
      </c>
      <c r="DH15" s="13" t="n">
        <f aca="false">IFERROR(AVERAGEIF('Pemetaan Variant'!$A$5:$A$32,$B15,'Pemetaan Variant'!$AZ$5:$AZ$32),"n/a")</f>
        <v>15500</v>
      </c>
      <c r="DI15" s="14" t="n">
        <f aca="false">IFERROR(IF(ISNUMBER(DH15),(DH15-AVERAGEIF('Pemetaan Variant'!$A$5:$A$32,$B15,'Pemetaan Variant'!$K$5:$K$32))/AVERAGEIF('Pemetaan Variant'!$A$5:$A$32,$B15,'Pemetaan Variant'!$K$5:$K$32)*100,"n/a"),"n/a")</f>
        <v>-3.125</v>
      </c>
      <c r="DJ15" s="4" t="n">
        <f aca="false">IFERROR(IF(ISNUMBER(DI15),$C15*DI15,"n/a"),"n/a")</f>
        <v>-0.0605163146208997</v>
      </c>
      <c r="DK15" s="13" t="n">
        <f aca="false">IFERROR(AVERAGEIF('Pemetaan Variant'!$A$5:$A$32,$B15,'Pemetaan Variant'!$BA$5:$BA$32),"n/a")</f>
        <v>15375</v>
      </c>
      <c r="DL15" s="14" t="n">
        <f aca="false">IFERROR(IF(ISNUMBER(DK15),(DK15-AVERAGEIF('Pemetaan Variant'!$A$5:$A$32,$B15,'Pemetaan Variant'!$L$5:$L$32))/AVERAGEIF('Pemetaan Variant'!$A$5:$A$32,$B15,'Pemetaan Variant'!$L$5:$L$32)*100,"n/a"),"n/a")</f>
        <v>-0.974576271186446</v>
      </c>
      <c r="DM15" s="4" t="n">
        <f aca="false">IFERROR(IF(ISNUMBER(DL15),$C15*DL15,"n/a"),"n/a")</f>
        <v>-0.0188728845597383</v>
      </c>
      <c r="DN15" s="13" t="n">
        <f aca="false">IFERROR(AVERAGEIF('Pemetaan Variant'!$A$5:$A$32,$B15,'Pemetaan Variant'!$BB$5:$BB$32),"n/a")</f>
        <v>15400</v>
      </c>
      <c r="DO15" s="14" t="n">
        <f aca="false">IFERROR(IF(ISNUMBER(DN15),(DN15-AVERAGEIF('Pemetaan Variant'!$A$5:$A$32,$B15,'Pemetaan Variant'!$L$5:$L$32))/AVERAGEIF('Pemetaan Variant'!$A$5:$A$32,$B15,'Pemetaan Variant'!$L$5:$L$32)*100,"n/a"),"n/a")</f>
        <v>-0.813559322033904</v>
      </c>
      <c r="DP15" s="4" t="n">
        <f aca="false">IFERROR(IF(ISNUMBER(DO15),$C15*DO15,"n/a"),"n/a")</f>
        <v>-0.0157547558063903</v>
      </c>
      <c r="DQ15" s="13" t="n">
        <f aca="false">IFERROR(AVERAGEIF('Pemetaan Variant'!$A$5:$A$32,$B15,'Pemetaan Variant'!$BC$5:$BC$32),"n/a")</f>
        <v>15000</v>
      </c>
      <c r="DR15" s="14" t="n">
        <f aca="false">IFERROR(IF(ISNUMBER(DQ15),(DQ15-AVERAGEIF('Pemetaan Variant'!$A$5:$A$32,$B15,'Pemetaan Variant'!$L$5:$L$32))/AVERAGEIF('Pemetaan Variant'!$A$5:$A$32,$B15,'Pemetaan Variant'!$L$5:$L$32)*100,"n/a"),"n/a")</f>
        <v>-3.38983050847458</v>
      </c>
      <c r="DS15" s="4" t="n">
        <f aca="false">IFERROR(IF(ISNUMBER(DR15),$C15*DR15,"n/a"),"n/a")</f>
        <v>-0.0656448158599591</v>
      </c>
      <c r="DT15" s="13" t="n">
        <f aca="false">IFERROR(AVERAGEIF('Pemetaan Variant'!$A$5:$A$32,$B15,'Pemetaan Variant'!$BD$5:$BD$32),"n/a")</f>
        <v>15000</v>
      </c>
      <c r="DU15" s="14" t="n">
        <f aca="false">IFERROR(IF(ISNUMBER(DT15),(DT15-AVERAGEIF('Pemetaan Variant'!$A$5:$A$32,$B15,'Pemetaan Variant'!$L$5:$L$32))/AVERAGEIF('Pemetaan Variant'!$A$5:$A$32,$B15,'Pemetaan Variant'!$L$5:$L$32)*100,"n/a"),"n/a")</f>
        <v>-3.38983050847458</v>
      </c>
      <c r="DV15" s="4" t="n">
        <f aca="false">IFERROR(IF(ISNUMBER(DU15),$C15*DU15,"n/a"),"n/a")</f>
        <v>-0.0656448158599591</v>
      </c>
      <c r="DW15" s="13" t="n">
        <f aca="false">IFERROR(AVERAGEIF('Pemetaan Variant'!$A$5:$A$32,$B15,'Pemetaan Variant'!$BE$5:$BE$32),"n/a")</f>
        <v>15000</v>
      </c>
      <c r="DX15" s="14" t="n">
        <f aca="false">IFERROR(IF(ISNUMBER(DW15),(DW15-AVERAGEIF('Pemetaan Variant'!$A$5:$A$32,$B15,'Pemetaan Variant'!$M$5:$M$32))/AVERAGEIF('Pemetaan Variant'!$A$5:$A$32,$B15,'Pemetaan Variant'!$M$5:$M$32)*100,"n/a"),"n/a")</f>
        <v>-1.21317157712305</v>
      </c>
      <c r="DY15" s="4" t="n">
        <f aca="false">IFERROR(IF(ISNUMBER(DX15),$C15*DX15,"n/a"),"n/a")</f>
        <v>-0.0234933353120998</v>
      </c>
      <c r="DZ15" s="13" t="n">
        <f aca="false">IFERROR(AVERAGEIF('Pemetaan Variant'!$A$5:$A$32,$B15,'Pemetaan Variant'!$BF$5:$BF$32),"n/a")</f>
        <v>15000</v>
      </c>
      <c r="EA15" s="14" t="n">
        <f aca="false">IFERROR(IF(ISNUMBER(DZ15),(DZ15-AVERAGEIF('Pemetaan Variant'!$A$5:$A$32,$B15,'Pemetaan Variant'!$M$5:$M$32))/AVERAGEIF('Pemetaan Variant'!$A$5:$A$32,$B15,'Pemetaan Variant'!$M$5:$M$32)*100,"n/a"),"n/a")</f>
        <v>-1.21317157712305</v>
      </c>
      <c r="EB15" s="4" t="n">
        <f aca="false">IFERROR(IF(ISNUMBER(EA15),$C15*EA15,"n/a"),"n/a")</f>
        <v>-0.0234933353120998</v>
      </c>
      <c r="EC15" s="13" t="n">
        <f aca="false">IFERROR(AVERAGEIF('Pemetaan Variant'!$A$5:$A$32,$B15,'Pemetaan Variant'!$BG$5:$BG$32),"n/a")</f>
        <v>15000</v>
      </c>
      <c r="ED15" s="14" t="n">
        <f aca="false">IFERROR(IF(ISNUMBER(EC15),(EC15-AVERAGEIF('Pemetaan Variant'!$A$5:$A$32,$B15,'Pemetaan Variant'!$M$5:$M$32))/AVERAGEIF('Pemetaan Variant'!$A$5:$A$32,$B15,'Pemetaan Variant'!$M$5:$M$32)*100,"n/a"),"n/a")</f>
        <v>-1.21317157712305</v>
      </c>
      <c r="EE15" s="4" t="n">
        <f aca="false">IFERROR(IF(ISNUMBER(ED15),$C15*ED15,"n/a"),"n/a")</f>
        <v>-0.0234933353120998</v>
      </c>
      <c r="EF15" s="13" t="n">
        <f aca="false">IFERROR(AVERAGEIF('Pemetaan Variant'!$A$5:$A$32,$B15,'Pemetaan Variant'!$BH$5:$BH$32),"n/a")</f>
        <v>15000</v>
      </c>
      <c r="EG15" s="14" t="n">
        <f aca="false">IFERROR(IF(ISNUMBER(EF15),(EF15-AVERAGEIF('Pemetaan Variant'!$A$5:$A$32,$B15,'Pemetaan Variant'!$M$5:$M$32))/AVERAGEIF('Pemetaan Variant'!$A$5:$A$32,$B15,'Pemetaan Variant'!$M$5:$M$32)*100,"n/a"),"n/a")</f>
        <v>-1.21317157712305</v>
      </c>
      <c r="EH15" s="4" t="n">
        <f aca="false">IFERROR(IF(ISNUMBER(EG15),$C15*EG15,"n/a"),"n/a")</f>
        <v>-0.0234933353120998</v>
      </c>
      <c r="EI15" s="13" t="n">
        <f aca="false">IFERROR(AVERAGEIF('Pemetaan Variant'!$A$5:$A$32,$B15,'Pemetaan Variant'!$BI$5:$BI$32),"n/a")</f>
        <v>15000</v>
      </c>
      <c r="EJ15" s="14" t="n">
        <f aca="false">IFERROR(IF(ISNUMBER(EI15),(EI15-AVERAGEIF('Pemetaan Variant'!$A$5:$A$32,$B15,'Pemetaan Variant'!$M$5:$M$32))/AVERAGEIF('Pemetaan Variant'!$A$5:$A$32,$B15,'Pemetaan Variant'!$M$5:$M$32)*100,"n/a"),"n/a")</f>
        <v>-1.21317157712305</v>
      </c>
      <c r="EK15" s="4" t="n">
        <f aca="false">IFERROR(IF(ISNUMBER(EJ15),$C15*EJ15,"n/a"),"n/a")</f>
        <v>-0.0234933353120998</v>
      </c>
      <c r="EL15" s="13" t="n">
        <f aca="false">IFERROR(AVERAGEIF('Pemetaan Variant'!$A$5:$A$32,$B15,'Pemetaan Variant'!$BJ$5:$BJ$32),"n/a")</f>
        <v>15000</v>
      </c>
      <c r="EM15" s="14" t="n">
        <f aca="false">IFERROR(IF(ISNUMBER(EL15),(EL15-AVERAGEIF('Pemetaan Variant'!$A$5:$A$32,$B15,'Pemetaan Variant'!$N$5:$N$32))/AVERAGEIF('Pemetaan Variant'!$A$5:$A$32,$B15,'Pemetaan Variant'!$N$5:$N$32)*100,"n/a"),"n/a")</f>
        <v>0</v>
      </c>
      <c r="EN15" s="4" t="n">
        <f aca="false">IFERROR(IF(ISNUMBER(EM15),$C15*EM15,"n/a"),"n/a")</f>
        <v>0</v>
      </c>
      <c r="EO15" s="13" t="n">
        <f aca="false">IFERROR(AVERAGEIF('Pemetaan Variant'!$A$5:$A$32,$B15,'Pemetaan Variant'!$BK$5:$BK$32),"n/a")</f>
        <v>15000</v>
      </c>
      <c r="EP15" s="14" t="n">
        <f aca="false">IFERROR(IF(ISNUMBER(EO15),(EO15-AVERAGEIF('Pemetaan Variant'!$A$5:$A$32,$B15,'Pemetaan Variant'!$N$5:$N$32))/AVERAGEIF('Pemetaan Variant'!$A$5:$A$32,$B15,'Pemetaan Variant'!$N$5:$N$32)*100,"n/a"),"n/a")</f>
        <v>0</v>
      </c>
      <c r="EQ15" s="4" t="n">
        <f aca="false">IFERROR(IF(ISNUMBER(EP15),$C15*EP15,"n/a"),"n/a")</f>
        <v>0</v>
      </c>
      <c r="ER15" s="13" t="n">
        <f aca="false">IFERROR(AVERAGEIF('Pemetaan Variant'!$A$5:$A$32,$B15,'Pemetaan Variant'!$BL$5:$BL$32),"n/a")</f>
        <v>15000</v>
      </c>
      <c r="ES15" s="14" t="n">
        <f aca="false">IFERROR(IF(ISNUMBER(ER15),(ER15-AVERAGEIF('Pemetaan Variant'!$A$5:$A$32,$B15,'Pemetaan Variant'!$N$5:$N$32))/AVERAGEIF('Pemetaan Variant'!$A$5:$A$32,$B15,'Pemetaan Variant'!$N$5:$N$32)*100,"n/a"),"n/a")</f>
        <v>0</v>
      </c>
      <c r="ET15" s="4" t="n">
        <f aca="false">IFERROR(IF(ISNUMBER(ES15),$C15*ES15,"n/a"),"n/a")</f>
        <v>0</v>
      </c>
      <c r="EU15" s="13" t="n">
        <f aca="false">IFERROR(AVERAGEIF('Pemetaan Variant'!$A$5:$A$32,$B15,'Pemetaan Variant'!$BM$5:$BM$32),"n/a")</f>
        <v>15000</v>
      </c>
      <c r="EV15" s="14" t="n">
        <f aca="false">IFERROR(IF(ISNUMBER(EU15),(EU15-AVERAGEIF('Pemetaan Variant'!$A$5:$A$32,$B15,'Pemetaan Variant'!$N$5:$N$32))/AVERAGEIF('Pemetaan Variant'!$A$5:$A$32,$B15,'Pemetaan Variant'!$N$5:$N$32)*100,"n/a"),"n/a")</f>
        <v>0</v>
      </c>
      <c r="EW15" s="4" t="n">
        <f aca="false">IFERROR(IF(ISNUMBER(EV15),$C15*EV15,"n/a"),"n/a")</f>
        <v>0</v>
      </c>
      <c r="EX15" s="13" t="n">
        <f aca="false">IFERROR(AVERAGEIF('Pemetaan Variant'!$A$5:$A$32,$B15,'Pemetaan Variant'!$BN$5:$BN$32),"n/a")</f>
        <v>15000</v>
      </c>
      <c r="EY15" s="14" t="n">
        <f aca="false">IFERROR(IF(ISNUMBER(EX15),(EX15-AVERAGEIF('Pemetaan Variant'!$A$5:$A$32,$B15,'Pemetaan Variant'!$O$5:$O$32))/AVERAGEIF('Pemetaan Variant'!$A$5:$A$32,$B15,'Pemetaan Variant'!$O$5:$O$32)*100,"n/a"),"n/a")</f>
        <v>0</v>
      </c>
      <c r="EZ15" s="4" t="n">
        <f aca="false">IFERROR(IF(ISNUMBER(EY15),$C15*EY15,"n/a"),"n/a")</f>
        <v>0</v>
      </c>
      <c r="FA15" s="13" t="n">
        <f aca="false">IFERROR(AVERAGEIF('Pemetaan Variant'!$A$5:$A$32,$B15,'Pemetaan Variant'!$BO$5:$BO$32),"n/a")</f>
        <v>15000</v>
      </c>
      <c r="FB15" s="14" t="n">
        <f aca="false">IFERROR(IF(ISNUMBER(FA15),(FA15-AVERAGEIF('Pemetaan Variant'!$A$5:$A$32,$B15,'Pemetaan Variant'!$O$5:$O$32))/AVERAGEIF('Pemetaan Variant'!$A$5:$A$32,$B15,'Pemetaan Variant'!$O$5:$O$32)*100,"n/a"),"n/a")</f>
        <v>0</v>
      </c>
      <c r="FC15" s="4" t="n">
        <f aca="false">IFERROR(IF(ISNUMBER(FB15),$C15*FB15,"n/a"),"n/a")</f>
        <v>0</v>
      </c>
      <c r="FD15" s="13" t="n">
        <f aca="false">IFERROR(AVERAGEIF('Pemetaan Variant'!$A$5:$A$32,$B15,'Pemetaan Variant'!$BP$5:$BP$32),"n/a")</f>
        <v>15000</v>
      </c>
      <c r="FE15" s="14" t="n">
        <f aca="false">IFERROR(IF(ISNUMBER(FD15),(FD15-AVERAGEIF('Pemetaan Variant'!$A$5:$A$32,$B15,'Pemetaan Variant'!$O$5:$O$32))/AVERAGEIF('Pemetaan Variant'!$A$5:$A$32,$B15,'Pemetaan Variant'!$O$5:$O$32)*100,"n/a"),"n/a")</f>
        <v>0</v>
      </c>
      <c r="FF15" s="4" t="n">
        <f aca="false">IFERROR(IF(ISNUMBER(FE15),$C15*FE15,"n/a"),"n/a")</f>
        <v>0</v>
      </c>
      <c r="FG15" s="13" t="n">
        <f aca="false">IFERROR(AVERAGEIF('Pemetaan Variant'!$A$5:$A$32,$B15,'Pemetaan Variant'!$BQ$5:$BQ$32),"n/a")</f>
        <v>15000</v>
      </c>
      <c r="FH15" s="14" t="n">
        <f aca="false">IFERROR(IF(ISNUMBER(FG15),(FG15-AVERAGEIF('Pemetaan Variant'!$A$5:$A$32,$B15,'Pemetaan Variant'!$O$5:$O$32))/AVERAGEIF('Pemetaan Variant'!$A$5:$A$32,$B15,'Pemetaan Variant'!$O$5:$O$32)*100,"n/a"),"n/a")</f>
        <v>0</v>
      </c>
      <c r="FI15" s="4" t="n">
        <f aca="false">IFERROR(IF(ISNUMBER(FH15),$C15*FH15,"n/a"),"n/a")</f>
        <v>0</v>
      </c>
      <c r="FJ15" s="13" t="n">
        <f aca="false">IFERROR(AVERAGEIF('Pemetaan Variant'!$A$5:$A$32,$B15,'Pemetaan Variant'!$BR$5:$BR$32),"n/a")</f>
        <v>15000</v>
      </c>
      <c r="FK15" s="14" t="n">
        <f aca="false">IFERROR(IF(ISNUMBER(FJ15),(FJ15-AVERAGEIF('Pemetaan Variant'!$A$5:$A$32,$B15,'Pemetaan Variant'!$O$5:$O$32))/AVERAGEIF('Pemetaan Variant'!$A$5:$A$32,$B15,'Pemetaan Variant'!$O$5:$O$32)*100,"n/a"),"n/a")</f>
        <v>0</v>
      </c>
      <c r="FL15" s="4" t="n">
        <f aca="false">IFERROR(IF(ISNUMBER(FK15),$C15*FK15,"n/a"),"n/a")</f>
        <v>0</v>
      </c>
      <c r="FM15" s="15"/>
      <c r="FO15" s="11" t="n">
        <f aca="false">IFERROR(ABS(F15),0)</f>
        <v>0</v>
      </c>
      <c r="FP15" s="11" t="n">
        <f aca="false">IFERROR(ABS(I15),0)</f>
        <v>0</v>
      </c>
      <c r="FQ15" s="11" t="n">
        <f aca="false">IFERROR(ABS(L15),0)</f>
        <v>0</v>
      </c>
      <c r="FR15" s="11" t="n">
        <f aca="false">IFERROR(ABS(O15),0)</f>
        <v>0</v>
      </c>
      <c r="FS15" s="11" t="n">
        <f aca="false">IFERROR(ABS(R15),0)</f>
        <v>0</v>
      </c>
      <c r="FT15" s="11" t="n">
        <f aca="false">IFERROR(ABS(U15),0)</f>
        <v>0</v>
      </c>
      <c r="FU15" s="11" t="n">
        <f aca="false">IFERROR(ABS(X15),0)</f>
        <v>0</v>
      </c>
      <c r="FV15" s="11" t="n">
        <f aca="false">IFERROR(ABS(AA15),0)</f>
        <v>0</v>
      </c>
      <c r="FW15" s="11" t="n">
        <f aca="false">IFERROR(ABS(AD15),0)</f>
        <v>0</v>
      </c>
      <c r="FX15" s="11" t="n">
        <f aca="false">IFERROR(ABS(AG15),0)</f>
        <v>0</v>
      </c>
      <c r="FY15" s="11" t="n">
        <f aca="false">IFERROR(ABS(AJ15),0)</f>
        <v>0</v>
      </c>
      <c r="FZ15" s="11" t="n">
        <f aca="false">IFERROR(ABS(AM15),0)</f>
        <v>0</v>
      </c>
      <c r="GA15" s="11" t="n">
        <f aca="false">IFERROR(ABS(AP15),0)</f>
        <v>0</v>
      </c>
      <c r="GB15" s="11" t="n">
        <f aca="false">IFERROR(ABS(AS15),0)</f>
        <v>0</v>
      </c>
      <c r="GC15" s="11" t="n">
        <f aca="false">IFERROR(ABS(AV15),0)</f>
        <v>0</v>
      </c>
      <c r="GD15" s="11" t="n">
        <f aca="false">IFERROR(ABS(AY15),0)</f>
        <v>0</v>
      </c>
      <c r="GE15" s="11" t="n">
        <f aca="false">IFERROR(ABS(BB15),0)</f>
        <v>0.0586824869051149</v>
      </c>
      <c r="GF15" s="11" t="n">
        <f aca="false">IFERROR(ABS(BE15),0)</f>
        <v>0.0586824869051149</v>
      </c>
      <c r="GG15" s="11" t="n">
        <f aca="false">IFERROR(ABS(BH15),0)</f>
        <v>0.0586824869051149</v>
      </c>
      <c r="GH15" s="11" t="n">
        <f aca="false">IFERROR(ABS(BK15),0)</f>
        <v>0.0150117989757271</v>
      </c>
      <c r="GI15" s="11" t="n">
        <f aca="false">IFERROR(ABS(BN15),0)</f>
        <v>0.0150117989757271</v>
      </c>
      <c r="GJ15" s="11" t="n">
        <f aca="false">IFERROR(ABS(BQ15),0)</f>
        <v>0.0150117989757271</v>
      </c>
      <c r="GK15" s="11" t="n">
        <f aca="false">IFERROR(ABS(BT15),0)</f>
        <v>0.0150117989757271</v>
      </c>
      <c r="GL15" s="11" t="n">
        <f aca="false">IFERROR(ABS(BW15),0)</f>
        <v>0.0450353969271812</v>
      </c>
      <c r="GM15" s="11" t="n">
        <f aca="false">IFERROR(ABS(BZ15),0)</f>
        <v>0.049563636106331</v>
      </c>
      <c r="GN15" s="11" t="n">
        <f aca="false">IFERROR(ABS(CC15),0)</f>
        <v>0.0106207791656423</v>
      </c>
      <c r="GO15" s="11" t="n">
        <f aca="false">IFERROR(ABS(CF15),0)</f>
        <v>0.0106207791656423</v>
      </c>
      <c r="GP15" s="11" t="n">
        <f aca="false">IFERROR(ABS(CI15),0)</f>
        <v>0.0106207791656423</v>
      </c>
      <c r="GQ15" s="11" t="n">
        <f aca="false">IFERROR(ABS(CL15),0)</f>
        <v>0.0141351975756846</v>
      </c>
      <c r="GR15" s="11" t="n">
        <f aca="false">IFERROR(ABS(CO15),0)</f>
        <v>0.0141351975756846</v>
      </c>
      <c r="GS15" s="11" t="n">
        <f aca="false">IFERROR(ABS(CR15),0)</f>
        <v>0.0141351975756846</v>
      </c>
      <c r="GT15" s="11" t="n">
        <f aca="false">IFERROR(ABS(CU15),0)</f>
        <v>0.0141351975756846</v>
      </c>
      <c r="GU15" s="11" t="n">
        <f aca="false">IFERROR(ABS(CX15),0)</f>
        <v>0.0141351975756846</v>
      </c>
      <c r="GV15" s="11" t="n">
        <f aca="false">IFERROR(ABS(DA15),0)</f>
        <v>0.0484130516967198</v>
      </c>
      <c r="GW15" s="11" t="n">
        <f aca="false">IFERROR(ABS(DD15),0)</f>
        <v>0.0605163146208997</v>
      </c>
      <c r="GX15" s="11" t="n">
        <f aca="false">IFERROR(ABS(DG15),0)</f>
        <v>0.0605163146208997</v>
      </c>
      <c r="GY15" s="11" t="n">
        <f aca="false">IFERROR(ABS(DJ15),0)</f>
        <v>0.0605163146208997</v>
      </c>
      <c r="GZ15" s="11" t="n">
        <f aca="false">IFERROR(ABS(DM15),0)</f>
        <v>0.0188728845597383</v>
      </c>
      <c r="HA15" s="11" t="n">
        <f aca="false">IFERROR(ABS(DP15),0)</f>
        <v>0.0157547558063903</v>
      </c>
      <c r="HB15" s="11" t="n">
        <f aca="false">IFERROR(ABS(DS15),0)</f>
        <v>0.0656448158599591</v>
      </c>
      <c r="HC15" s="11" t="n">
        <f aca="false">IFERROR(ABS(DV15),0)</f>
        <v>0.0656448158599591</v>
      </c>
      <c r="HD15" s="11" t="n">
        <f aca="false">IFERROR(ABS(DY15),0)</f>
        <v>0.0234933353120998</v>
      </c>
      <c r="HE15" s="11" t="n">
        <f aca="false">IFERROR(ABS(EB15),0)</f>
        <v>0.0234933353120998</v>
      </c>
      <c r="HF15" s="11" t="n">
        <f aca="false">IFERROR(ABS(EE15),0)</f>
        <v>0.0234933353120998</v>
      </c>
      <c r="HG15" s="11" t="n">
        <f aca="false">IFERROR(ABS(EH15),0)</f>
        <v>0.0234933353120998</v>
      </c>
      <c r="HH15" s="11" t="n">
        <f aca="false">IFERROR(ABS(EK15),0)</f>
        <v>0.0234933353120998</v>
      </c>
      <c r="HI15" s="11" t="n">
        <f aca="false">IFERROR(ABS(EN15),0)</f>
        <v>0</v>
      </c>
      <c r="HJ15" s="11" t="n">
        <f aca="false">IFERROR(ABS(EQ15),0)</f>
        <v>0</v>
      </c>
      <c r="HK15" s="11" t="n">
        <f aca="false">IFERROR(ABS(ET15),0)</f>
        <v>0</v>
      </c>
      <c r="HL15" s="11" t="n">
        <f aca="false">IFERROR(ABS(EW15),0)</f>
        <v>0</v>
      </c>
      <c r="HM15" s="11" t="n">
        <f aca="false">IFERROR(ABS(EZ15),0)</f>
        <v>0</v>
      </c>
      <c r="HN15" s="11" t="n">
        <f aca="false">IFERROR(ABS(FC15),0)</f>
        <v>0</v>
      </c>
      <c r="HO15" s="11" t="n">
        <f aca="false">IFERROR(ABS(FF15),0)</f>
        <v>0</v>
      </c>
      <c r="HP15" s="11" t="n">
        <f aca="false">IFERROR(ABS(FI15),0)</f>
        <v>0</v>
      </c>
      <c r="HQ15" s="11" t="n">
        <f aca="false">IFERROR(ABS(FL15),0)</f>
        <v>0</v>
      </c>
    </row>
    <row r="16" customFormat="false" ht="15" hidden="false" customHeight="false" outlineLevel="0" collapsed="false">
      <c r="A16" s="3" t="n">
        <v>11</v>
      </c>
      <c r="B16" s="3" t="s">
        <v>246</v>
      </c>
      <c r="C16" s="12" t="n">
        <f aca="false">'P0Q0 Dasar 2022'!F15</f>
        <v>0.0207715409161349</v>
      </c>
      <c r="D16" s="13" t="n">
        <f aca="false">IFERROR(AVERAGEIF('Pemetaan Variant'!$A$5:$A$32,$B16,'Pemetaan Variant'!$P$5:$P$32),"n/a")</f>
        <v>35000</v>
      </c>
      <c r="E16" s="14" t="n">
        <f aca="false">IFERROR(IF(ISNUMBER(D16),(D16-AVERAGEIF('Pemetaan Variant'!$A$5:$A$32,$B16,'Pemetaan Variant'!$D$5:$D$32))/AVERAGEIF('Pemetaan Variant'!$A$5:$A$32,$B16,'Pemetaan Variant'!$D$5:$D$32)*100,"n/a"),"n/a")</f>
        <v>0</v>
      </c>
      <c r="F16" s="4" t="n">
        <f aca="false">IFERROR(IF(ISNUMBER(E16),$C16*E16,"n/a"),"n/a")</f>
        <v>0</v>
      </c>
      <c r="G16" s="13" t="n">
        <f aca="false">IFERROR(AVERAGEIF('Pemetaan Variant'!$A$5:$A$32,$B16,'Pemetaan Variant'!$Q$5:$Q$32),"n/a")</f>
        <v>32600</v>
      </c>
      <c r="H16" s="14" t="n">
        <f aca="false">IFERROR(IF(ISNUMBER(G16),(G16-AVERAGEIF('Pemetaan Variant'!$A$5:$A$32,$B16,'Pemetaan Variant'!$D$5:$D$32))/AVERAGEIF('Pemetaan Variant'!$A$5:$A$32,$B16,'Pemetaan Variant'!$D$5:$D$32)*100,"n/a"),"n/a")</f>
        <v>-6.85714285714286</v>
      </c>
      <c r="I16" s="4" t="n">
        <f aca="false">IFERROR(IF(ISNUMBER(H16),$C16*H16,"n/a"),"n/a")</f>
        <v>-0.142433423424925</v>
      </c>
      <c r="J16" s="13" t="n">
        <f aca="false">IFERROR(AVERAGEIF('Pemetaan Variant'!$A$5:$A$32,$B16,'Pemetaan Variant'!$R$5:$R$32),"n/a")</f>
        <v>35000</v>
      </c>
      <c r="K16" s="14" t="n">
        <f aca="false">IFERROR(IF(ISNUMBER(J16),(J16-AVERAGEIF('Pemetaan Variant'!$A$5:$A$32,$B16,'Pemetaan Variant'!$D$5:$D$32))/AVERAGEIF('Pemetaan Variant'!$A$5:$A$32,$B16,'Pemetaan Variant'!$D$5:$D$32)*100,"n/a"),"n/a")</f>
        <v>0</v>
      </c>
      <c r="L16" s="4" t="n">
        <f aca="false">IFERROR(IF(ISNUMBER(K16),$C16*K16,"n/a"),"n/a")</f>
        <v>0</v>
      </c>
      <c r="M16" s="13" t="n">
        <f aca="false">IFERROR(AVERAGEIF('Pemetaan Variant'!$A$5:$A$32,$B16,'Pemetaan Variant'!$S$5:$S$32),"n/a")</f>
        <v>35000</v>
      </c>
      <c r="N16" s="14" t="n">
        <f aca="false">IFERROR(IF(ISNUMBER(M16),(M16-AVERAGEIF('Pemetaan Variant'!$A$5:$A$32,$B16,'Pemetaan Variant'!$D$5:$D$32))/AVERAGEIF('Pemetaan Variant'!$A$5:$A$32,$B16,'Pemetaan Variant'!$D$5:$D$32)*100,"n/a"),"n/a")</f>
        <v>0</v>
      </c>
      <c r="O16" s="4" t="n">
        <f aca="false">IFERROR(IF(ISNUMBER(N16),$C16*N16,"n/a"),"n/a")</f>
        <v>0</v>
      </c>
      <c r="P16" s="13" t="n">
        <f aca="false">IFERROR(AVERAGEIF('Pemetaan Variant'!$A$5:$A$32,$B16,'Pemetaan Variant'!$T$5:$T$32),"n/a")</f>
        <v>35000</v>
      </c>
      <c r="Q16" s="14" t="n">
        <f aca="false">IFERROR(IF(ISNUMBER(P16),(P16-AVERAGEIF('Pemetaan Variant'!$A$5:$A$32,$B16,'Pemetaan Variant'!$D$5:$D$32))/AVERAGEIF('Pemetaan Variant'!$A$5:$A$32,$B16,'Pemetaan Variant'!$D$5:$D$32)*100,"n/a"),"n/a")</f>
        <v>0</v>
      </c>
      <c r="R16" s="4" t="n">
        <f aca="false">IFERROR(IF(ISNUMBER(Q16),$C16*Q16,"n/a"),"n/a")</f>
        <v>0</v>
      </c>
      <c r="S16" s="13" t="n">
        <f aca="false">IFERROR(AVERAGEIF('Pemetaan Variant'!$A$5:$A$32,$B16,'Pemetaan Variant'!$U$5:$U$32),"n/a")</f>
        <v>35000</v>
      </c>
      <c r="T16" s="14" t="n">
        <f aca="false">IFERROR(IF(ISNUMBER(S16),(S16-AVERAGEIF('Pemetaan Variant'!$A$5:$A$32,$B16,'Pemetaan Variant'!$E$5:$E$32))/AVERAGEIF('Pemetaan Variant'!$A$5:$A$32,$B16,'Pemetaan Variant'!$E$5:$E$32)*100,"n/a"),"n/a")</f>
        <v>1.83767228177641</v>
      </c>
      <c r="U16" s="4" t="n">
        <f aca="false">IFERROR(IF(ISNUMBER(T16),$C16*T16,"n/a"),"n/a")</f>
        <v>0.0381712849913657</v>
      </c>
      <c r="V16" s="13" t="n">
        <f aca="false">IFERROR(AVERAGEIF('Pemetaan Variant'!$A$5:$A$32,$B16,'Pemetaan Variant'!$V$5:$V$32),"n/a")</f>
        <v>35000</v>
      </c>
      <c r="W16" s="14" t="n">
        <f aca="false">IFERROR(IF(ISNUMBER(V16),(V16-AVERAGEIF('Pemetaan Variant'!$A$5:$A$32,$B16,'Pemetaan Variant'!$E$5:$E$32))/AVERAGEIF('Pemetaan Variant'!$A$5:$A$32,$B16,'Pemetaan Variant'!$E$5:$E$32)*100,"n/a"),"n/a")</f>
        <v>1.83767228177641</v>
      </c>
      <c r="X16" s="4" t="n">
        <f aca="false">IFERROR(IF(ISNUMBER(W16),$C16*W16,"n/a"),"n/a")</f>
        <v>0.0381712849913657</v>
      </c>
      <c r="Y16" s="13" t="n">
        <f aca="false">IFERROR(AVERAGEIF('Pemetaan Variant'!$A$5:$A$32,$B16,'Pemetaan Variant'!$W$5:$W$32),"n/a")</f>
        <v>35000</v>
      </c>
      <c r="Z16" s="14" t="n">
        <f aca="false">IFERROR(IF(ISNUMBER(Y16),(Y16-AVERAGEIF('Pemetaan Variant'!$A$5:$A$32,$B16,'Pemetaan Variant'!$E$5:$E$32))/AVERAGEIF('Pemetaan Variant'!$A$5:$A$32,$B16,'Pemetaan Variant'!$E$5:$E$32)*100,"n/a"),"n/a")</f>
        <v>1.83767228177641</v>
      </c>
      <c r="AA16" s="4" t="n">
        <f aca="false">IFERROR(IF(ISNUMBER(Z16),$C16*Z16,"n/a"),"n/a")</f>
        <v>0.0381712849913657</v>
      </c>
      <c r="AB16" s="13" t="n">
        <f aca="false">IFERROR(AVERAGEIF('Pemetaan Variant'!$A$5:$A$32,$B16,'Pemetaan Variant'!$X$5:$X$32),"n/a")</f>
        <v>35000</v>
      </c>
      <c r="AC16" s="14" t="n">
        <f aca="false">IFERROR(IF(ISNUMBER(AB16),(AB16-AVERAGEIF('Pemetaan Variant'!$A$5:$A$32,$B16,'Pemetaan Variant'!$E$5:$E$32))/AVERAGEIF('Pemetaan Variant'!$A$5:$A$32,$B16,'Pemetaan Variant'!$E$5:$E$32)*100,"n/a"),"n/a")</f>
        <v>1.83767228177641</v>
      </c>
      <c r="AD16" s="4" t="n">
        <f aca="false">IFERROR(IF(ISNUMBER(AC16),$C16*AC16,"n/a"),"n/a")</f>
        <v>0.0381712849913657</v>
      </c>
      <c r="AE16" s="13" t="n">
        <f aca="false">IFERROR(AVERAGEIF('Pemetaan Variant'!$A$5:$A$32,$B16,'Pemetaan Variant'!$Y$5:$Y$32),"n/a")</f>
        <v>35000</v>
      </c>
      <c r="AF16" s="14" t="n">
        <f aca="false">IFERROR(IF(ISNUMBER(AE16),(AE16-AVERAGEIF('Pemetaan Variant'!$A$5:$A$32,$B16,'Pemetaan Variant'!$F$5:$F$32))/AVERAGEIF('Pemetaan Variant'!$A$5:$A$32,$B16,'Pemetaan Variant'!$F$5:$F$32)*100,"n/a"),"n/a")</f>
        <v>0</v>
      </c>
      <c r="AG16" s="4" t="n">
        <f aca="false">IFERROR(IF(ISNUMBER(AF16),$C16*AF16,"n/a"),"n/a")</f>
        <v>0</v>
      </c>
      <c r="AH16" s="13" t="n">
        <f aca="false">IFERROR(AVERAGEIF('Pemetaan Variant'!$A$5:$A$32,$B16,'Pemetaan Variant'!$Z$5:$Z$32),"n/a")</f>
        <v>35000</v>
      </c>
      <c r="AI16" s="14" t="n">
        <f aca="false">IFERROR(IF(ISNUMBER(AH16),(AH16-AVERAGEIF('Pemetaan Variant'!$A$5:$A$32,$B16,'Pemetaan Variant'!$F$5:$F$32))/AVERAGEIF('Pemetaan Variant'!$A$5:$A$32,$B16,'Pemetaan Variant'!$F$5:$F$32)*100,"n/a"),"n/a")</f>
        <v>0</v>
      </c>
      <c r="AJ16" s="4" t="n">
        <f aca="false">IFERROR(IF(ISNUMBER(AI16),$C16*AI16,"n/a"),"n/a")</f>
        <v>0</v>
      </c>
      <c r="AK16" s="13" t="n">
        <f aca="false">IFERROR(AVERAGEIF('Pemetaan Variant'!$A$5:$A$32,$B16,'Pemetaan Variant'!$AA$5:$AA$32),"n/a")</f>
        <v>35000</v>
      </c>
      <c r="AL16" s="14" t="n">
        <f aca="false">IFERROR(IF(ISNUMBER(AK16),(AK16-AVERAGEIF('Pemetaan Variant'!$A$5:$A$32,$B16,'Pemetaan Variant'!$F$5:$F$32))/AVERAGEIF('Pemetaan Variant'!$A$5:$A$32,$B16,'Pemetaan Variant'!$F$5:$F$32)*100,"n/a"),"n/a")</f>
        <v>0</v>
      </c>
      <c r="AM16" s="4" t="n">
        <f aca="false">IFERROR(IF(ISNUMBER(AL16),$C16*AL16,"n/a"),"n/a")</f>
        <v>0</v>
      </c>
      <c r="AN16" s="13" t="n">
        <f aca="false">IFERROR(AVERAGEIF('Pemetaan Variant'!$A$5:$A$32,$B16,'Pemetaan Variant'!$AB$5:$AB$32),"n/a")</f>
        <v>35000</v>
      </c>
      <c r="AO16" s="14" t="n">
        <f aca="false">IFERROR(IF(ISNUMBER(AN16),(AN16-AVERAGEIF('Pemetaan Variant'!$A$5:$A$32,$B16,'Pemetaan Variant'!$F$5:$F$32))/AVERAGEIF('Pemetaan Variant'!$A$5:$A$32,$B16,'Pemetaan Variant'!$F$5:$F$32)*100,"n/a"),"n/a")</f>
        <v>0</v>
      </c>
      <c r="AP16" s="4" t="n">
        <f aca="false">IFERROR(IF(ISNUMBER(AO16),$C16*AO16,"n/a"),"n/a")</f>
        <v>0</v>
      </c>
      <c r="AQ16" s="13" t="str">
        <f aca="false">IFERROR(AVERAGEIF('Pemetaan Variant'!$A$5:$A$32,$B16,'Pemetaan Variant'!$AC$5:$AC$32),"n/a")</f>
        <v>n/a</v>
      </c>
      <c r="AR16" s="14" t="str">
        <f aca="false">IFERROR(IF(ISNUMBER(AQ16),(AQ16-AVERAGEIF('Pemetaan Variant'!$A$5:$A$32,$B16,'Pemetaan Variant'!$F$5:$F$32))/AVERAGEIF('Pemetaan Variant'!$A$5:$A$32,$B16,'Pemetaan Variant'!$F$5:$F$32)*100,"n/a"),"n/a")</f>
        <v>n/a</v>
      </c>
      <c r="AS16" s="4" t="str">
        <f aca="false">IFERROR(IF(ISNUMBER(AR16),$C16*AR16,"n/a"),"n/a")</f>
        <v>n/a</v>
      </c>
      <c r="AT16" s="13" t="str">
        <f aca="false">IFERROR(AVERAGEIF('Pemetaan Variant'!$A$5:$A$32,$B16,'Pemetaan Variant'!$AD$5:$AD$32),"n/a")</f>
        <v>n/a</v>
      </c>
      <c r="AU16" s="14" t="str">
        <f aca="false">IFERROR(IF(ISNUMBER(AT16),(AT16-AVERAGEIF('Pemetaan Variant'!$A$5:$A$32,$B16,'Pemetaan Variant'!$G$5:$G$32))/AVERAGEIF('Pemetaan Variant'!$A$5:$A$32,$B16,'Pemetaan Variant'!$G$5:$G$32)*100,"n/a"),"n/a")</f>
        <v>n/a</v>
      </c>
      <c r="AV16" s="4" t="str">
        <f aca="false">IFERROR(IF(ISNUMBER(AU16),$C16*AU16,"n/a"),"n/a")</f>
        <v>n/a</v>
      </c>
      <c r="AW16" s="13" t="n">
        <f aca="false">IFERROR(AVERAGEIF('Pemetaan Variant'!$A$5:$A$32,$B16,'Pemetaan Variant'!$AE$5:$AE$32),"n/a")</f>
        <v>35000</v>
      </c>
      <c r="AX16" s="14" t="n">
        <f aca="false">IFERROR(IF(ISNUMBER(AW16),(AW16-AVERAGEIF('Pemetaan Variant'!$A$5:$A$32,$B16,'Pemetaan Variant'!$G$5:$G$32))/AVERAGEIF('Pemetaan Variant'!$A$5:$A$32,$B16,'Pemetaan Variant'!$G$5:$G$32)*100,"n/a"),"n/a")</f>
        <v>0</v>
      </c>
      <c r="AY16" s="4" t="n">
        <f aca="false">IFERROR(IF(ISNUMBER(AX16),$C16*AX16,"n/a"),"n/a")</f>
        <v>0</v>
      </c>
      <c r="AZ16" s="13" t="n">
        <f aca="false">IFERROR(AVERAGEIF('Pemetaan Variant'!$A$5:$A$32,$B16,'Pemetaan Variant'!$AF$5:$AF$32),"n/a")</f>
        <v>35000</v>
      </c>
      <c r="BA16" s="14" t="n">
        <f aca="false">IFERROR(IF(ISNUMBER(AZ16),(AZ16-AVERAGEIF('Pemetaan Variant'!$A$5:$A$32,$B16,'Pemetaan Variant'!$G$5:$G$32))/AVERAGEIF('Pemetaan Variant'!$A$5:$A$32,$B16,'Pemetaan Variant'!$G$5:$G$32)*100,"n/a"),"n/a")</f>
        <v>0</v>
      </c>
      <c r="BB16" s="4" t="n">
        <f aca="false">IFERROR(IF(ISNUMBER(BA16),$C16*BA16,"n/a"),"n/a")</f>
        <v>0</v>
      </c>
      <c r="BC16" s="13" t="n">
        <f aca="false">IFERROR(AVERAGEIF('Pemetaan Variant'!$A$5:$A$32,$B16,'Pemetaan Variant'!$AG$5:$AG$32),"n/a")</f>
        <v>35000</v>
      </c>
      <c r="BD16" s="14" t="n">
        <f aca="false">IFERROR(IF(ISNUMBER(BC16),(BC16-AVERAGEIF('Pemetaan Variant'!$A$5:$A$32,$B16,'Pemetaan Variant'!$G$5:$G$32))/AVERAGEIF('Pemetaan Variant'!$A$5:$A$32,$B16,'Pemetaan Variant'!$G$5:$G$32)*100,"n/a"),"n/a")</f>
        <v>0</v>
      </c>
      <c r="BE16" s="4" t="n">
        <f aca="false">IFERROR(IF(ISNUMBER(BD16),$C16*BD16,"n/a"),"n/a")</f>
        <v>0</v>
      </c>
      <c r="BF16" s="13" t="n">
        <f aca="false">IFERROR(AVERAGEIF('Pemetaan Variant'!$A$5:$A$32,$B16,'Pemetaan Variant'!$AH$5:$AH$32),"n/a")</f>
        <v>32000</v>
      </c>
      <c r="BG16" s="14" t="n">
        <f aca="false">IFERROR(IF(ISNUMBER(BF16),(BF16-AVERAGEIF('Pemetaan Variant'!$A$5:$A$32,$B16,'Pemetaan Variant'!$G$5:$G$32))/AVERAGEIF('Pemetaan Variant'!$A$5:$A$32,$B16,'Pemetaan Variant'!$G$5:$G$32)*100,"n/a"),"n/a")</f>
        <v>-8.57142857142857</v>
      </c>
      <c r="BH16" s="4" t="n">
        <f aca="false">IFERROR(IF(ISNUMBER(BG16),$C16*BG16,"n/a"),"n/a")</f>
        <v>-0.178041779281156</v>
      </c>
      <c r="BI16" s="13" t="n">
        <f aca="false">IFERROR(AVERAGEIF('Pemetaan Variant'!$A$5:$A$32,$B16,'Pemetaan Variant'!$AI$5:$AI$32),"n/a")</f>
        <v>30000</v>
      </c>
      <c r="BJ16" s="14" t="n">
        <f aca="false">IFERROR(IF(ISNUMBER(BI16),(BI16-AVERAGEIF('Pemetaan Variant'!$A$5:$A$32,$B16,'Pemetaan Variant'!$H$5:$H$32))/AVERAGEIF('Pemetaan Variant'!$A$5:$A$32,$B16,'Pemetaan Variant'!$H$5:$H$32)*100,"n/a"),"n/a")</f>
        <v>-12.8856624319419</v>
      </c>
      <c r="BK16" s="4" t="n">
        <f aca="false">IFERROR(IF(ISNUMBER(BJ16),$C16*BJ16,"n/a"),"n/a")</f>
        <v>-0.267655064436584</v>
      </c>
      <c r="BL16" s="13" t="n">
        <f aca="false">IFERROR(AVERAGEIF('Pemetaan Variant'!$A$5:$A$32,$B16,'Pemetaan Variant'!$AJ$5:$AJ$32),"n/a")</f>
        <v>30000</v>
      </c>
      <c r="BM16" s="14" t="n">
        <f aca="false">IFERROR(IF(ISNUMBER(BL16),(BL16-AVERAGEIF('Pemetaan Variant'!$A$5:$A$32,$B16,'Pemetaan Variant'!$H$5:$H$32))/AVERAGEIF('Pemetaan Variant'!$A$5:$A$32,$B16,'Pemetaan Variant'!$H$5:$H$32)*100,"n/a"),"n/a")</f>
        <v>-12.8856624319419</v>
      </c>
      <c r="BN16" s="4" t="n">
        <f aca="false">IFERROR(IF(ISNUMBER(BM16),$C16*BM16,"n/a"),"n/a")</f>
        <v>-0.267655064436584</v>
      </c>
      <c r="BO16" s="13" t="n">
        <f aca="false">IFERROR(AVERAGEIF('Pemetaan Variant'!$A$5:$A$32,$B16,'Pemetaan Variant'!$AK$5:$AK$32),"n/a")</f>
        <v>30000</v>
      </c>
      <c r="BP16" s="14" t="n">
        <f aca="false">IFERROR(IF(ISNUMBER(BO16),(BO16-AVERAGEIF('Pemetaan Variant'!$A$5:$A$32,$B16,'Pemetaan Variant'!$H$5:$H$32))/AVERAGEIF('Pemetaan Variant'!$A$5:$A$32,$B16,'Pemetaan Variant'!$H$5:$H$32)*100,"n/a"),"n/a")</f>
        <v>-12.8856624319419</v>
      </c>
      <c r="BQ16" s="4" t="n">
        <f aca="false">IFERROR(IF(ISNUMBER(BP16),$C16*BP16,"n/a"),"n/a")</f>
        <v>-0.267655064436584</v>
      </c>
      <c r="BR16" s="13" t="n">
        <f aca="false">IFERROR(AVERAGEIF('Pemetaan Variant'!$A$5:$A$32,$B16,'Pemetaan Variant'!$AL$5:$AL$32),"n/a")</f>
        <v>30000</v>
      </c>
      <c r="BS16" s="14" t="n">
        <f aca="false">IFERROR(IF(ISNUMBER(BR16),(BR16-AVERAGEIF('Pemetaan Variant'!$A$5:$A$32,$B16,'Pemetaan Variant'!$H$5:$H$32))/AVERAGEIF('Pemetaan Variant'!$A$5:$A$32,$B16,'Pemetaan Variant'!$H$5:$H$32)*100,"n/a"),"n/a")</f>
        <v>-12.8856624319419</v>
      </c>
      <c r="BT16" s="4" t="n">
        <f aca="false">IFERROR(IF(ISNUMBER(BS16),$C16*BS16,"n/a"),"n/a")</f>
        <v>-0.267655064436584</v>
      </c>
      <c r="BU16" s="13" t="n">
        <f aca="false">IFERROR(AVERAGEIF('Pemetaan Variant'!$A$5:$A$32,$B16,'Pemetaan Variant'!$AM$5:$AM$32),"n/a")</f>
        <v>30000</v>
      </c>
      <c r="BV16" s="14" t="n">
        <f aca="false">IFERROR(IF(ISNUMBER(BU16),(BU16-AVERAGEIF('Pemetaan Variant'!$A$5:$A$32,$B16,'Pemetaan Variant'!$H$5:$H$32))/AVERAGEIF('Pemetaan Variant'!$A$5:$A$32,$B16,'Pemetaan Variant'!$H$5:$H$32)*100,"n/a"),"n/a")</f>
        <v>-12.8856624319419</v>
      </c>
      <c r="BW16" s="4" t="n">
        <f aca="false">IFERROR(IF(ISNUMBER(BV16),$C16*BV16,"n/a"),"n/a")</f>
        <v>-0.267655064436584</v>
      </c>
      <c r="BX16" s="13" t="n">
        <f aca="false">IFERROR(AVERAGEIF('Pemetaan Variant'!$A$5:$A$32,$B16,'Pemetaan Variant'!$AN$5:$AN$32),"n/a")</f>
        <v>30000</v>
      </c>
      <c r="BY16" s="14" t="n">
        <f aca="false">IFERROR(IF(ISNUMBER(BX16),(BX16-AVERAGEIF('Pemetaan Variant'!$A$5:$A$32,$B16,'Pemetaan Variant'!$I$5:$I$32))/AVERAGEIF('Pemetaan Variant'!$A$5:$A$32,$B16,'Pemetaan Variant'!$I$5:$I$32)*100,"n/a"),"n/a")</f>
        <v>0</v>
      </c>
      <c r="BZ16" s="4" t="n">
        <f aca="false">IFERROR(IF(ISNUMBER(BY16),$C16*BY16,"n/a"),"n/a")</f>
        <v>0</v>
      </c>
      <c r="CA16" s="13" t="n">
        <f aca="false">IFERROR(AVERAGEIF('Pemetaan Variant'!$A$5:$A$32,$B16,'Pemetaan Variant'!$AO$5:$AO$32),"n/a")</f>
        <v>28500</v>
      </c>
      <c r="CB16" s="14" t="n">
        <f aca="false">IFERROR(IF(ISNUMBER(CA16),(CA16-AVERAGEIF('Pemetaan Variant'!$A$5:$A$32,$B16,'Pemetaan Variant'!$I$5:$I$32))/AVERAGEIF('Pemetaan Variant'!$A$5:$A$32,$B16,'Pemetaan Variant'!$I$5:$I$32)*100,"n/a"),"n/a")</f>
        <v>-5</v>
      </c>
      <c r="CC16" s="4" t="n">
        <f aca="false">IFERROR(IF(ISNUMBER(CB16),$C16*CB16,"n/a"),"n/a")</f>
        <v>-0.103857704580674</v>
      </c>
      <c r="CD16" s="13" t="n">
        <f aca="false">IFERROR(AVERAGEIF('Pemetaan Variant'!$A$5:$A$32,$B16,'Pemetaan Variant'!$AP$5:$AP$32),"n/a")</f>
        <v>28000</v>
      </c>
      <c r="CE16" s="14" t="n">
        <f aca="false">IFERROR(IF(ISNUMBER(CD16),(CD16-AVERAGEIF('Pemetaan Variant'!$A$5:$A$32,$B16,'Pemetaan Variant'!$I$5:$I$32))/AVERAGEIF('Pemetaan Variant'!$A$5:$A$32,$B16,'Pemetaan Variant'!$I$5:$I$32)*100,"n/a"),"n/a")</f>
        <v>-6.66666666666667</v>
      </c>
      <c r="CF16" s="4" t="n">
        <f aca="false">IFERROR(IF(ISNUMBER(CE16),$C16*CE16,"n/a"),"n/a")</f>
        <v>-0.138476939440899</v>
      </c>
      <c r="CG16" s="13" t="n">
        <f aca="false">IFERROR(AVERAGEIF('Pemetaan Variant'!$A$5:$A$32,$B16,'Pemetaan Variant'!$AQ$5:$AQ$32),"n/a")</f>
        <v>28000</v>
      </c>
      <c r="CH16" s="14" t="n">
        <f aca="false">IFERROR(IF(ISNUMBER(CG16),(CG16-AVERAGEIF('Pemetaan Variant'!$A$5:$A$32,$B16,'Pemetaan Variant'!$I$5:$I$32))/AVERAGEIF('Pemetaan Variant'!$A$5:$A$32,$B16,'Pemetaan Variant'!$I$5:$I$32)*100,"n/a"),"n/a")</f>
        <v>-6.66666666666667</v>
      </c>
      <c r="CI16" s="4" t="n">
        <f aca="false">IFERROR(IF(ISNUMBER(CH16),$C16*CH16,"n/a"),"n/a")</f>
        <v>-0.138476939440899</v>
      </c>
      <c r="CJ16" s="13" t="n">
        <f aca="false">IFERROR(AVERAGEIF('Pemetaan Variant'!$A$5:$A$32,$B16,'Pemetaan Variant'!$AR$5:$AR$32),"n/a")</f>
        <v>28000</v>
      </c>
      <c r="CK16" s="14" t="n">
        <f aca="false">IFERROR(IF(ISNUMBER(CJ16),(CJ16-AVERAGEIF('Pemetaan Variant'!$A$5:$A$32,$B16,'Pemetaan Variant'!$J$5:$J$32))/AVERAGEIF('Pemetaan Variant'!$A$5:$A$32,$B16,'Pemetaan Variant'!$J$5:$J$32)*100,"n/a"),"n/a")</f>
        <v>-2.05761316872428</v>
      </c>
      <c r="CL16" s="4" t="n">
        <f aca="false">IFERROR(IF(ISNUMBER(CK16),$C16*CK16,"n/a"),"n/a")</f>
        <v>-0.0427397961237344</v>
      </c>
      <c r="CM16" s="13" t="n">
        <f aca="false">IFERROR(AVERAGEIF('Pemetaan Variant'!$A$5:$A$32,$B16,'Pemetaan Variant'!$AS$5:$AS$32),"n/a")</f>
        <v>28000</v>
      </c>
      <c r="CN16" s="14" t="n">
        <f aca="false">IFERROR(IF(ISNUMBER(CM16),(CM16-AVERAGEIF('Pemetaan Variant'!$A$5:$A$32,$B16,'Pemetaan Variant'!$J$5:$J$32))/AVERAGEIF('Pemetaan Variant'!$A$5:$A$32,$B16,'Pemetaan Variant'!$J$5:$J$32)*100,"n/a"),"n/a")</f>
        <v>-2.05761316872428</v>
      </c>
      <c r="CO16" s="4" t="n">
        <f aca="false">IFERROR(IF(ISNUMBER(CN16),$C16*CN16,"n/a"),"n/a")</f>
        <v>-0.0427397961237344</v>
      </c>
      <c r="CP16" s="13" t="n">
        <f aca="false">IFERROR(AVERAGEIF('Pemetaan Variant'!$A$5:$A$32,$B16,'Pemetaan Variant'!$AT$5:$AT$32),"n/a")</f>
        <v>28000</v>
      </c>
      <c r="CQ16" s="14" t="n">
        <f aca="false">IFERROR(IF(ISNUMBER(CP16),(CP16-AVERAGEIF('Pemetaan Variant'!$A$5:$A$32,$B16,'Pemetaan Variant'!$J$5:$J$32))/AVERAGEIF('Pemetaan Variant'!$A$5:$A$32,$B16,'Pemetaan Variant'!$J$5:$J$32)*100,"n/a"),"n/a")</f>
        <v>-2.05761316872428</v>
      </c>
      <c r="CR16" s="4" t="n">
        <f aca="false">IFERROR(IF(ISNUMBER(CQ16),$C16*CQ16,"n/a"),"n/a")</f>
        <v>-0.0427397961237344</v>
      </c>
      <c r="CS16" s="13" t="n">
        <f aca="false">IFERROR(AVERAGEIF('Pemetaan Variant'!$A$5:$A$32,$B16,'Pemetaan Variant'!$AU$5:$AU$32),"n/a")</f>
        <v>28000</v>
      </c>
      <c r="CT16" s="14" t="n">
        <f aca="false">IFERROR(IF(ISNUMBER(CS16),(CS16-AVERAGEIF('Pemetaan Variant'!$A$5:$A$32,$B16,'Pemetaan Variant'!$J$5:$J$32))/AVERAGEIF('Pemetaan Variant'!$A$5:$A$32,$B16,'Pemetaan Variant'!$J$5:$J$32)*100,"n/a"),"n/a")</f>
        <v>-2.05761316872428</v>
      </c>
      <c r="CU16" s="4" t="n">
        <f aca="false">IFERROR(IF(ISNUMBER(CT16),$C16*CT16,"n/a"),"n/a")</f>
        <v>-0.0427397961237344</v>
      </c>
      <c r="CV16" s="13" t="n">
        <f aca="false">IFERROR(AVERAGEIF('Pemetaan Variant'!$A$5:$A$32,$B16,'Pemetaan Variant'!$AV$5:$AV$32),"n/a")</f>
        <v>28000</v>
      </c>
      <c r="CW16" s="14" t="n">
        <f aca="false">IFERROR(IF(ISNUMBER(CV16),(CV16-AVERAGEIF('Pemetaan Variant'!$A$5:$A$32,$B16,'Pemetaan Variant'!$J$5:$J$32))/AVERAGEIF('Pemetaan Variant'!$A$5:$A$32,$B16,'Pemetaan Variant'!$J$5:$J$32)*100,"n/a"),"n/a")</f>
        <v>-2.05761316872428</v>
      </c>
      <c r="CX16" s="4" t="n">
        <f aca="false">IFERROR(IF(ISNUMBER(CW16),$C16*CW16,"n/a"),"n/a")</f>
        <v>-0.0427397961237344</v>
      </c>
      <c r="CY16" s="13" t="n">
        <f aca="false">IFERROR(AVERAGEIF('Pemetaan Variant'!$A$5:$A$32,$B16,'Pemetaan Variant'!$AW$5:$AW$32),"n/a")</f>
        <v>28000</v>
      </c>
      <c r="CZ16" s="14" t="n">
        <f aca="false">IFERROR(IF(ISNUMBER(CY16),(CY16-AVERAGEIF('Pemetaan Variant'!$A$5:$A$32,$B16,'Pemetaan Variant'!$K$5:$K$32))/AVERAGEIF('Pemetaan Variant'!$A$5:$A$32,$B16,'Pemetaan Variant'!$K$5:$K$32)*100,"n/a"),"n/a")</f>
        <v>0</v>
      </c>
      <c r="DA16" s="4" t="n">
        <f aca="false">IFERROR(IF(ISNUMBER(CZ16),$C16*CZ16,"n/a"),"n/a")</f>
        <v>0</v>
      </c>
      <c r="DB16" s="13" t="n">
        <f aca="false">IFERROR(AVERAGEIF('Pemetaan Variant'!$A$5:$A$32,$B16,'Pemetaan Variant'!$AX$5:$AX$32),"n/a")</f>
        <v>28000</v>
      </c>
      <c r="DC16" s="14" t="n">
        <f aca="false">IFERROR(IF(ISNUMBER(DB16),(DB16-AVERAGEIF('Pemetaan Variant'!$A$5:$A$32,$B16,'Pemetaan Variant'!$K$5:$K$32))/AVERAGEIF('Pemetaan Variant'!$A$5:$A$32,$B16,'Pemetaan Variant'!$K$5:$K$32)*100,"n/a"),"n/a")</f>
        <v>0</v>
      </c>
      <c r="DD16" s="4" t="n">
        <f aca="false">IFERROR(IF(ISNUMBER(DC16),$C16*DC16,"n/a"),"n/a")</f>
        <v>0</v>
      </c>
      <c r="DE16" s="13" t="n">
        <f aca="false">IFERROR(AVERAGEIF('Pemetaan Variant'!$A$5:$A$32,$B16,'Pemetaan Variant'!$AY$5:$AY$32),"n/a")</f>
        <v>28000</v>
      </c>
      <c r="DF16" s="14" t="n">
        <f aca="false">IFERROR(IF(ISNUMBER(DE16),(DE16-AVERAGEIF('Pemetaan Variant'!$A$5:$A$32,$B16,'Pemetaan Variant'!$K$5:$K$32))/AVERAGEIF('Pemetaan Variant'!$A$5:$A$32,$B16,'Pemetaan Variant'!$K$5:$K$32)*100,"n/a"),"n/a")</f>
        <v>0</v>
      </c>
      <c r="DG16" s="4" t="n">
        <f aca="false">IFERROR(IF(ISNUMBER(DF16),$C16*DF16,"n/a"),"n/a")</f>
        <v>0</v>
      </c>
      <c r="DH16" s="13" t="n">
        <f aca="false">IFERROR(AVERAGEIF('Pemetaan Variant'!$A$5:$A$32,$B16,'Pemetaan Variant'!$AZ$5:$AZ$32),"n/a")</f>
        <v>28000</v>
      </c>
      <c r="DI16" s="14" t="n">
        <f aca="false">IFERROR(IF(ISNUMBER(DH16),(DH16-AVERAGEIF('Pemetaan Variant'!$A$5:$A$32,$B16,'Pemetaan Variant'!$K$5:$K$32))/AVERAGEIF('Pemetaan Variant'!$A$5:$A$32,$B16,'Pemetaan Variant'!$K$5:$K$32)*100,"n/a"),"n/a")</f>
        <v>0</v>
      </c>
      <c r="DJ16" s="4" t="n">
        <f aca="false">IFERROR(IF(ISNUMBER(DI16),$C16*DI16,"n/a"),"n/a")</f>
        <v>0</v>
      </c>
      <c r="DK16" s="13" t="n">
        <f aca="false">IFERROR(AVERAGEIF('Pemetaan Variant'!$A$5:$A$32,$B16,'Pemetaan Variant'!$BA$5:$BA$32),"n/a")</f>
        <v>28000</v>
      </c>
      <c r="DL16" s="14" t="n">
        <f aca="false">IFERROR(IF(ISNUMBER(DK16),(DK16-AVERAGEIF('Pemetaan Variant'!$A$5:$A$32,$B16,'Pemetaan Variant'!$L$5:$L$32))/AVERAGEIF('Pemetaan Variant'!$A$5:$A$32,$B16,'Pemetaan Variant'!$L$5:$L$32)*100,"n/a"),"n/a")</f>
        <v>0</v>
      </c>
      <c r="DM16" s="4" t="n">
        <f aca="false">IFERROR(IF(ISNUMBER(DL16),$C16*DL16,"n/a"),"n/a")</f>
        <v>0</v>
      </c>
      <c r="DN16" s="13" t="n">
        <f aca="false">IFERROR(AVERAGEIF('Pemetaan Variant'!$A$5:$A$32,$B16,'Pemetaan Variant'!$BB$5:$BB$32),"n/a")</f>
        <v>28000</v>
      </c>
      <c r="DO16" s="14" t="n">
        <f aca="false">IFERROR(IF(ISNUMBER(DN16),(DN16-AVERAGEIF('Pemetaan Variant'!$A$5:$A$32,$B16,'Pemetaan Variant'!$L$5:$L$32))/AVERAGEIF('Pemetaan Variant'!$A$5:$A$32,$B16,'Pemetaan Variant'!$L$5:$L$32)*100,"n/a"),"n/a")</f>
        <v>0</v>
      </c>
      <c r="DP16" s="4" t="n">
        <f aca="false">IFERROR(IF(ISNUMBER(DO16),$C16*DO16,"n/a"),"n/a")</f>
        <v>0</v>
      </c>
      <c r="DQ16" s="13" t="n">
        <f aca="false">IFERROR(AVERAGEIF('Pemetaan Variant'!$A$5:$A$32,$B16,'Pemetaan Variant'!$BC$5:$BC$32),"n/a")</f>
        <v>28000</v>
      </c>
      <c r="DR16" s="14" t="n">
        <f aca="false">IFERROR(IF(ISNUMBER(DQ16),(DQ16-AVERAGEIF('Pemetaan Variant'!$A$5:$A$32,$B16,'Pemetaan Variant'!$L$5:$L$32))/AVERAGEIF('Pemetaan Variant'!$A$5:$A$32,$B16,'Pemetaan Variant'!$L$5:$L$32)*100,"n/a"),"n/a")</f>
        <v>0</v>
      </c>
      <c r="DS16" s="4" t="n">
        <f aca="false">IFERROR(IF(ISNUMBER(DR16),$C16*DR16,"n/a"),"n/a")</f>
        <v>0</v>
      </c>
      <c r="DT16" s="13" t="n">
        <f aca="false">IFERROR(AVERAGEIF('Pemetaan Variant'!$A$5:$A$32,$B16,'Pemetaan Variant'!$BD$5:$BD$32),"n/a")</f>
        <v>28000</v>
      </c>
      <c r="DU16" s="14" t="n">
        <f aca="false">IFERROR(IF(ISNUMBER(DT16),(DT16-AVERAGEIF('Pemetaan Variant'!$A$5:$A$32,$B16,'Pemetaan Variant'!$L$5:$L$32))/AVERAGEIF('Pemetaan Variant'!$A$5:$A$32,$B16,'Pemetaan Variant'!$L$5:$L$32)*100,"n/a"),"n/a")</f>
        <v>0</v>
      </c>
      <c r="DV16" s="4" t="n">
        <f aca="false">IFERROR(IF(ISNUMBER(DU16),$C16*DU16,"n/a"),"n/a")</f>
        <v>0</v>
      </c>
      <c r="DW16" s="13" t="n">
        <f aca="false">IFERROR(AVERAGEIF('Pemetaan Variant'!$A$5:$A$32,$B16,'Pemetaan Variant'!$BE$5:$BE$32),"n/a")</f>
        <v>28000</v>
      </c>
      <c r="DX16" s="14" t="n">
        <f aca="false">IFERROR(IF(ISNUMBER(DW16),(DW16-AVERAGEIF('Pemetaan Variant'!$A$5:$A$32,$B16,'Pemetaan Variant'!$M$5:$M$32))/AVERAGEIF('Pemetaan Variant'!$A$5:$A$32,$B16,'Pemetaan Variant'!$M$5:$M$32)*100,"n/a"),"n/a")</f>
        <v>0</v>
      </c>
      <c r="DY16" s="4" t="n">
        <f aca="false">IFERROR(IF(ISNUMBER(DX16),$C16*DX16,"n/a"),"n/a")</f>
        <v>0</v>
      </c>
      <c r="DZ16" s="13" t="n">
        <f aca="false">IFERROR(AVERAGEIF('Pemetaan Variant'!$A$5:$A$32,$B16,'Pemetaan Variant'!$BF$5:$BF$32),"n/a")</f>
        <v>28000</v>
      </c>
      <c r="EA16" s="14" t="n">
        <f aca="false">IFERROR(IF(ISNUMBER(DZ16),(DZ16-AVERAGEIF('Pemetaan Variant'!$A$5:$A$32,$B16,'Pemetaan Variant'!$M$5:$M$32))/AVERAGEIF('Pemetaan Variant'!$A$5:$A$32,$B16,'Pemetaan Variant'!$M$5:$M$32)*100,"n/a"),"n/a")</f>
        <v>0</v>
      </c>
      <c r="EB16" s="4" t="n">
        <f aca="false">IFERROR(IF(ISNUMBER(EA16),$C16*EA16,"n/a"),"n/a")</f>
        <v>0</v>
      </c>
      <c r="EC16" s="13" t="n">
        <f aca="false">IFERROR(AVERAGEIF('Pemetaan Variant'!$A$5:$A$32,$B16,'Pemetaan Variant'!$BG$5:$BG$32),"n/a")</f>
        <v>28000</v>
      </c>
      <c r="ED16" s="14" t="n">
        <f aca="false">IFERROR(IF(ISNUMBER(EC16),(EC16-AVERAGEIF('Pemetaan Variant'!$A$5:$A$32,$B16,'Pemetaan Variant'!$M$5:$M$32))/AVERAGEIF('Pemetaan Variant'!$A$5:$A$32,$B16,'Pemetaan Variant'!$M$5:$M$32)*100,"n/a"),"n/a")</f>
        <v>0</v>
      </c>
      <c r="EE16" s="4" t="n">
        <f aca="false">IFERROR(IF(ISNUMBER(ED16),$C16*ED16,"n/a"),"n/a")</f>
        <v>0</v>
      </c>
      <c r="EF16" s="13" t="n">
        <f aca="false">IFERROR(AVERAGEIF('Pemetaan Variant'!$A$5:$A$32,$B16,'Pemetaan Variant'!$BH$5:$BH$32),"n/a")</f>
        <v>28000</v>
      </c>
      <c r="EG16" s="14" t="n">
        <f aca="false">IFERROR(IF(ISNUMBER(EF16),(EF16-AVERAGEIF('Pemetaan Variant'!$A$5:$A$32,$B16,'Pemetaan Variant'!$M$5:$M$32))/AVERAGEIF('Pemetaan Variant'!$A$5:$A$32,$B16,'Pemetaan Variant'!$M$5:$M$32)*100,"n/a"),"n/a")</f>
        <v>0</v>
      </c>
      <c r="EH16" s="4" t="n">
        <f aca="false">IFERROR(IF(ISNUMBER(EG16),$C16*EG16,"n/a"),"n/a")</f>
        <v>0</v>
      </c>
      <c r="EI16" s="13" t="n">
        <f aca="false">IFERROR(AVERAGEIF('Pemetaan Variant'!$A$5:$A$32,$B16,'Pemetaan Variant'!$BI$5:$BI$32),"n/a")</f>
        <v>28000</v>
      </c>
      <c r="EJ16" s="14" t="n">
        <f aca="false">IFERROR(IF(ISNUMBER(EI16),(EI16-AVERAGEIF('Pemetaan Variant'!$A$5:$A$32,$B16,'Pemetaan Variant'!$M$5:$M$32))/AVERAGEIF('Pemetaan Variant'!$A$5:$A$32,$B16,'Pemetaan Variant'!$M$5:$M$32)*100,"n/a"),"n/a")</f>
        <v>0</v>
      </c>
      <c r="EK16" s="4" t="n">
        <f aca="false">IFERROR(IF(ISNUMBER(EJ16),$C16*EJ16,"n/a"),"n/a")</f>
        <v>0</v>
      </c>
      <c r="EL16" s="13" t="n">
        <f aca="false">IFERROR(AVERAGEIF('Pemetaan Variant'!$A$5:$A$32,$B16,'Pemetaan Variant'!$BJ$5:$BJ$32),"n/a")</f>
        <v>28000</v>
      </c>
      <c r="EM16" s="14" t="n">
        <f aca="false">IFERROR(IF(ISNUMBER(EL16),(EL16-AVERAGEIF('Pemetaan Variant'!$A$5:$A$32,$B16,'Pemetaan Variant'!$N$5:$N$32))/AVERAGEIF('Pemetaan Variant'!$A$5:$A$32,$B16,'Pemetaan Variant'!$N$5:$N$32)*100,"n/a"),"n/a")</f>
        <v>0</v>
      </c>
      <c r="EN16" s="4" t="n">
        <f aca="false">IFERROR(IF(ISNUMBER(EM16),$C16*EM16,"n/a"),"n/a")</f>
        <v>0</v>
      </c>
      <c r="EO16" s="13" t="n">
        <f aca="false">IFERROR(AVERAGEIF('Pemetaan Variant'!$A$5:$A$32,$B16,'Pemetaan Variant'!$BK$5:$BK$32),"n/a")</f>
        <v>28000</v>
      </c>
      <c r="EP16" s="14" t="n">
        <f aca="false">IFERROR(IF(ISNUMBER(EO16),(EO16-AVERAGEIF('Pemetaan Variant'!$A$5:$A$32,$B16,'Pemetaan Variant'!$N$5:$N$32))/AVERAGEIF('Pemetaan Variant'!$A$5:$A$32,$B16,'Pemetaan Variant'!$N$5:$N$32)*100,"n/a"),"n/a")</f>
        <v>0</v>
      </c>
      <c r="EQ16" s="4" t="n">
        <f aca="false">IFERROR(IF(ISNUMBER(EP16),$C16*EP16,"n/a"),"n/a")</f>
        <v>0</v>
      </c>
      <c r="ER16" s="13" t="n">
        <f aca="false">IFERROR(AVERAGEIF('Pemetaan Variant'!$A$5:$A$32,$B16,'Pemetaan Variant'!$BL$5:$BL$32),"n/a")</f>
        <v>28000</v>
      </c>
      <c r="ES16" s="14" t="n">
        <f aca="false">IFERROR(IF(ISNUMBER(ER16),(ER16-AVERAGEIF('Pemetaan Variant'!$A$5:$A$32,$B16,'Pemetaan Variant'!$N$5:$N$32))/AVERAGEIF('Pemetaan Variant'!$A$5:$A$32,$B16,'Pemetaan Variant'!$N$5:$N$32)*100,"n/a"),"n/a")</f>
        <v>0</v>
      </c>
      <c r="ET16" s="4" t="n">
        <f aca="false">IFERROR(IF(ISNUMBER(ES16),$C16*ES16,"n/a"),"n/a")</f>
        <v>0</v>
      </c>
      <c r="EU16" s="13" t="n">
        <f aca="false">IFERROR(AVERAGEIF('Pemetaan Variant'!$A$5:$A$32,$B16,'Pemetaan Variant'!$BM$5:$BM$32),"n/a")</f>
        <v>28000</v>
      </c>
      <c r="EV16" s="14" t="n">
        <f aca="false">IFERROR(IF(ISNUMBER(EU16),(EU16-AVERAGEIF('Pemetaan Variant'!$A$5:$A$32,$B16,'Pemetaan Variant'!$N$5:$N$32))/AVERAGEIF('Pemetaan Variant'!$A$5:$A$32,$B16,'Pemetaan Variant'!$N$5:$N$32)*100,"n/a"),"n/a")</f>
        <v>0</v>
      </c>
      <c r="EW16" s="4" t="n">
        <f aca="false">IFERROR(IF(ISNUMBER(EV16),$C16*EV16,"n/a"),"n/a")</f>
        <v>0</v>
      </c>
      <c r="EX16" s="13" t="n">
        <f aca="false">IFERROR(AVERAGEIF('Pemetaan Variant'!$A$5:$A$32,$B16,'Pemetaan Variant'!$BN$5:$BN$32),"n/a")</f>
        <v>28000</v>
      </c>
      <c r="EY16" s="14" t="n">
        <f aca="false">IFERROR(IF(ISNUMBER(EX16),(EX16-AVERAGEIF('Pemetaan Variant'!$A$5:$A$32,$B16,'Pemetaan Variant'!$O$5:$O$32))/AVERAGEIF('Pemetaan Variant'!$A$5:$A$32,$B16,'Pemetaan Variant'!$O$5:$O$32)*100,"n/a"),"n/a")</f>
        <v>0</v>
      </c>
      <c r="EZ16" s="4" t="n">
        <f aca="false">IFERROR(IF(ISNUMBER(EY16),$C16*EY16,"n/a"),"n/a")</f>
        <v>0</v>
      </c>
      <c r="FA16" s="13" t="n">
        <f aca="false">IFERROR(AVERAGEIF('Pemetaan Variant'!$A$5:$A$32,$B16,'Pemetaan Variant'!$BO$5:$BO$32),"n/a")</f>
        <v>28000</v>
      </c>
      <c r="FB16" s="14" t="n">
        <f aca="false">IFERROR(IF(ISNUMBER(FA16),(FA16-AVERAGEIF('Pemetaan Variant'!$A$5:$A$32,$B16,'Pemetaan Variant'!$O$5:$O$32))/AVERAGEIF('Pemetaan Variant'!$A$5:$A$32,$B16,'Pemetaan Variant'!$O$5:$O$32)*100,"n/a"),"n/a")</f>
        <v>0</v>
      </c>
      <c r="FC16" s="4" t="n">
        <f aca="false">IFERROR(IF(ISNUMBER(FB16),$C16*FB16,"n/a"),"n/a")</f>
        <v>0</v>
      </c>
      <c r="FD16" s="13" t="n">
        <f aca="false">IFERROR(AVERAGEIF('Pemetaan Variant'!$A$5:$A$32,$B16,'Pemetaan Variant'!$BP$5:$BP$32),"n/a")</f>
        <v>28000</v>
      </c>
      <c r="FE16" s="14" t="n">
        <f aca="false">IFERROR(IF(ISNUMBER(FD16),(FD16-AVERAGEIF('Pemetaan Variant'!$A$5:$A$32,$B16,'Pemetaan Variant'!$O$5:$O$32))/AVERAGEIF('Pemetaan Variant'!$A$5:$A$32,$B16,'Pemetaan Variant'!$O$5:$O$32)*100,"n/a"),"n/a")</f>
        <v>0</v>
      </c>
      <c r="FF16" s="4" t="n">
        <f aca="false">IFERROR(IF(ISNUMBER(FE16),$C16*FE16,"n/a"),"n/a")</f>
        <v>0</v>
      </c>
      <c r="FG16" s="13" t="n">
        <f aca="false">IFERROR(AVERAGEIF('Pemetaan Variant'!$A$5:$A$32,$B16,'Pemetaan Variant'!$BQ$5:$BQ$32),"n/a")</f>
        <v>28000</v>
      </c>
      <c r="FH16" s="14" t="n">
        <f aca="false">IFERROR(IF(ISNUMBER(FG16),(FG16-AVERAGEIF('Pemetaan Variant'!$A$5:$A$32,$B16,'Pemetaan Variant'!$O$5:$O$32))/AVERAGEIF('Pemetaan Variant'!$A$5:$A$32,$B16,'Pemetaan Variant'!$O$5:$O$32)*100,"n/a"),"n/a")</f>
        <v>0</v>
      </c>
      <c r="FI16" s="4" t="n">
        <f aca="false">IFERROR(IF(ISNUMBER(FH16),$C16*FH16,"n/a"),"n/a")</f>
        <v>0</v>
      </c>
      <c r="FJ16" s="13" t="n">
        <f aca="false">IFERROR(AVERAGEIF('Pemetaan Variant'!$A$5:$A$32,$B16,'Pemetaan Variant'!$BR$5:$BR$32),"n/a")</f>
        <v>28000</v>
      </c>
      <c r="FK16" s="14" t="n">
        <f aca="false">IFERROR(IF(ISNUMBER(FJ16),(FJ16-AVERAGEIF('Pemetaan Variant'!$A$5:$A$32,$B16,'Pemetaan Variant'!$O$5:$O$32))/AVERAGEIF('Pemetaan Variant'!$A$5:$A$32,$B16,'Pemetaan Variant'!$O$5:$O$32)*100,"n/a"),"n/a")</f>
        <v>0</v>
      </c>
      <c r="FL16" s="4" t="n">
        <f aca="false">IFERROR(IF(ISNUMBER(FK16),$C16*FK16,"n/a"),"n/a")</f>
        <v>0</v>
      </c>
      <c r="FM16" s="15" t="s">
        <v>247</v>
      </c>
      <c r="FO16" s="11" t="n">
        <f aca="false">IFERROR(ABS(F16),0)</f>
        <v>0</v>
      </c>
      <c r="FP16" s="11" t="n">
        <f aca="false">IFERROR(ABS(I16),0)</f>
        <v>0.142433423424925</v>
      </c>
      <c r="FQ16" s="11" t="n">
        <f aca="false">IFERROR(ABS(L16),0)</f>
        <v>0</v>
      </c>
      <c r="FR16" s="11" t="n">
        <f aca="false">IFERROR(ABS(O16),0)</f>
        <v>0</v>
      </c>
      <c r="FS16" s="11" t="n">
        <f aca="false">IFERROR(ABS(R16),0)</f>
        <v>0</v>
      </c>
      <c r="FT16" s="11" t="n">
        <f aca="false">IFERROR(ABS(U16),0)</f>
        <v>0.0381712849913657</v>
      </c>
      <c r="FU16" s="11" t="n">
        <f aca="false">IFERROR(ABS(X16),0)</f>
        <v>0.0381712849913657</v>
      </c>
      <c r="FV16" s="11" t="n">
        <f aca="false">IFERROR(ABS(AA16),0)</f>
        <v>0.0381712849913657</v>
      </c>
      <c r="FW16" s="11" t="n">
        <f aca="false">IFERROR(ABS(AD16),0)</f>
        <v>0.0381712849913657</v>
      </c>
      <c r="FX16" s="11" t="n">
        <f aca="false">IFERROR(ABS(AG16),0)</f>
        <v>0</v>
      </c>
      <c r="FY16" s="11" t="n">
        <f aca="false">IFERROR(ABS(AJ16),0)</f>
        <v>0</v>
      </c>
      <c r="FZ16" s="11" t="n">
        <f aca="false">IFERROR(ABS(AM16),0)</f>
        <v>0</v>
      </c>
      <c r="GA16" s="11" t="n">
        <f aca="false">IFERROR(ABS(AP16),0)</f>
        <v>0</v>
      </c>
      <c r="GB16" s="11" t="n">
        <f aca="false">IFERROR(ABS(AS16),0)</f>
        <v>0</v>
      </c>
      <c r="GC16" s="11" t="n">
        <f aca="false">IFERROR(ABS(AV16),0)</f>
        <v>0</v>
      </c>
      <c r="GD16" s="11" t="n">
        <f aca="false">IFERROR(ABS(AY16),0)</f>
        <v>0</v>
      </c>
      <c r="GE16" s="11" t="n">
        <f aca="false">IFERROR(ABS(BB16),0)</f>
        <v>0</v>
      </c>
      <c r="GF16" s="11" t="n">
        <f aca="false">IFERROR(ABS(BE16),0)</f>
        <v>0</v>
      </c>
      <c r="GG16" s="11" t="n">
        <f aca="false">IFERROR(ABS(BH16),0)</f>
        <v>0.178041779281156</v>
      </c>
      <c r="GH16" s="11" t="n">
        <f aca="false">IFERROR(ABS(BK16),0)</f>
        <v>0.267655064436584</v>
      </c>
      <c r="GI16" s="11" t="n">
        <f aca="false">IFERROR(ABS(BN16),0)</f>
        <v>0.267655064436584</v>
      </c>
      <c r="GJ16" s="11" t="n">
        <f aca="false">IFERROR(ABS(BQ16),0)</f>
        <v>0.267655064436584</v>
      </c>
      <c r="GK16" s="11" t="n">
        <f aca="false">IFERROR(ABS(BT16),0)</f>
        <v>0.267655064436584</v>
      </c>
      <c r="GL16" s="11" t="n">
        <f aca="false">IFERROR(ABS(BW16),0)</f>
        <v>0.267655064436584</v>
      </c>
      <c r="GM16" s="11" t="n">
        <f aca="false">IFERROR(ABS(BZ16),0)</f>
        <v>0</v>
      </c>
      <c r="GN16" s="11" t="n">
        <f aca="false">IFERROR(ABS(CC16),0)</f>
        <v>0.103857704580674</v>
      </c>
      <c r="GO16" s="11" t="n">
        <f aca="false">IFERROR(ABS(CF16),0)</f>
        <v>0.138476939440899</v>
      </c>
      <c r="GP16" s="11" t="n">
        <f aca="false">IFERROR(ABS(CI16),0)</f>
        <v>0.138476939440899</v>
      </c>
      <c r="GQ16" s="11" t="n">
        <f aca="false">IFERROR(ABS(CL16),0)</f>
        <v>0.0427397961237344</v>
      </c>
      <c r="GR16" s="11" t="n">
        <f aca="false">IFERROR(ABS(CO16),0)</f>
        <v>0.0427397961237344</v>
      </c>
      <c r="GS16" s="11" t="n">
        <f aca="false">IFERROR(ABS(CR16),0)</f>
        <v>0.0427397961237344</v>
      </c>
      <c r="GT16" s="11" t="n">
        <f aca="false">IFERROR(ABS(CU16),0)</f>
        <v>0.0427397961237344</v>
      </c>
      <c r="GU16" s="11" t="n">
        <f aca="false">IFERROR(ABS(CX16),0)</f>
        <v>0.0427397961237344</v>
      </c>
      <c r="GV16" s="11" t="n">
        <f aca="false">IFERROR(ABS(DA16),0)</f>
        <v>0</v>
      </c>
      <c r="GW16" s="11" t="n">
        <f aca="false">IFERROR(ABS(DD16),0)</f>
        <v>0</v>
      </c>
      <c r="GX16" s="11" t="n">
        <f aca="false">IFERROR(ABS(DG16),0)</f>
        <v>0</v>
      </c>
      <c r="GY16" s="11" t="n">
        <f aca="false">IFERROR(ABS(DJ16),0)</f>
        <v>0</v>
      </c>
      <c r="GZ16" s="11" t="n">
        <f aca="false">IFERROR(ABS(DM16),0)</f>
        <v>0</v>
      </c>
      <c r="HA16" s="11" t="n">
        <f aca="false">IFERROR(ABS(DP16),0)</f>
        <v>0</v>
      </c>
      <c r="HB16" s="11" t="n">
        <f aca="false">IFERROR(ABS(DS16),0)</f>
        <v>0</v>
      </c>
      <c r="HC16" s="11" t="n">
        <f aca="false">IFERROR(ABS(DV16),0)</f>
        <v>0</v>
      </c>
      <c r="HD16" s="11" t="n">
        <f aca="false">IFERROR(ABS(DY16),0)</f>
        <v>0</v>
      </c>
      <c r="HE16" s="11" t="n">
        <f aca="false">IFERROR(ABS(EB16),0)</f>
        <v>0</v>
      </c>
      <c r="HF16" s="11" t="n">
        <f aca="false">IFERROR(ABS(EE16),0)</f>
        <v>0</v>
      </c>
      <c r="HG16" s="11" t="n">
        <f aca="false">IFERROR(ABS(EH16),0)</f>
        <v>0</v>
      </c>
      <c r="HH16" s="11" t="n">
        <f aca="false">IFERROR(ABS(EK16),0)</f>
        <v>0</v>
      </c>
      <c r="HI16" s="11" t="n">
        <f aca="false">IFERROR(ABS(EN16),0)</f>
        <v>0</v>
      </c>
      <c r="HJ16" s="11" t="n">
        <f aca="false">IFERROR(ABS(EQ16),0)</f>
        <v>0</v>
      </c>
      <c r="HK16" s="11" t="n">
        <f aca="false">IFERROR(ABS(ET16),0)</f>
        <v>0</v>
      </c>
      <c r="HL16" s="11" t="n">
        <f aca="false">IFERROR(ABS(EW16),0)</f>
        <v>0</v>
      </c>
      <c r="HM16" s="11" t="n">
        <f aca="false">IFERROR(ABS(EZ16),0)</f>
        <v>0</v>
      </c>
      <c r="HN16" s="11" t="n">
        <f aca="false">IFERROR(ABS(FC16),0)</f>
        <v>0</v>
      </c>
      <c r="HO16" s="11" t="n">
        <f aca="false">IFERROR(ABS(FF16),0)</f>
        <v>0</v>
      </c>
      <c r="HP16" s="11" t="n">
        <f aca="false">IFERROR(ABS(FI16),0)</f>
        <v>0</v>
      </c>
      <c r="HQ16" s="11" t="n">
        <f aca="false">IFERROR(ABS(FL16),0)</f>
        <v>0</v>
      </c>
    </row>
    <row r="17" customFormat="false" ht="15" hidden="false" customHeight="false" outlineLevel="0" collapsed="false">
      <c r="A17" s="3" t="n">
        <v>12</v>
      </c>
      <c r="B17" s="3" t="s">
        <v>248</v>
      </c>
      <c r="C17" s="12" t="n">
        <f aca="false">'P0Q0 Dasar 2022'!F16</f>
        <v>0.219464201786494</v>
      </c>
      <c r="D17" s="13" t="n">
        <f aca="false">IFERROR(AVERAGEIF('Pemetaan Variant'!$A$5:$A$32,$B17,'Pemetaan Variant'!$P$5:$P$32),"n/a")</f>
        <v>42000</v>
      </c>
      <c r="E17" s="14" t="n">
        <f aca="false">IFERROR(IF(ISNUMBER(D17),(D17-AVERAGEIF('Pemetaan Variant'!$A$5:$A$32,$B17,'Pemetaan Variant'!$D$5:$D$32))/AVERAGEIF('Pemetaan Variant'!$A$5:$A$32,$B17,'Pemetaan Variant'!$D$5:$D$32)*100,"n/a"),"n/a")</f>
        <v>0</v>
      </c>
      <c r="F17" s="4" t="n">
        <f aca="false">IFERROR(IF(ISNUMBER(E17),$C17*E17,"n/a"),"n/a")</f>
        <v>0</v>
      </c>
      <c r="G17" s="13" t="n">
        <f aca="false">IFERROR(AVERAGEIF('Pemetaan Variant'!$A$5:$A$32,$B17,'Pemetaan Variant'!$Q$5:$Q$32),"n/a")</f>
        <v>42000</v>
      </c>
      <c r="H17" s="14" t="n">
        <f aca="false">IFERROR(IF(ISNUMBER(G17),(G17-AVERAGEIF('Pemetaan Variant'!$A$5:$A$32,$B17,'Pemetaan Variant'!$D$5:$D$32))/AVERAGEIF('Pemetaan Variant'!$A$5:$A$32,$B17,'Pemetaan Variant'!$D$5:$D$32)*100,"n/a"),"n/a")</f>
        <v>0</v>
      </c>
      <c r="I17" s="4" t="n">
        <f aca="false">IFERROR(IF(ISNUMBER(H17),$C17*H17,"n/a"),"n/a")</f>
        <v>0</v>
      </c>
      <c r="J17" s="13" t="n">
        <f aca="false">IFERROR(AVERAGEIF('Pemetaan Variant'!$A$5:$A$32,$B17,'Pemetaan Variant'!$R$5:$R$32),"n/a")</f>
        <v>42000</v>
      </c>
      <c r="K17" s="14" t="n">
        <f aca="false">IFERROR(IF(ISNUMBER(J17),(J17-AVERAGEIF('Pemetaan Variant'!$A$5:$A$32,$B17,'Pemetaan Variant'!$D$5:$D$32))/AVERAGEIF('Pemetaan Variant'!$A$5:$A$32,$B17,'Pemetaan Variant'!$D$5:$D$32)*100,"n/a"),"n/a")</f>
        <v>0</v>
      </c>
      <c r="L17" s="4" t="n">
        <f aca="false">IFERROR(IF(ISNUMBER(K17),$C17*K17,"n/a"),"n/a")</f>
        <v>0</v>
      </c>
      <c r="M17" s="13" t="n">
        <f aca="false">IFERROR(AVERAGEIF('Pemetaan Variant'!$A$5:$A$32,$B17,'Pemetaan Variant'!$S$5:$S$32),"n/a")</f>
        <v>42000</v>
      </c>
      <c r="N17" s="14" t="n">
        <f aca="false">IFERROR(IF(ISNUMBER(M17),(M17-AVERAGEIF('Pemetaan Variant'!$A$5:$A$32,$B17,'Pemetaan Variant'!$D$5:$D$32))/AVERAGEIF('Pemetaan Variant'!$A$5:$A$32,$B17,'Pemetaan Variant'!$D$5:$D$32)*100,"n/a"),"n/a")</f>
        <v>0</v>
      </c>
      <c r="O17" s="4" t="n">
        <f aca="false">IFERROR(IF(ISNUMBER(N17),$C17*N17,"n/a"),"n/a")</f>
        <v>0</v>
      </c>
      <c r="P17" s="13" t="n">
        <f aca="false">IFERROR(AVERAGEIF('Pemetaan Variant'!$A$5:$A$32,$B17,'Pemetaan Variant'!$T$5:$T$32),"n/a")</f>
        <v>42000</v>
      </c>
      <c r="Q17" s="14" t="n">
        <f aca="false">IFERROR(IF(ISNUMBER(P17),(P17-AVERAGEIF('Pemetaan Variant'!$A$5:$A$32,$B17,'Pemetaan Variant'!$D$5:$D$32))/AVERAGEIF('Pemetaan Variant'!$A$5:$A$32,$B17,'Pemetaan Variant'!$D$5:$D$32)*100,"n/a"),"n/a")</f>
        <v>0</v>
      </c>
      <c r="R17" s="4" t="n">
        <f aca="false">IFERROR(IF(ISNUMBER(Q17),$C17*Q17,"n/a"),"n/a")</f>
        <v>0</v>
      </c>
      <c r="S17" s="13" t="n">
        <f aca="false">IFERROR(AVERAGEIF('Pemetaan Variant'!$A$5:$A$32,$B17,'Pemetaan Variant'!$U$5:$U$32),"n/a")</f>
        <v>42000</v>
      </c>
      <c r="T17" s="14" t="n">
        <f aca="false">IFERROR(IF(ISNUMBER(S17),(S17-AVERAGEIF('Pemetaan Variant'!$A$5:$A$32,$B17,'Pemetaan Variant'!$E$5:$E$32))/AVERAGEIF('Pemetaan Variant'!$A$5:$A$32,$B17,'Pemetaan Variant'!$E$5:$E$32)*100,"n/a"),"n/a")</f>
        <v>0</v>
      </c>
      <c r="U17" s="4" t="n">
        <f aca="false">IFERROR(IF(ISNUMBER(T17),$C17*T17,"n/a"),"n/a")</f>
        <v>0</v>
      </c>
      <c r="V17" s="13" t="n">
        <f aca="false">IFERROR(AVERAGEIF('Pemetaan Variant'!$A$5:$A$32,$B17,'Pemetaan Variant'!$V$5:$V$32),"n/a")</f>
        <v>42000</v>
      </c>
      <c r="W17" s="14" t="n">
        <f aca="false">IFERROR(IF(ISNUMBER(V17),(V17-AVERAGEIF('Pemetaan Variant'!$A$5:$A$32,$B17,'Pemetaan Variant'!$E$5:$E$32))/AVERAGEIF('Pemetaan Variant'!$A$5:$A$32,$B17,'Pemetaan Variant'!$E$5:$E$32)*100,"n/a"),"n/a")</f>
        <v>0</v>
      </c>
      <c r="X17" s="4" t="n">
        <f aca="false">IFERROR(IF(ISNUMBER(W17),$C17*W17,"n/a"),"n/a")</f>
        <v>0</v>
      </c>
      <c r="Y17" s="13" t="n">
        <f aca="false">IFERROR(AVERAGEIF('Pemetaan Variant'!$A$5:$A$32,$B17,'Pemetaan Variant'!$W$5:$W$32),"n/a")</f>
        <v>42000</v>
      </c>
      <c r="Z17" s="14" t="n">
        <f aca="false">IFERROR(IF(ISNUMBER(Y17),(Y17-AVERAGEIF('Pemetaan Variant'!$A$5:$A$32,$B17,'Pemetaan Variant'!$E$5:$E$32))/AVERAGEIF('Pemetaan Variant'!$A$5:$A$32,$B17,'Pemetaan Variant'!$E$5:$E$32)*100,"n/a"),"n/a")</f>
        <v>0</v>
      </c>
      <c r="AA17" s="4" t="n">
        <f aca="false">IFERROR(IF(ISNUMBER(Z17),$C17*Z17,"n/a"),"n/a")</f>
        <v>0</v>
      </c>
      <c r="AB17" s="13" t="n">
        <f aca="false">IFERROR(AVERAGEIF('Pemetaan Variant'!$A$5:$A$32,$B17,'Pemetaan Variant'!$X$5:$X$32),"n/a")</f>
        <v>42000</v>
      </c>
      <c r="AC17" s="14" t="n">
        <f aca="false">IFERROR(IF(ISNUMBER(AB17),(AB17-AVERAGEIF('Pemetaan Variant'!$A$5:$A$32,$B17,'Pemetaan Variant'!$E$5:$E$32))/AVERAGEIF('Pemetaan Variant'!$A$5:$A$32,$B17,'Pemetaan Variant'!$E$5:$E$32)*100,"n/a"),"n/a")</f>
        <v>0</v>
      </c>
      <c r="AD17" s="4" t="n">
        <f aca="false">IFERROR(IF(ISNUMBER(AC17),$C17*AC17,"n/a"),"n/a")</f>
        <v>0</v>
      </c>
      <c r="AE17" s="13" t="n">
        <f aca="false">IFERROR(AVERAGEIF('Pemetaan Variant'!$A$5:$A$32,$B17,'Pemetaan Variant'!$Y$5:$Y$32),"n/a")</f>
        <v>42000</v>
      </c>
      <c r="AF17" s="14" t="n">
        <f aca="false">IFERROR(IF(ISNUMBER(AE17),(AE17-AVERAGEIF('Pemetaan Variant'!$A$5:$A$32,$B17,'Pemetaan Variant'!$F$5:$F$32))/AVERAGEIF('Pemetaan Variant'!$A$5:$A$32,$B17,'Pemetaan Variant'!$F$5:$F$32)*100,"n/a"),"n/a")</f>
        <v>0</v>
      </c>
      <c r="AG17" s="4" t="n">
        <f aca="false">IFERROR(IF(ISNUMBER(AF17),$C17*AF17,"n/a"),"n/a")</f>
        <v>0</v>
      </c>
      <c r="AH17" s="13" t="n">
        <f aca="false">IFERROR(AVERAGEIF('Pemetaan Variant'!$A$5:$A$32,$B17,'Pemetaan Variant'!$Z$5:$Z$32),"n/a")</f>
        <v>42000</v>
      </c>
      <c r="AI17" s="14" t="n">
        <f aca="false">IFERROR(IF(ISNUMBER(AH17),(AH17-AVERAGEIF('Pemetaan Variant'!$A$5:$A$32,$B17,'Pemetaan Variant'!$F$5:$F$32))/AVERAGEIF('Pemetaan Variant'!$A$5:$A$32,$B17,'Pemetaan Variant'!$F$5:$F$32)*100,"n/a"),"n/a")</f>
        <v>0</v>
      </c>
      <c r="AJ17" s="4" t="n">
        <f aca="false">IFERROR(IF(ISNUMBER(AI17),$C17*AI17,"n/a"),"n/a")</f>
        <v>0</v>
      </c>
      <c r="AK17" s="13" t="n">
        <f aca="false">IFERROR(AVERAGEIF('Pemetaan Variant'!$A$5:$A$32,$B17,'Pemetaan Variant'!$AA$5:$AA$32),"n/a")</f>
        <v>42000</v>
      </c>
      <c r="AL17" s="14" t="n">
        <f aca="false">IFERROR(IF(ISNUMBER(AK17),(AK17-AVERAGEIF('Pemetaan Variant'!$A$5:$A$32,$B17,'Pemetaan Variant'!$F$5:$F$32))/AVERAGEIF('Pemetaan Variant'!$A$5:$A$32,$B17,'Pemetaan Variant'!$F$5:$F$32)*100,"n/a"),"n/a")</f>
        <v>0</v>
      </c>
      <c r="AM17" s="4" t="n">
        <f aca="false">IFERROR(IF(ISNUMBER(AL17),$C17*AL17,"n/a"),"n/a")</f>
        <v>0</v>
      </c>
      <c r="AN17" s="13" t="n">
        <f aca="false">IFERROR(AVERAGEIF('Pemetaan Variant'!$A$5:$A$32,$B17,'Pemetaan Variant'!$AB$5:$AB$32),"n/a")</f>
        <v>42000</v>
      </c>
      <c r="AO17" s="14" t="n">
        <f aca="false">IFERROR(IF(ISNUMBER(AN17),(AN17-AVERAGEIF('Pemetaan Variant'!$A$5:$A$32,$B17,'Pemetaan Variant'!$F$5:$F$32))/AVERAGEIF('Pemetaan Variant'!$A$5:$A$32,$B17,'Pemetaan Variant'!$F$5:$F$32)*100,"n/a"),"n/a")</f>
        <v>0</v>
      </c>
      <c r="AP17" s="4" t="n">
        <f aca="false">IFERROR(IF(ISNUMBER(AO17),$C17*AO17,"n/a"),"n/a")</f>
        <v>0</v>
      </c>
      <c r="AQ17" s="13" t="str">
        <f aca="false">IFERROR(AVERAGEIF('Pemetaan Variant'!$A$5:$A$32,$B17,'Pemetaan Variant'!$AC$5:$AC$32),"n/a")</f>
        <v>n/a</v>
      </c>
      <c r="AR17" s="14" t="str">
        <f aca="false">IFERROR(IF(ISNUMBER(AQ17),(AQ17-AVERAGEIF('Pemetaan Variant'!$A$5:$A$32,$B17,'Pemetaan Variant'!$F$5:$F$32))/AVERAGEIF('Pemetaan Variant'!$A$5:$A$32,$B17,'Pemetaan Variant'!$F$5:$F$32)*100,"n/a"),"n/a")</f>
        <v>n/a</v>
      </c>
      <c r="AS17" s="4" t="str">
        <f aca="false">IFERROR(IF(ISNUMBER(AR17),$C17*AR17,"n/a"),"n/a")</f>
        <v>n/a</v>
      </c>
      <c r="AT17" s="13" t="str">
        <f aca="false">IFERROR(AVERAGEIF('Pemetaan Variant'!$A$5:$A$32,$B17,'Pemetaan Variant'!$AD$5:$AD$32),"n/a")</f>
        <v>n/a</v>
      </c>
      <c r="AU17" s="14" t="str">
        <f aca="false">IFERROR(IF(ISNUMBER(AT17),(AT17-AVERAGEIF('Pemetaan Variant'!$A$5:$A$32,$B17,'Pemetaan Variant'!$G$5:$G$32))/AVERAGEIF('Pemetaan Variant'!$A$5:$A$32,$B17,'Pemetaan Variant'!$G$5:$G$32)*100,"n/a"),"n/a")</f>
        <v>n/a</v>
      </c>
      <c r="AV17" s="4" t="str">
        <f aca="false">IFERROR(IF(ISNUMBER(AU17),$C17*AU17,"n/a"),"n/a")</f>
        <v>n/a</v>
      </c>
      <c r="AW17" s="13" t="n">
        <f aca="false">IFERROR(AVERAGEIF('Pemetaan Variant'!$A$5:$A$32,$B17,'Pemetaan Variant'!$AE$5:$AE$32),"n/a")</f>
        <v>42000</v>
      </c>
      <c r="AX17" s="14" t="n">
        <f aca="false">IFERROR(IF(ISNUMBER(AW17),(AW17-AVERAGEIF('Pemetaan Variant'!$A$5:$A$32,$B17,'Pemetaan Variant'!$G$5:$G$32))/AVERAGEIF('Pemetaan Variant'!$A$5:$A$32,$B17,'Pemetaan Variant'!$G$5:$G$32)*100,"n/a"),"n/a")</f>
        <v>0</v>
      </c>
      <c r="AY17" s="4" t="n">
        <f aca="false">IFERROR(IF(ISNUMBER(AX17),$C17*AX17,"n/a"),"n/a")</f>
        <v>0</v>
      </c>
      <c r="AZ17" s="13" t="n">
        <f aca="false">IFERROR(AVERAGEIF('Pemetaan Variant'!$A$5:$A$32,$B17,'Pemetaan Variant'!$AF$5:$AF$32),"n/a")</f>
        <v>42000</v>
      </c>
      <c r="BA17" s="14" t="n">
        <f aca="false">IFERROR(IF(ISNUMBER(AZ17),(AZ17-AVERAGEIF('Pemetaan Variant'!$A$5:$A$32,$B17,'Pemetaan Variant'!$G$5:$G$32))/AVERAGEIF('Pemetaan Variant'!$A$5:$A$32,$B17,'Pemetaan Variant'!$G$5:$G$32)*100,"n/a"),"n/a")</f>
        <v>0</v>
      </c>
      <c r="BB17" s="4" t="n">
        <f aca="false">IFERROR(IF(ISNUMBER(BA17),$C17*BA17,"n/a"),"n/a")</f>
        <v>0</v>
      </c>
      <c r="BC17" s="13" t="n">
        <f aca="false">IFERROR(AVERAGEIF('Pemetaan Variant'!$A$5:$A$32,$B17,'Pemetaan Variant'!$AG$5:$AG$32),"n/a")</f>
        <v>42000</v>
      </c>
      <c r="BD17" s="14" t="n">
        <f aca="false">IFERROR(IF(ISNUMBER(BC17),(BC17-AVERAGEIF('Pemetaan Variant'!$A$5:$A$32,$B17,'Pemetaan Variant'!$G$5:$G$32))/AVERAGEIF('Pemetaan Variant'!$A$5:$A$32,$B17,'Pemetaan Variant'!$G$5:$G$32)*100,"n/a"),"n/a")</f>
        <v>0</v>
      </c>
      <c r="BE17" s="4" t="n">
        <f aca="false">IFERROR(IF(ISNUMBER(BD17),$C17*BD17,"n/a"),"n/a")</f>
        <v>0</v>
      </c>
      <c r="BF17" s="13" t="n">
        <f aca="false">IFERROR(AVERAGEIF('Pemetaan Variant'!$A$5:$A$32,$B17,'Pemetaan Variant'!$AH$5:$AH$32),"n/a")</f>
        <v>42000</v>
      </c>
      <c r="BG17" s="14" t="n">
        <f aca="false">IFERROR(IF(ISNUMBER(BF17),(BF17-AVERAGEIF('Pemetaan Variant'!$A$5:$A$32,$B17,'Pemetaan Variant'!$G$5:$G$32))/AVERAGEIF('Pemetaan Variant'!$A$5:$A$32,$B17,'Pemetaan Variant'!$G$5:$G$32)*100,"n/a"),"n/a")</f>
        <v>0</v>
      </c>
      <c r="BH17" s="4" t="n">
        <f aca="false">IFERROR(IF(ISNUMBER(BG17),$C17*BG17,"n/a"),"n/a")</f>
        <v>0</v>
      </c>
      <c r="BI17" s="13" t="n">
        <f aca="false">IFERROR(AVERAGEIF('Pemetaan Variant'!$A$5:$A$32,$B17,'Pemetaan Variant'!$AI$5:$AI$32),"n/a")</f>
        <v>42000</v>
      </c>
      <c r="BJ17" s="14" t="n">
        <f aca="false">IFERROR(IF(ISNUMBER(BI17),(BI17-AVERAGEIF('Pemetaan Variant'!$A$5:$A$32,$B17,'Pemetaan Variant'!$H$5:$H$32))/AVERAGEIF('Pemetaan Variant'!$A$5:$A$32,$B17,'Pemetaan Variant'!$H$5:$H$32)*100,"n/a"),"n/a")</f>
        <v>0</v>
      </c>
      <c r="BK17" s="4" t="n">
        <f aca="false">IFERROR(IF(ISNUMBER(BJ17),$C17*BJ17,"n/a"),"n/a")</f>
        <v>0</v>
      </c>
      <c r="BL17" s="13" t="n">
        <f aca="false">IFERROR(AVERAGEIF('Pemetaan Variant'!$A$5:$A$32,$B17,'Pemetaan Variant'!$AJ$5:$AJ$32),"n/a")</f>
        <v>42000</v>
      </c>
      <c r="BM17" s="14" t="n">
        <f aca="false">IFERROR(IF(ISNUMBER(BL17),(BL17-AVERAGEIF('Pemetaan Variant'!$A$5:$A$32,$B17,'Pemetaan Variant'!$H$5:$H$32))/AVERAGEIF('Pemetaan Variant'!$A$5:$A$32,$B17,'Pemetaan Variant'!$H$5:$H$32)*100,"n/a"),"n/a")</f>
        <v>0</v>
      </c>
      <c r="BN17" s="4" t="n">
        <f aca="false">IFERROR(IF(ISNUMBER(BM17),$C17*BM17,"n/a"),"n/a")</f>
        <v>0</v>
      </c>
      <c r="BO17" s="13" t="n">
        <f aca="false">IFERROR(AVERAGEIF('Pemetaan Variant'!$A$5:$A$32,$B17,'Pemetaan Variant'!$AK$5:$AK$32),"n/a")</f>
        <v>42000</v>
      </c>
      <c r="BP17" s="14" t="n">
        <f aca="false">IFERROR(IF(ISNUMBER(BO17),(BO17-AVERAGEIF('Pemetaan Variant'!$A$5:$A$32,$B17,'Pemetaan Variant'!$H$5:$H$32))/AVERAGEIF('Pemetaan Variant'!$A$5:$A$32,$B17,'Pemetaan Variant'!$H$5:$H$32)*100,"n/a"),"n/a")</f>
        <v>0</v>
      </c>
      <c r="BQ17" s="4" t="n">
        <f aca="false">IFERROR(IF(ISNUMBER(BP17),$C17*BP17,"n/a"),"n/a")</f>
        <v>0</v>
      </c>
      <c r="BR17" s="13" t="n">
        <f aca="false">IFERROR(AVERAGEIF('Pemetaan Variant'!$A$5:$A$32,$B17,'Pemetaan Variant'!$AL$5:$AL$32),"n/a")</f>
        <v>42000</v>
      </c>
      <c r="BS17" s="14" t="n">
        <f aca="false">IFERROR(IF(ISNUMBER(BR17),(BR17-AVERAGEIF('Pemetaan Variant'!$A$5:$A$32,$B17,'Pemetaan Variant'!$H$5:$H$32))/AVERAGEIF('Pemetaan Variant'!$A$5:$A$32,$B17,'Pemetaan Variant'!$H$5:$H$32)*100,"n/a"),"n/a")</f>
        <v>0</v>
      </c>
      <c r="BT17" s="4" t="n">
        <f aca="false">IFERROR(IF(ISNUMBER(BS17),$C17*BS17,"n/a"),"n/a")</f>
        <v>0</v>
      </c>
      <c r="BU17" s="13" t="n">
        <f aca="false">IFERROR(AVERAGEIF('Pemetaan Variant'!$A$5:$A$32,$B17,'Pemetaan Variant'!$AM$5:$AM$32),"n/a")</f>
        <v>42000</v>
      </c>
      <c r="BV17" s="14" t="n">
        <f aca="false">IFERROR(IF(ISNUMBER(BU17),(BU17-AVERAGEIF('Pemetaan Variant'!$A$5:$A$32,$B17,'Pemetaan Variant'!$H$5:$H$32))/AVERAGEIF('Pemetaan Variant'!$A$5:$A$32,$B17,'Pemetaan Variant'!$H$5:$H$32)*100,"n/a"),"n/a")</f>
        <v>0</v>
      </c>
      <c r="BW17" s="4" t="n">
        <f aca="false">IFERROR(IF(ISNUMBER(BV17),$C17*BV17,"n/a"),"n/a")</f>
        <v>0</v>
      </c>
      <c r="BX17" s="13" t="n">
        <f aca="false">IFERROR(AVERAGEIF('Pemetaan Variant'!$A$5:$A$32,$B17,'Pemetaan Variant'!$AN$5:$AN$32),"n/a")</f>
        <v>42000</v>
      </c>
      <c r="BY17" s="14" t="n">
        <f aca="false">IFERROR(IF(ISNUMBER(BX17),(BX17-AVERAGEIF('Pemetaan Variant'!$A$5:$A$32,$B17,'Pemetaan Variant'!$I$5:$I$32))/AVERAGEIF('Pemetaan Variant'!$A$5:$A$32,$B17,'Pemetaan Variant'!$I$5:$I$32)*100,"n/a"),"n/a")</f>
        <v>0</v>
      </c>
      <c r="BZ17" s="4" t="n">
        <f aca="false">IFERROR(IF(ISNUMBER(BY17),$C17*BY17,"n/a"),"n/a")</f>
        <v>0</v>
      </c>
      <c r="CA17" s="13" t="n">
        <f aca="false">IFERROR(AVERAGEIF('Pemetaan Variant'!$A$5:$A$32,$B17,'Pemetaan Variant'!$AO$5:$AO$32),"n/a")</f>
        <v>42000</v>
      </c>
      <c r="CB17" s="14" t="n">
        <f aca="false">IFERROR(IF(ISNUMBER(CA17),(CA17-AVERAGEIF('Pemetaan Variant'!$A$5:$A$32,$B17,'Pemetaan Variant'!$I$5:$I$32))/AVERAGEIF('Pemetaan Variant'!$A$5:$A$32,$B17,'Pemetaan Variant'!$I$5:$I$32)*100,"n/a"),"n/a")</f>
        <v>0</v>
      </c>
      <c r="CC17" s="4" t="n">
        <f aca="false">IFERROR(IF(ISNUMBER(CB17),$C17*CB17,"n/a"),"n/a")</f>
        <v>0</v>
      </c>
      <c r="CD17" s="13" t="n">
        <f aca="false">IFERROR(AVERAGEIF('Pemetaan Variant'!$A$5:$A$32,$B17,'Pemetaan Variant'!$AP$5:$AP$32),"n/a")</f>
        <v>42000</v>
      </c>
      <c r="CE17" s="14" t="n">
        <f aca="false">IFERROR(IF(ISNUMBER(CD17),(CD17-AVERAGEIF('Pemetaan Variant'!$A$5:$A$32,$B17,'Pemetaan Variant'!$I$5:$I$32))/AVERAGEIF('Pemetaan Variant'!$A$5:$A$32,$B17,'Pemetaan Variant'!$I$5:$I$32)*100,"n/a"),"n/a")</f>
        <v>0</v>
      </c>
      <c r="CF17" s="4" t="n">
        <f aca="false">IFERROR(IF(ISNUMBER(CE17),$C17*CE17,"n/a"),"n/a")</f>
        <v>0</v>
      </c>
      <c r="CG17" s="13" t="n">
        <f aca="false">IFERROR(AVERAGEIF('Pemetaan Variant'!$A$5:$A$32,$B17,'Pemetaan Variant'!$AQ$5:$AQ$32),"n/a")</f>
        <v>42000</v>
      </c>
      <c r="CH17" s="14" t="n">
        <f aca="false">IFERROR(IF(ISNUMBER(CG17),(CG17-AVERAGEIF('Pemetaan Variant'!$A$5:$A$32,$B17,'Pemetaan Variant'!$I$5:$I$32))/AVERAGEIF('Pemetaan Variant'!$A$5:$A$32,$B17,'Pemetaan Variant'!$I$5:$I$32)*100,"n/a"),"n/a")</f>
        <v>0</v>
      </c>
      <c r="CI17" s="4" t="n">
        <f aca="false">IFERROR(IF(ISNUMBER(CH17),$C17*CH17,"n/a"),"n/a")</f>
        <v>0</v>
      </c>
      <c r="CJ17" s="13" t="n">
        <f aca="false">IFERROR(AVERAGEIF('Pemetaan Variant'!$A$5:$A$32,$B17,'Pemetaan Variant'!$AR$5:$AR$32),"n/a")</f>
        <v>42000</v>
      </c>
      <c r="CK17" s="14" t="n">
        <f aca="false">IFERROR(IF(ISNUMBER(CJ17),(CJ17-AVERAGEIF('Pemetaan Variant'!$A$5:$A$32,$B17,'Pemetaan Variant'!$J$5:$J$32))/AVERAGEIF('Pemetaan Variant'!$A$5:$A$32,$B17,'Pemetaan Variant'!$J$5:$J$32)*100,"n/a"),"n/a")</f>
        <v>0</v>
      </c>
      <c r="CL17" s="4" t="n">
        <f aca="false">IFERROR(IF(ISNUMBER(CK17),$C17*CK17,"n/a"),"n/a")</f>
        <v>0</v>
      </c>
      <c r="CM17" s="13" t="n">
        <f aca="false">IFERROR(AVERAGEIF('Pemetaan Variant'!$A$5:$A$32,$B17,'Pemetaan Variant'!$AS$5:$AS$32),"n/a")</f>
        <v>42000</v>
      </c>
      <c r="CN17" s="14" t="n">
        <f aca="false">IFERROR(IF(ISNUMBER(CM17),(CM17-AVERAGEIF('Pemetaan Variant'!$A$5:$A$32,$B17,'Pemetaan Variant'!$J$5:$J$32))/AVERAGEIF('Pemetaan Variant'!$A$5:$A$32,$B17,'Pemetaan Variant'!$J$5:$J$32)*100,"n/a"),"n/a")</f>
        <v>0</v>
      </c>
      <c r="CO17" s="4" t="n">
        <f aca="false">IFERROR(IF(ISNUMBER(CN17),$C17*CN17,"n/a"),"n/a")</f>
        <v>0</v>
      </c>
      <c r="CP17" s="13" t="n">
        <f aca="false">IFERROR(AVERAGEIF('Pemetaan Variant'!$A$5:$A$32,$B17,'Pemetaan Variant'!$AT$5:$AT$32),"n/a")</f>
        <v>42000</v>
      </c>
      <c r="CQ17" s="14" t="n">
        <f aca="false">IFERROR(IF(ISNUMBER(CP17),(CP17-AVERAGEIF('Pemetaan Variant'!$A$5:$A$32,$B17,'Pemetaan Variant'!$J$5:$J$32))/AVERAGEIF('Pemetaan Variant'!$A$5:$A$32,$B17,'Pemetaan Variant'!$J$5:$J$32)*100,"n/a"),"n/a")</f>
        <v>0</v>
      </c>
      <c r="CR17" s="4" t="n">
        <f aca="false">IFERROR(IF(ISNUMBER(CQ17),$C17*CQ17,"n/a"),"n/a")</f>
        <v>0</v>
      </c>
      <c r="CS17" s="13" t="n">
        <f aca="false">IFERROR(AVERAGEIF('Pemetaan Variant'!$A$5:$A$32,$B17,'Pemetaan Variant'!$AU$5:$AU$32),"n/a")</f>
        <v>42000</v>
      </c>
      <c r="CT17" s="14" t="n">
        <f aca="false">IFERROR(IF(ISNUMBER(CS17),(CS17-AVERAGEIF('Pemetaan Variant'!$A$5:$A$32,$B17,'Pemetaan Variant'!$J$5:$J$32))/AVERAGEIF('Pemetaan Variant'!$A$5:$A$32,$B17,'Pemetaan Variant'!$J$5:$J$32)*100,"n/a"),"n/a")</f>
        <v>0</v>
      </c>
      <c r="CU17" s="4" t="n">
        <f aca="false">IFERROR(IF(ISNUMBER(CT17),$C17*CT17,"n/a"),"n/a")</f>
        <v>0</v>
      </c>
      <c r="CV17" s="13" t="n">
        <f aca="false">IFERROR(AVERAGEIF('Pemetaan Variant'!$A$5:$A$32,$B17,'Pemetaan Variant'!$AV$5:$AV$32),"n/a")</f>
        <v>42000</v>
      </c>
      <c r="CW17" s="14" t="n">
        <f aca="false">IFERROR(IF(ISNUMBER(CV17),(CV17-AVERAGEIF('Pemetaan Variant'!$A$5:$A$32,$B17,'Pemetaan Variant'!$J$5:$J$32))/AVERAGEIF('Pemetaan Variant'!$A$5:$A$32,$B17,'Pemetaan Variant'!$J$5:$J$32)*100,"n/a"),"n/a")</f>
        <v>0</v>
      </c>
      <c r="CX17" s="4" t="n">
        <f aca="false">IFERROR(IF(ISNUMBER(CW17),$C17*CW17,"n/a"),"n/a")</f>
        <v>0</v>
      </c>
      <c r="CY17" s="13" t="n">
        <f aca="false">IFERROR(AVERAGEIF('Pemetaan Variant'!$A$5:$A$32,$B17,'Pemetaan Variant'!$AW$5:$AW$32),"n/a")</f>
        <v>42000</v>
      </c>
      <c r="CZ17" s="14" t="n">
        <f aca="false">IFERROR(IF(ISNUMBER(CY17),(CY17-AVERAGEIF('Pemetaan Variant'!$A$5:$A$32,$B17,'Pemetaan Variant'!$K$5:$K$32))/AVERAGEIF('Pemetaan Variant'!$A$5:$A$32,$B17,'Pemetaan Variant'!$K$5:$K$32)*100,"n/a"),"n/a")</f>
        <v>0</v>
      </c>
      <c r="DA17" s="4" t="n">
        <f aca="false">IFERROR(IF(ISNUMBER(CZ17),$C17*CZ17,"n/a"),"n/a")</f>
        <v>0</v>
      </c>
      <c r="DB17" s="13" t="n">
        <f aca="false">IFERROR(AVERAGEIF('Pemetaan Variant'!$A$5:$A$32,$B17,'Pemetaan Variant'!$AX$5:$AX$32),"n/a")</f>
        <v>42000</v>
      </c>
      <c r="DC17" s="14" t="n">
        <f aca="false">IFERROR(IF(ISNUMBER(DB17),(DB17-AVERAGEIF('Pemetaan Variant'!$A$5:$A$32,$B17,'Pemetaan Variant'!$K$5:$K$32))/AVERAGEIF('Pemetaan Variant'!$A$5:$A$32,$B17,'Pemetaan Variant'!$K$5:$K$32)*100,"n/a"),"n/a")</f>
        <v>0</v>
      </c>
      <c r="DD17" s="4" t="n">
        <f aca="false">IFERROR(IF(ISNUMBER(DC17),$C17*DC17,"n/a"),"n/a")</f>
        <v>0</v>
      </c>
      <c r="DE17" s="13" t="n">
        <f aca="false">IFERROR(AVERAGEIF('Pemetaan Variant'!$A$5:$A$32,$B17,'Pemetaan Variant'!$AY$5:$AY$32),"n/a")</f>
        <v>42000</v>
      </c>
      <c r="DF17" s="14" t="n">
        <f aca="false">IFERROR(IF(ISNUMBER(DE17),(DE17-AVERAGEIF('Pemetaan Variant'!$A$5:$A$32,$B17,'Pemetaan Variant'!$K$5:$K$32))/AVERAGEIF('Pemetaan Variant'!$A$5:$A$32,$B17,'Pemetaan Variant'!$K$5:$K$32)*100,"n/a"),"n/a")</f>
        <v>0</v>
      </c>
      <c r="DG17" s="4" t="n">
        <f aca="false">IFERROR(IF(ISNUMBER(DF17),$C17*DF17,"n/a"),"n/a")</f>
        <v>0</v>
      </c>
      <c r="DH17" s="13" t="n">
        <f aca="false">IFERROR(AVERAGEIF('Pemetaan Variant'!$A$5:$A$32,$B17,'Pemetaan Variant'!$AZ$5:$AZ$32),"n/a")</f>
        <v>42000</v>
      </c>
      <c r="DI17" s="14" t="n">
        <f aca="false">IFERROR(IF(ISNUMBER(DH17),(DH17-AVERAGEIF('Pemetaan Variant'!$A$5:$A$32,$B17,'Pemetaan Variant'!$K$5:$K$32))/AVERAGEIF('Pemetaan Variant'!$A$5:$A$32,$B17,'Pemetaan Variant'!$K$5:$K$32)*100,"n/a"),"n/a")</f>
        <v>0</v>
      </c>
      <c r="DJ17" s="4" t="n">
        <f aca="false">IFERROR(IF(ISNUMBER(DI17),$C17*DI17,"n/a"),"n/a")</f>
        <v>0</v>
      </c>
      <c r="DK17" s="13" t="n">
        <f aca="false">IFERROR(AVERAGEIF('Pemetaan Variant'!$A$5:$A$32,$B17,'Pemetaan Variant'!$BA$5:$BA$32),"n/a")</f>
        <v>42000</v>
      </c>
      <c r="DL17" s="14" t="n">
        <f aca="false">IFERROR(IF(ISNUMBER(DK17),(DK17-AVERAGEIF('Pemetaan Variant'!$A$5:$A$32,$B17,'Pemetaan Variant'!$L$5:$L$32))/AVERAGEIF('Pemetaan Variant'!$A$5:$A$32,$B17,'Pemetaan Variant'!$L$5:$L$32)*100,"n/a"),"n/a")</f>
        <v>0</v>
      </c>
      <c r="DM17" s="4" t="n">
        <f aca="false">IFERROR(IF(ISNUMBER(DL17),$C17*DL17,"n/a"),"n/a")</f>
        <v>0</v>
      </c>
      <c r="DN17" s="13" t="n">
        <f aca="false">IFERROR(AVERAGEIF('Pemetaan Variant'!$A$5:$A$32,$B17,'Pemetaan Variant'!$BB$5:$BB$32),"n/a")</f>
        <v>42000</v>
      </c>
      <c r="DO17" s="14" t="n">
        <f aca="false">IFERROR(IF(ISNUMBER(DN17),(DN17-AVERAGEIF('Pemetaan Variant'!$A$5:$A$32,$B17,'Pemetaan Variant'!$L$5:$L$32))/AVERAGEIF('Pemetaan Variant'!$A$5:$A$32,$B17,'Pemetaan Variant'!$L$5:$L$32)*100,"n/a"),"n/a")</f>
        <v>0</v>
      </c>
      <c r="DP17" s="4" t="n">
        <f aca="false">IFERROR(IF(ISNUMBER(DO17),$C17*DO17,"n/a"),"n/a")</f>
        <v>0</v>
      </c>
      <c r="DQ17" s="13" t="n">
        <f aca="false">IFERROR(AVERAGEIF('Pemetaan Variant'!$A$5:$A$32,$B17,'Pemetaan Variant'!$BC$5:$BC$32),"n/a")</f>
        <v>42000</v>
      </c>
      <c r="DR17" s="14" t="n">
        <f aca="false">IFERROR(IF(ISNUMBER(DQ17),(DQ17-AVERAGEIF('Pemetaan Variant'!$A$5:$A$32,$B17,'Pemetaan Variant'!$L$5:$L$32))/AVERAGEIF('Pemetaan Variant'!$A$5:$A$32,$B17,'Pemetaan Variant'!$L$5:$L$32)*100,"n/a"),"n/a")</f>
        <v>0</v>
      </c>
      <c r="DS17" s="4" t="n">
        <f aca="false">IFERROR(IF(ISNUMBER(DR17),$C17*DR17,"n/a"),"n/a")</f>
        <v>0</v>
      </c>
      <c r="DT17" s="13" t="n">
        <f aca="false">IFERROR(AVERAGEIF('Pemetaan Variant'!$A$5:$A$32,$B17,'Pemetaan Variant'!$BD$5:$BD$32),"n/a")</f>
        <v>42000</v>
      </c>
      <c r="DU17" s="14" t="n">
        <f aca="false">IFERROR(IF(ISNUMBER(DT17),(DT17-AVERAGEIF('Pemetaan Variant'!$A$5:$A$32,$B17,'Pemetaan Variant'!$L$5:$L$32))/AVERAGEIF('Pemetaan Variant'!$A$5:$A$32,$B17,'Pemetaan Variant'!$L$5:$L$32)*100,"n/a"),"n/a")</f>
        <v>0</v>
      </c>
      <c r="DV17" s="4" t="n">
        <f aca="false">IFERROR(IF(ISNUMBER(DU17),$C17*DU17,"n/a"),"n/a")</f>
        <v>0</v>
      </c>
      <c r="DW17" s="13" t="n">
        <f aca="false">IFERROR(AVERAGEIF('Pemetaan Variant'!$A$5:$A$32,$B17,'Pemetaan Variant'!$BE$5:$BE$32),"n/a")</f>
        <v>42000</v>
      </c>
      <c r="DX17" s="14" t="n">
        <f aca="false">IFERROR(IF(ISNUMBER(DW17),(DW17-AVERAGEIF('Pemetaan Variant'!$A$5:$A$32,$B17,'Pemetaan Variant'!$M$5:$M$32))/AVERAGEIF('Pemetaan Variant'!$A$5:$A$32,$B17,'Pemetaan Variant'!$M$5:$M$32)*100,"n/a"),"n/a")</f>
        <v>0</v>
      </c>
      <c r="DY17" s="4" t="n">
        <f aca="false">IFERROR(IF(ISNUMBER(DX17),$C17*DX17,"n/a"),"n/a")</f>
        <v>0</v>
      </c>
      <c r="DZ17" s="13" t="n">
        <f aca="false">IFERROR(AVERAGEIF('Pemetaan Variant'!$A$5:$A$32,$B17,'Pemetaan Variant'!$BF$5:$BF$32),"n/a")</f>
        <v>42000</v>
      </c>
      <c r="EA17" s="14" t="n">
        <f aca="false">IFERROR(IF(ISNUMBER(DZ17),(DZ17-AVERAGEIF('Pemetaan Variant'!$A$5:$A$32,$B17,'Pemetaan Variant'!$M$5:$M$32))/AVERAGEIF('Pemetaan Variant'!$A$5:$A$32,$B17,'Pemetaan Variant'!$M$5:$M$32)*100,"n/a"),"n/a")</f>
        <v>0</v>
      </c>
      <c r="EB17" s="4" t="n">
        <f aca="false">IFERROR(IF(ISNUMBER(EA17),$C17*EA17,"n/a"),"n/a")</f>
        <v>0</v>
      </c>
      <c r="EC17" s="13" t="n">
        <f aca="false">IFERROR(AVERAGEIF('Pemetaan Variant'!$A$5:$A$32,$B17,'Pemetaan Variant'!$BG$5:$BG$32),"n/a")</f>
        <v>42000</v>
      </c>
      <c r="ED17" s="14" t="n">
        <f aca="false">IFERROR(IF(ISNUMBER(EC17),(EC17-AVERAGEIF('Pemetaan Variant'!$A$5:$A$32,$B17,'Pemetaan Variant'!$M$5:$M$32))/AVERAGEIF('Pemetaan Variant'!$A$5:$A$32,$B17,'Pemetaan Variant'!$M$5:$M$32)*100,"n/a"),"n/a")</f>
        <v>0</v>
      </c>
      <c r="EE17" s="4" t="n">
        <f aca="false">IFERROR(IF(ISNUMBER(ED17),$C17*ED17,"n/a"),"n/a")</f>
        <v>0</v>
      </c>
      <c r="EF17" s="13" t="n">
        <f aca="false">IFERROR(AVERAGEIF('Pemetaan Variant'!$A$5:$A$32,$B17,'Pemetaan Variant'!$BH$5:$BH$32),"n/a")</f>
        <v>42000</v>
      </c>
      <c r="EG17" s="14" t="n">
        <f aca="false">IFERROR(IF(ISNUMBER(EF17),(EF17-AVERAGEIF('Pemetaan Variant'!$A$5:$A$32,$B17,'Pemetaan Variant'!$M$5:$M$32))/AVERAGEIF('Pemetaan Variant'!$A$5:$A$32,$B17,'Pemetaan Variant'!$M$5:$M$32)*100,"n/a"),"n/a")</f>
        <v>0</v>
      </c>
      <c r="EH17" s="4" t="n">
        <f aca="false">IFERROR(IF(ISNUMBER(EG17),$C17*EG17,"n/a"),"n/a")</f>
        <v>0</v>
      </c>
      <c r="EI17" s="13" t="n">
        <f aca="false">IFERROR(AVERAGEIF('Pemetaan Variant'!$A$5:$A$32,$B17,'Pemetaan Variant'!$BI$5:$BI$32),"n/a")</f>
        <v>42000</v>
      </c>
      <c r="EJ17" s="14" t="n">
        <f aca="false">IFERROR(IF(ISNUMBER(EI17),(EI17-AVERAGEIF('Pemetaan Variant'!$A$5:$A$32,$B17,'Pemetaan Variant'!$M$5:$M$32))/AVERAGEIF('Pemetaan Variant'!$A$5:$A$32,$B17,'Pemetaan Variant'!$M$5:$M$32)*100,"n/a"),"n/a")</f>
        <v>0</v>
      </c>
      <c r="EK17" s="4" t="n">
        <f aca="false">IFERROR(IF(ISNUMBER(EJ17),$C17*EJ17,"n/a"),"n/a")</f>
        <v>0</v>
      </c>
      <c r="EL17" s="13" t="n">
        <f aca="false">IFERROR(AVERAGEIF('Pemetaan Variant'!$A$5:$A$32,$B17,'Pemetaan Variant'!$BJ$5:$BJ$32),"n/a")</f>
        <v>42000</v>
      </c>
      <c r="EM17" s="14" t="n">
        <f aca="false">IFERROR(IF(ISNUMBER(EL17),(EL17-AVERAGEIF('Pemetaan Variant'!$A$5:$A$32,$B17,'Pemetaan Variant'!$N$5:$N$32))/AVERAGEIF('Pemetaan Variant'!$A$5:$A$32,$B17,'Pemetaan Variant'!$N$5:$N$32)*100,"n/a"),"n/a")</f>
        <v>0</v>
      </c>
      <c r="EN17" s="4" t="n">
        <f aca="false">IFERROR(IF(ISNUMBER(EM17),$C17*EM17,"n/a"),"n/a")</f>
        <v>0</v>
      </c>
      <c r="EO17" s="13" t="n">
        <f aca="false">IFERROR(AVERAGEIF('Pemetaan Variant'!$A$5:$A$32,$B17,'Pemetaan Variant'!$BK$5:$BK$32),"n/a")</f>
        <v>42000</v>
      </c>
      <c r="EP17" s="14" t="n">
        <f aca="false">IFERROR(IF(ISNUMBER(EO17),(EO17-AVERAGEIF('Pemetaan Variant'!$A$5:$A$32,$B17,'Pemetaan Variant'!$N$5:$N$32))/AVERAGEIF('Pemetaan Variant'!$A$5:$A$32,$B17,'Pemetaan Variant'!$N$5:$N$32)*100,"n/a"),"n/a")</f>
        <v>0</v>
      </c>
      <c r="EQ17" s="4" t="n">
        <f aca="false">IFERROR(IF(ISNUMBER(EP17),$C17*EP17,"n/a"),"n/a")</f>
        <v>0</v>
      </c>
      <c r="ER17" s="13" t="n">
        <f aca="false">IFERROR(AVERAGEIF('Pemetaan Variant'!$A$5:$A$32,$B17,'Pemetaan Variant'!$BL$5:$BL$32),"n/a")</f>
        <v>42000</v>
      </c>
      <c r="ES17" s="14" t="n">
        <f aca="false">IFERROR(IF(ISNUMBER(ER17),(ER17-AVERAGEIF('Pemetaan Variant'!$A$5:$A$32,$B17,'Pemetaan Variant'!$N$5:$N$32))/AVERAGEIF('Pemetaan Variant'!$A$5:$A$32,$B17,'Pemetaan Variant'!$N$5:$N$32)*100,"n/a"),"n/a")</f>
        <v>0</v>
      </c>
      <c r="ET17" s="4" t="n">
        <f aca="false">IFERROR(IF(ISNUMBER(ES17),$C17*ES17,"n/a"),"n/a")</f>
        <v>0</v>
      </c>
      <c r="EU17" s="13" t="n">
        <f aca="false">IFERROR(AVERAGEIF('Pemetaan Variant'!$A$5:$A$32,$B17,'Pemetaan Variant'!$BM$5:$BM$32),"n/a")</f>
        <v>42000</v>
      </c>
      <c r="EV17" s="14" t="n">
        <f aca="false">IFERROR(IF(ISNUMBER(EU17),(EU17-AVERAGEIF('Pemetaan Variant'!$A$5:$A$32,$B17,'Pemetaan Variant'!$N$5:$N$32))/AVERAGEIF('Pemetaan Variant'!$A$5:$A$32,$B17,'Pemetaan Variant'!$N$5:$N$32)*100,"n/a"),"n/a")</f>
        <v>0</v>
      </c>
      <c r="EW17" s="4" t="n">
        <f aca="false">IFERROR(IF(ISNUMBER(EV17),$C17*EV17,"n/a"),"n/a")</f>
        <v>0</v>
      </c>
      <c r="EX17" s="13" t="n">
        <f aca="false">IFERROR(AVERAGEIF('Pemetaan Variant'!$A$5:$A$32,$B17,'Pemetaan Variant'!$BN$5:$BN$32),"n/a")</f>
        <v>42000</v>
      </c>
      <c r="EY17" s="14" t="n">
        <f aca="false">IFERROR(IF(ISNUMBER(EX17),(EX17-AVERAGEIF('Pemetaan Variant'!$A$5:$A$32,$B17,'Pemetaan Variant'!$O$5:$O$32))/AVERAGEIF('Pemetaan Variant'!$A$5:$A$32,$B17,'Pemetaan Variant'!$O$5:$O$32)*100,"n/a"),"n/a")</f>
        <v>0</v>
      </c>
      <c r="EZ17" s="4" t="n">
        <f aca="false">IFERROR(IF(ISNUMBER(EY17),$C17*EY17,"n/a"),"n/a")</f>
        <v>0</v>
      </c>
      <c r="FA17" s="13" t="n">
        <f aca="false">IFERROR(AVERAGEIF('Pemetaan Variant'!$A$5:$A$32,$B17,'Pemetaan Variant'!$BO$5:$BO$32),"n/a")</f>
        <v>42000</v>
      </c>
      <c r="FB17" s="14" t="n">
        <f aca="false">IFERROR(IF(ISNUMBER(FA17),(FA17-AVERAGEIF('Pemetaan Variant'!$A$5:$A$32,$B17,'Pemetaan Variant'!$O$5:$O$32))/AVERAGEIF('Pemetaan Variant'!$A$5:$A$32,$B17,'Pemetaan Variant'!$O$5:$O$32)*100,"n/a"),"n/a")</f>
        <v>0</v>
      </c>
      <c r="FC17" s="4" t="n">
        <f aca="false">IFERROR(IF(ISNUMBER(FB17),$C17*FB17,"n/a"),"n/a")</f>
        <v>0</v>
      </c>
      <c r="FD17" s="13" t="n">
        <f aca="false">IFERROR(AVERAGEIF('Pemetaan Variant'!$A$5:$A$32,$B17,'Pemetaan Variant'!$BP$5:$BP$32),"n/a")</f>
        <v>42000</v>
      </c>
      <c r="FE17" s="14" t="n">
        <f aca="false">IFERROR(IF(ISNUMBER(FD17),(FD17-AVERAGEIF('Pemetaan Variant'!$A$5:$A$32,$B17,'Pemetaan Variant'!$O$5:$O$32))/AVERAGEIF('Pemetaan Variant'!$A$5:$A$32,$B17,'Pemetaan Variant'!$O$5:$O$32)*100,"n/a"),"n/a")</f>
        <v>0</v>
      </c>
      <c r="FF17" s="4" t="n">
        <f aca="false">IFERROR(IF(ISNUMBER(FE17),$C17*FE17,"n/a"),"n/a")</f>
        <v>0</v>
      </c>
      <c r="FG17" s="13" t="n">
        <f aca="false">IFERROR(AVERAGEIF('Pemetaan Variant'!$A$5:$A$32,$B17,'Pemetaan Variant'!$BQ$5:$BQ$32),"n/a")</f>
        <v>42000</v>
      </c>
      <c r="FH17" s="14" t="n">
        <f aca="false">IFERROR(IF(ISNUMBER(FG17),(FG17-AVERAGEIF('Pemetaan Variant'!$A$5:$A$32,$B17,'Pemetaan Variant'!$O$5:$O$32))/AVERAGEIF('Pemetaan Variant'!$A$5:$A$32,$B17,'Pemetaan Variant'!$O$5:$O$32)*100,"n/a"),"n/a")</f>
        <v>0</v>
      </c>
      <c r="FI17" s="4" t="n">
        <f aca="false">IFERROR(IF(ISNUMBER(FH17),$C17*FH17,"n/a"),"n/a")</f>
        <v>0</v>
      </c>
      <c r="FJ17" s="13" t="n">
        <f aca="false">IFERROR(AVERAGEIF('Pemetaan Variant'!$A$5:$A$32,$B17,'Pemetaan Variant'!$BR$5:$BR$32),"n/a")</f>
        <v>42000</v>
      </c>
      <c r="FK17" s="14" t="n">
        <f aca="false">IFERROR(IF(ISNUMBER(FJ17),(FJ17-AVERAGEIF('Pemetaan Variant'!$A$5:$A$32,$B17,'Pemetaan Variant'!$O$5:$O$32))/AVERAGEIF('Pemetaan Variant'!$A$5:$A$32,$B17,'Pemetaan Variant'!$O$5:$O$32)*100,"n/a"),"n/a")</f>
        <v>0</v>
      </c>
      <c r="FL17" s="4" t="n">
        <f aca="false">IFERROR(IF(ISNUMBER(FK17),$C17*FK17,"n/a"),"n/a")</f>
        <v>0</v>
      </c>
      <c r="FM17" s="15" t="s">
        <v>249</v>
      </c>
      <c r="FO17" s="11" t="n">
        <f aca="false">IFERROR(ABS(F17),0)</f>
        <v>0</v>
      </c>
      <c r="FP17" s="11" t="n">
        <f aca="false">IFERROR(ABS(I17),0)</f>
        <v>0</v>
      </c>
      <c r="FQ17" s="11" t="n">
        <f aca="false">IFERROR(ABS(L17),0)</f>
        <v>0</v>
      </c>
      <c r="FR17" s="11" t="n">
        <f aca="false">IFERROR(ABS(O17),0)</f>
        <v>0</v>
      </c>
      <c r="FS17" s="11" t="n">
        <f aca="false">IFERROR(ABS(R17),0)</f>
        <v>0</v>
      </c>
      <c r="FT17" s="11" t="n">
        <f aca="false">IFERROR(ABS(U17),0)</f>
        <v>0</v>
      </c>
      <c r="FU17" s="11" t="n">
        <f aca="false">IFERROR(ABS(X17),0)</f>
        <v>0</v>
      </c>
      <c r="FV17" s="11" t="n">
        <f aca="false">IFERROR(ABS(AA17),0)</f>
        <v>0</v>
      </c>
      <c r="FW17" s="11" t="n">
        <f aca="false">IFERROR(ABS(AD17),0)</f>
        <v>0</v>
      </c>
      <c r="FX17" s="11" t="n">
        <f aca="false">IFERROR(ABS(AG17),0)</f>
        <v>0</v>
      </c>
      <c r="FY17" s="11" t="n">
        <f aca="false">IFERROR(ABS(AJ17),0)</f>
        <v>0</v>
      </c>
      <c r="FZ17" s="11" t="n">
        <f aca="false">IFERROR(ABS(AM17),0)</f>
        <v>0</v>
      </c>
      <c r="GA17" s="11" t="n">
        <f aca="false">IFERROR(ABS(AP17),0)</f>
        <v>0</v>
      </c>
      <c r="GB17" s="11" t="n">
        <f aca="false">IFERROR(ABS(AS17),0)</f>
        <v>0</v>
      </c>
      <c r="GC17" s="11" t="n">
        <f aca="false">IFERROR(ABS(AV17),0)</f>
        <v>0</v>
      </c>
      <c r="GD17" s="11" t="n">
        <f aca="false">IFERROR(ABS(AY17),0)</f>
        <v>0</v>
      </c>
      <c r="GE17" s="11" t="n">
        <f aca="false">IFERROR(ABS(BB17),0)</f>
        <v>0</v>
      </c>
      <c r="GF17" s="11" t="n">
        <f aca="false">IFERROR(ABS(BE17),0)</f>
        <v>0</v>
      </c>
      <c r="GG17" s="11" t="n">
        <f aca="false">IFERROR(ABS(BH17),0)</f>
        <v>0</v>
      </c>
      <c r="GH17" s="11" t="n">
        <f aca="false">IFERROR(ABS(BK17),0)</f>
        <v>0</v>
      </c>
      <c r="GI17" s="11" t="n">
        <f aca="false">IFERROR(ABS(BN17),0)</f>
        <v>0</v>
      </c>
      <c r="GJ17" s="11" t="n">
        <f aca="false">IFERROR(ABS(BQ17),0)</f>
        <v>0</v>
      </c>
      <c r="GK17" s="11" t="n">
        <f aca="false">IFERROR(ABS(BT17),0)</f>
        <v>0</v>
      </c>
      <c r="GL17" s="11" t="n">
        <f aca="false">IFERROR(ABS(BW17),0)</f>
        <v>0</v>
      </c>
      <c r="GM17" s="11" t="n">
        <f aca="false">IFERROR(ABS(BZ17),0)</f>
        <v>0</v>
      </c>
      <c r="GN17" s="11" t="n">
        <f aca="false">IFERROR(ABS(CC17),0)</f>
        <v>0</v>
      </c>
      <c r="GO17" s="11" t="n">
        <f aca="false">IFERROR(ABS(CF17),0)</f>
        <v>0</v>
      </c>
      <c r="GP17" s="11" t="n">
        <f aca="false">IFERROR(ABS(CI17),0)</f>
        <v>0</v>
      </c>
      <c r="GQ17" s="11" t="n">
        <f aca="false">IFERROR(ABS(CL17),0)</f>
        <v>0</v>
      </c>
      <c r="GR17" s="11" t="n">
        <f aca="false">IFERROR(ABS(CO17),0)</f>
        <v>0</v>
      </c>
      <c r="GS17" s="11" t="n">
        <f aca="false">IFERROR(ABS(CR17),0)</f>
        <v>0</v>
      </c>
      <c r="GT17" s="11" t="n">
        <f aca="false">IFERROR(ABS(CU17),0)</f>
        <v>0</v>
      </c>
      <c r="GU17" s="11" t="n">
        <f aca="false">IFERROR(ABS(CX17),0)</f>
        <v>0</v>
      </c>
      <c r="GV17" s="11" t="n">
        <f aca="false">IFERROR(ABS(DA17),0)</f>
        <v>0</v>
      </c>
      <c r="GW17" s="11" t="n">
        <f aca="false">IFERROR(ABS(DD17),0)</f>
        <v>0</v>
      </c>
      <c r="GX17" s="11" t="n">
        <f aca="false">IFERROR(ABS(DG17),0)</f>
        <v>0</v>
      </c>
      <c r="GY17" s="11" t="n">
        <f aca="false">IFERROR(ABS(DJ17),0)</f>
        <v>0</v>
      </c>
      <c r="GZ17" s="11" t="n">
        <f aca="false">IFERROR(ABS(DM17),0)</f>
        <v>0</v>
      </c>
      <c r="HA17" s="11" t="n">
        <f aca="false">IFERROR(ABS(DP17),0)</f>
        <v>0</v>
      </c>
      <c r="HB17" s="11" t="n">
        <f aca="false">IFERROR(ABS(DS17),0)</f>
        <v>0</v>
      </c>
      <c r="HC17" s="11" t="n">
        <f aca="false">IFERROR(ABS(DV17),0)</f>
        <v>0</v>
      </c>
      <c r="HD17" s="11" t="n">
        <f aca="false">IFERROR(ABS(DY17),0)</f>
        <v>0</v>
      </c>
      <c r="HE17" s="11" t="n">
        <f aca="false">IFERROR(ABS(EB17),0)</f>
        <v>0</v>
      </c>
      <c r="HF17" s="11" t="n">
        <f aca="false">IFERROR(ABS(EE17),0)</f>
        <v>0</v>
      </c>
      <c r="HG17" s="11" t="n">
        <f aca="false">IFERROR(ABS(EH17),0)</f>
        <v>0</v>
      </c>
      <c r="HH17" s="11" t="n">
        <f aca="false">IFERROR(ABS(EK17),0)</f>
        <v>0</v>
      </c>
      <c r="HI17" s="11" t="n">
        <f aca="false">IFERROR(ABS(EN17),0)</f>
        <v>0</v>
      </c>
      <c r="HJ17" s="11" t="n">
        <f aca="false">IFERROR(ABS(EQ17),0)</f>
        <v>0</v>
      </c>
      <c r="HK17" s="11" t="n">
        <f aca="false">IFERROR(ABS(ET17),0)</f>
        <v>0</v>
      </c>
      <c r="HL17" s="11" t="n">
        <f aca="false">IFERROR(ABS(EW17),0)</f>
        <v>0</v>
      </c>
      <c r="HM17" s="11" t="n">
        <f aca="false">IFERROR(ABS(EZ17),0)</f>
        <v>0</v>
      </c>
      <c r="HN17" s="11" t="n">
        <f aca="false">IFERROR(ABS(FC17),0)</f>
        <v>0</v>
      </c>
      <c r="HO17" s="11" t="n">
        <f aca="false">IFERROR(ABS(FF17),0)</f>
        <v>0</v>
      </c>
      <c r="HP17" s="11" t="n">
        <f aca="false">IFERROR(ABS(FI17),0)</f>
        <v>0</v>
      </c>
      <c r="HQ17" s="11" t="n">
        <f aca="false">IFERROR(ABS(FL17),0)</f>
        <v>0</v>
      </c>
    </row>
    <row r="18" customFormat="false" ht="15" hidden="false" customHeight="false" outlineLevel="0" collapsed="false">
      <c r="A18" s="3" t="n">
        <v>13</v>
      </c>
      <c r="B18" s="3" t="s">
        <v>250</v>
      </c>
      <c r="C18" s="12" t="n">
        <f aca="false">'P0Q0 Dasar 2022'!F17</f>
        <v>0.0194434650422287</v>
      </c>
      <c r="D18" s="13" t="n">
        <f aca="false">IFERROR(AVERAGEIF('Pemetaan Variant'!$A$5:$A$32,$B18,'Pemetaan Variant'!$P$5:$P$32),"n/a")</f>
        <v>24000</v>
      </c>
      <c r="E18" s="14" t="n">
        <f aca="false">IFERROR(IF(ISNUMBER(D18),(D18-AVERAGEIF('Pemetaan Variant'!$A$5:$A$32,$B18,'Pemetaan Variant'!$D$5:$D$32))/AVERAGEIF('Pemetaan Variant'!$A$5:$A$32,$B18,'Pemetaan Variant'!$D$5:$D$32)*100,"n/a"),"n/a")</f>
        <v>-12.7272727272727</v>
      </c>
      <c r="F18" s="4" t="n">
        <f aca="false">IFERROR(IF(ISNUMBER(E18),$C18*E18,"n/a"),"n/a")</f>
        <v>-0.247462282355638</v>
      </c>
      <c r="G18" s="13" t="n">
        <f aca="false">IFERROR(AVERAGEIF('Pemetaan Variant'!$A$5:$A$32,$B18,'Pemetaan Variant'!$Q$5:$Q$32),"n/a")</f>
        <v>24000</v>
      </c>
      <c r="H18" s="14" t="n">
        <f aca="false">IFERROR(IF(ISNUMBER(G18),(G18-AVERAGEIF('Pemetaan Variant'!$A$5:$A$32,$B18,'Pemetaan Variant'!$D$5:$D$32))/AVERAGEIF('Pemetaan Variant'!$A$5:$A$32,$B18,'Pemetaan Variant'!$D$5:$D$32)*100,"n/a"),"n/a")</f>
        <v>-12.7272727272727</v>
      </c>
      <c r="I18" s="4" t="n">
        <f aca="false">IFERROR(IF(ISNUMBER(H18),$C18*H18,"n/a"),"n/a")</f>
        <v>-0.247462282355638</v>
      </c>
      <c r="J18" s="13" t="n">
        <f aca="false">IFERROR(AVERAGEIF('Pemetaan Variant'!$A$5:$A$32,$B18,'Pemetaan Variant'!$R$5:$R$32),"n/a")</f>
        <v>24000</v>
      </c>
      <c r="K18" s="14" t="n">
        <f aca="false">IFERROR(IF(ISNUMBER(J18),(J18-AVERAGEIF('Pemetaan Variant'!$A$5:$A$32,$B18,'Pemetaan Variant'!$D$5:$D$32))/AVERAGEIF('Pemetaan Variant'!$A$5:$A$32,$B18,'Pemetaan Variant'!$D$5:$D$32)*100,"n/a"),"n/a")</f>
        <v>-12.7272727272727</v>
      </c>
      <c r="L18" s="4" t="n">
        <f aca="false">IFERROR(IF(ISNUMBER(K18),$C18*K18,"n/a"),"n/a")</f>
        <v>-0.247462282355638</v>
      </c>
      <c r="M18" s="13" t="n">
        <f aca="false">IFERROR(AVERAGEIF('Pemetaan Variant'!$A$5:$A$32,$B18,'Pemetaan Variant'!$S$5:$S$32),"n/a")</f>
        <v>23000</v>
      </c>
      <c r="N18" s="14" t="n">
        <f aca="false">IFERROR(IF(ISNUMBER(M18),(M18-AVERAGEIF('Pemetaan Variant'!$A$5:$A$32,$B18,'Pemetaan Variant'!$D$5:$D$32))/AVERAGEIF('Pemetaan Variant'!$A$5:$A$32,$B18,'Pemetaan Variant'!$D$5:$D$32)*100,"n/a"),"n/a")</f>
        <v>-16.3636363636364</v>
      </c>
      <c r="O18" s="4" t="n">
        <f aca="false">IFERROR(IF(ISNUMBER(N18),$C18*N18,"n/a"),"n/a")</f>
        <v>-0.318165791600106</v>
      </c>
      <c r="P18" s="13" t="n">
        <f aca="false">IFERROR(AVERAGEIF('Pemetaan Variant'!$A$5:$A$32,$B18,'Pemetaan Variant'!$T$5:$T$32),"n/a")</f>
        <v>23000</v>
      </c>
      <c r="Q18" s="14" t="n">
        <f aca="false">IFERROR(IF(ISNUMBER(P18),(P18-AVERAGEIF('Pemetaan Variant'!$A$5:$A$32,$B18,'Pemetaan Variant'!$D$5:$D$32))/AVERAGEIF('Pemetaan Variant'!$A$5:$A$32,$B18,'Pemetaan Variant'!$D$5:$D$32)*100,"n/a"),"n/a")</f>
        <v>-16.3636363636364</v>
      </c>
      <c r="R18" s="4" t="n">
        <f aca="false">IFERROR(IF(ISNUMBER(Q18),$C18*Q18,"n/a"),"n/a")</f>
        <v>-0.318165791600106</v>
      </c>
      <c r="S18" s="13" t="n">
        <f aca="false">IFERROR(AVERAGEIF('Pemetaan Variant'!$A$5:$A$32,$B18,'Pemetaan Variant'!$U$5:$U$32),"n/a")</f>
        <v>23150</v>
      </c>
      <c r="T18" s="14" t="n">
        <f aca="false">IFERROR(IF(ISNUMBER(S18),(S18-AVERAGEIF('Pemetaan Variant'!$A$5:$A$32,$B18,'Pemetaan Variant'!$E$5:$E$32))/AVERAGEIF('Pemetaan Variant'!$A$5:$A$32,$B18,'Pemetaan Variant'!$E$5:$E$32)*100,"n/a"),"n/a")</f>
        <v>-2.03786191536748</v>
      </c>
      <c r="U18" s="4" t="n">
        <f aca="false">IFERROR(IF(ISNUMBER(T18),$C18*T18,"n/a"),"n/a")</f>
        <v>-0.0396230969123368</v>
      </c>
      <c r="V18" s="13" t="n">
        <f aca="false">IFERROR(AVERAGEIF('Pemetaan Variant'!$A$5:$A$32,$B18,'Pemetaan Variant'!$V$5:$V$32),"n/a")</f>
        <v>24000</v>
      </c>
      <c r="W18" s="14" t="n">
        <f aca="false">IFERROR(IF(ISNUMBER(V18),(V18-AVERAGEIF('Pemetaan Variant'!$A$5:$A$32,$B18,'Pemetaan Variant'!$E$5:$E$32))/AVERAGEIF('Pemetaan Variant'!$A$5:$A$32,$B18,'Pemetaan Variant'!$E$5:$E$32)*100,"n/a"),"n/a")</f>
        <v>1.55902004454343</v>
      </c>
      <c r="X18" s="4" t="n">
        <f aca="false">IFERROR(IF(ISNUMBER(W18),$C18*W18,"n/a"),"n/a")</f>
        <v>0.0303127517362141</v>
      </c>
      <c r="Y18" s="13" t="n">
        <f aca="false">IFERROR(AVERAGEIF('Pemetaan Variant'!$A$5:$A$32,$B18,'Pemetaan Variant'!$W$5:$W$32),"n/a")</f>
        <v>24000</v>
      </c>
      <c r="Z18" s="14" t="n">
        <f aca="false">IFERROR(IF(ISNUMBER(Y18),(Y18-AVERAGEIF('Pemetaan Variant'!$A$5:$A$32,$B18,'Pemetaan Variant'!$E$5:$E$32))/AVERAGEIF('Pemetaan Variant'!$A$5:$A$32,$B18,'Pemetaan Variant'!$E$5:$E$32)*100,"n/a"),"n/a")</f>
        <v>1.55902004454343</v>
      </c>
      <c r="AA18" s="4" t="n">
        <f aca="false">IFERROR(IF(ISNUMBER(Z18),$C18*Z18,"n/a"),"n/a")</f>
        <v>0.0303127517362141</v>
      </c>
      <c r="AB18" s="13" t="n">
        <f aca="false">IFERROR(AVERAGEIF('Pemetaan Variant'!$A$5:$A$32,$B18,'Pemetaan Variant'!$X$5:$X$32),"n/a")</f>
        <v>24000</v>
      </c>
      <c r="AC18" s="14" t="n">
        <f aca="false">IFERROR(IF(ISNUMBER(AB18),(AB18-AVERAGEIF('Pemetaan Variant'!$A$5:$A$32,$B18,'Pemetaan Variant'!$E$5:$E$32))/AVERAGEIF('Pemetaan Variant'!$A$5:$A$32,$B18,'Pemetaan Variant'!$E$5:$E$32)*100,"n/a"),"n/a")</f>
        <v>1.55902004454343</v>
      </c>
      <c r="AD18" s="4" t="n">
        <f aca="false">IFERROR(IF(ISNUMBER(AC18),$C18*AC18,"n/a"),"n/a")</f>
        <v>0.0303127517362141</v>
      </c>
      <c r="AE18" s="13" t="n">
        <f aca="false">IFERROR(AVERAGEIF('Pemetaan Variant'!$A$5:$A$32,$B18,'Pemetaan Variant'!$Y$5:$Y$32),"n/a")</f>
        <v>24000</v>
      </c>
      <c r="AF18" s="14" t="n">
        <f aca="false">IFERROR(IF(ISNUMBER(AE18),(AE18-AVERAGEIF('Pemetaan Variant'!$A$5:$A$32,$B18,'Pemetaan Variant'!$F$5:$F$32))/AVERAGEIF('Pemetaan Variant'!$A$5:$A$32,$B18,'Pemetaan Variant'!$F$5:$F$32)*100,"n/a"),"n/a")</f>
        <v>0.940785832872168</v>
      </c>
      <c r="AG18" s="4" t="n">
        <f aca="false">IFERROR(IF(ISNUMBER(AF18),$C18*AF18,"n/a"),"n/a")</f>
        <v>0.018292136453674</v>
      </c>
      <c r="AH18" s="13" t="n">
        <f aca="false">IFERROR(AVERAGEIF('Pemetaan Variant'!$A$5:$A$32,$B18,'Pemetaan Variant'!$Z$5:$Z$32),"n/a")</f>
        <v>24000</v>
      </c>
      <c r="AI18" s="14" t="n">
        <f aca="false">IFERROR(IF(ISNUMBER(AH18),(AH18-AVERAGEIF('Pemetaan Variant'!$A$5:$A$32,$B18,'Pemetaan Variant'!$F$5:$F$32))/AVERAGEIF('Pemetaan Variant'!$A$5:$A$32,$B18,'Pemetaan Variant'!$F$5:$F$32)*100,"n/a"),"n/a")</f>
        <v>0.940785832872168</v>
      </c>
      <c r="AJ18" s="4" t="n">
        <f aca="false">IFERROR(IF(ISNUMBER(AI18),$C18*AI18,"n/a"),"n/a")</f>
        <v>0.018292136453674</v>
      </c>
      <c r="AK18" s="13" t="n">
        <f aca="false">IFERROR(AVERAGEIF('Pemetaan Variant'!$A$5:$A$32,$B18,'Pemetaan Variant'!$AA$5:$AA$32),"n/a")</f>
        <v>25200</v>
      </c>
      <c r="AL18" s="14" t="n">
        <f aca="false">IFERROR(IF(ISNUMBER(AK18),(AK18-AVERAGEIF('Pemetaan Variant'!$A$5:$A$32,$B18,'Pemetaan Variant'!$F$5:$F$32))/AVERAGEIF('Pemetaan Variant'!$A$5:$A$32,$B18,'Pemetaan Variant'!$F$5:$F$32)*100,"n/a"),"n/a")</f>
        <v>5.98782512451578</v>
      </c>
      <c r="AM18" s="4" t="n">
        <f aca="false">IFERROR(IF(ISNUMBER(AL18),$C18*AL18,"n/a"),"n/a")</f>
        <v>0.116424068487501</v>
      </c>
      <c r="AN18" s="13" t="n">
        <f aca="false">IFERROR(AVERAGEIF('Pemetaan Variant'!$A$5:$A$32,$B18,'Pemetaan Variant'!$AB$5:$AB$32),"n/a")</f>
        <v>27000</v>
      </c>
      <c r="AO18" s="14" t="n">
        <f aca="false">IFERROR(IF(ISNUMBER(AN18),(AN18-AVERAGEIF('Pemetaan Variant'!$A$5:$A$32,$B18,'Pemetaan Variant'!$F$5:$F$32))/AVERAGEIF('Pemetaan Variant'!$A$5:$A$32,$B18,'Pemetaan Variant'!$F$5:$F$32)*100,"n/a"),"n/a")</f>
        <v>13.5583840619812</v>
      </c>
      <c r="AP18" s="4" t="n">
        <f aca="false">IFERROR(IF(ISNUMBER(AO18),$C18*AO18,"n/a"),"n/a")</f>
        <v>0.263621966538242</v>
      </c>
      <c r="AQ18" s="13" t="str">
        <f aca="false">IFERROR(AVERAGEIF('Pemetaan Variant'!$A$5:$A$32,$B18,'Pemetaan Variant'!$AC$5:$AC$32),"n/a")</f>
        <v>n/a</v>
      </c>
      <c r="AR18" s="14" t="str">
        <f aca="false">IFERROR(IF(ISNUMBER(AQ18),(AQ18-AVERAGEIF('Pemetaan Variant'!$A$5:$A$32,$B18,'Pemetaan Variant'!$F$5:$F$32))/AVERAGEIF('Pemetaan Variant'!$A$5:$A$32,$B18,'Pemetaan Variant'!$F$5:$F$32)*100,"n/a"),"n/a")</f>
        <v>n/a</v>
      </c>
      <c r="AS18" s="4" t="str">
        <f aca="false">IFERROR(IF(ISNUMBER(AR18),$C18*AR18,"n/a"),"n/a")</f>
        <v>n/a</v>
      </c>
      <c r="AT18" s="13" t="str">
        <f aca="false">IFERROR(AVERAGEIF('Pemetaan Variant'!$A$5:$A$32,$B18,'Pemetaan Variant'!$AD$5:$AD$32),"n/a")</f>
        <v>n/a</v>
      </c>
      <c r="AU18" s="14" t="str">
        <f aca="false">IFERROR(IF(ISNUMBER(AT18),(AT18-AVERAGEIF('Pemetaan Variant'!$A$5:$A$32,$B18,'Pemetaan Variant'!$G$5:$G$32))/AVERAGEIF('Pemetaan Variant'!$A$5:$A$32,$B18,'Pemetaan Variant'!$G$5:$G$32)*100,"n/a"),"n/a")</f>
        <v>n/a</v>
      </c>
      <c r="AV18" s="4" t="str">
        <f aca="false">IFERROR(IF(ISNUMBER(AU18),$C18*AU18,"n/a"),"n/a")</f>
        <v>n/a</v>
      </c>
      <c r="AW18" s="13" t="n">
        <f aca="false">IFERROR(AVERAGEIF('Pemetaan Variant'!$A$5:$A$32,$B18,'Pemetaan Variant'!$AE$5:$AE$32),"n/a")</f>
        <v>35000</v>
      </c>
      <c r="AX18" s="14" t="n">
        <f aca="false">IFERROR(IF(ISNUMBER(AW18),(AW18-AVERAGEIF('Pemetaan Variant'!$A$5:$A$32,$B18,'Pemetaan Variant'!$G$5:$G$32))/AVERAGEIF('Pemetaan Variant'!$A$5:$A$32,$B18,'Pemetaan Variant'!$G$5:$G$32)*100,"n/a"),"n/a")</f>
        <v>40.295358649789</v>
      </c>
      <c r="AY18" s="4" t="n">
        <f aca="false">IFERROR(IF(ISNUMBER(AX18),$C18*AX18,"n/a"),"n/a")</f>
        <v>0.783481397271241</v>
      </c>
      <c r="AZ18" s="13" t="n">
        <f aca="false">IFERROR(AVERAGEIF('Pemetaan Variant'!$A$5:$A$32,$B18,'Pemetaan Variant'!$AF$5:$AF$32),"n/a")</f>
        <v>35000</v>
      </c>
      <c r="BA18" s="14" t="n">
        <f aca="false">IFERROR(IF(ISNUMBER(AZ18),(AZ18-AVERAGEIF('Pemetaan Variant'!$A$5:$A$32,$B18,'Pemetaan Variant'!$G$5:$G$32))/AVERAGEIF('Pemetaan Variant'!$A$5:$A$32,$B18,'Pemetaan Variant'!$G$5:$G$32)*100,"n/a"),"n/a")</f>
        <v>40.295358649789</v>
      </c>
      <c r="BB18" s="4" t="n">
        <f aca="false">IFERROR(IF(ISNUMBER(BA18),$C18*BA18,"n/a"),"n/a")</f>
        <v>0.783481397271241</v>
      </c>
      <c r="BC18" s="13" t="n">
        <f aca="false">IFERROR(AVERAGEIF('Pemetaan Variant'!$A$5:$A$32,$B18,'Pemetaan Variant'!$AG$5:$AG$32),"n/a")</f>
        <v>34600</v>
      </c>
      <c r="BD18" s="14" t="n">
        <f aca="false">IFERROR(IF(ISNUMBER(BC18),(BC18-AVERAGEIF('Pemetaan Variant'!$A$5:$A$32,$B18,'Pemetaan Variant'!$G$5:$G$32))/AVERAGEIF('Pemetaan Variant'!$A$5:$A$32,$B18,'Pemetaan Variant'!$G$5:$G$32)*100,"n/a"),"n/a")</f>
        <v>38.6919831223629</v>
      </c>
      <c r="BE18" s="4" t="n">
        <f aca="false">IFERROR(IF(ISNUMBER(BD18),$C18*BD18,"n/a"),"n/a")</f>
        <v>0.752306221254166</v>
      </c>
      <c r="BF18" s="13" t="n">
        <f aca="false">IFERROR(AVERAGEIF('Pemetaan Variant'!$A$5:$A$32,$B18,'Pemetaan Variant'!$AH$5:$AH$32),"n/a")</f>
        <v>29333.3333333333</v>
      </c>
      <c r="BG18" s="14" t="n">
        <f aca="false">IFERROR(IF(ISNUMBER(BF18),(BF18-AVERAGEIF('Pemetaan Variant'!$A$5:$A$32,$B18,'Pemetaan Variant'!$G$5:$G$32))/AVERAGEIF('Pemetaan Variant'!$A$5:$A$32,$B18,'Pemetaan Variant'!$G$5:$G$32)*100,"n/a"),"n/a")</f>
        <v>17.5808720112518</v>
      </c>
      <c r="BH18" s="4" t="n">
        <f aca="false">IFERROR(IF(ISNUMBER(BG18),$C18*BG18,"n/a"),"n/a")</f>
        <v>0.341833070362671</v>
      </c>
      <c r="BI18" s="13" t="n">
        <f aca="false">IFERROR(AVERAGEIF('Pemetaan Variant'!$A$5:$A$32,$B18,'Pemetaan Variant'!$AI$5:$AI$32),"n/a")</f>
        <v>29000</v>
      </c>
      <c r="BJ18" s="14" t="n">
        <f aca="false">IFERROR(IF(ISNUMBER(BI18),(BI18-AVERAGEIF('Pemetaan Variant'!$A$5:$A$32,$B18,'Pemetaan Variant'!$H$5:$H$32))/AVERAGEIF('Pemetaan Variant'!$A$5:$A$32,$B18,'Pemetaan Variant'!$H$5:$H$32)*100,"n/a"),"n/a")</f>
        <v>-14.2329020332717</v>
      </c>
      <c r="BK18" s="4" t="n">
        <f aca="false">IFERROR(IF(ISNUMBER(BJ18),$C18*BJ18,"n/a"),"n/a")</f>
        <v>-0.276736933133384</v>
      </c>
      <c r="BL18" s="13" t="n">
        <f aca="false">IFERROR(AVERAGEIF('Pemetaan Variant'!$A$5:$A$32,$B18,'Pemetaan Variant'!$AJ$5:$AJ$32),"n/a")</f>
        <v>29400</v>
      </c>
      <c r="BM18" s="14" t="n">
        <f aca="false">IFERROR(IF(ISNUMBER(BL18),(BL18-AVERAGEIF('Pemetaan Variant'!$A$5:$A$32,$B18,'Pemetaan Variant'!$H$5:$H$32))/AVERAGEIF('Pemetaan Variant'!$A$5:$A$32,$B18,'Pemetaan Variant'!$H$5:$H$32)*100,"n/a"),"n/a")</f>
        <v>-13.0499075785582</v>
      </c>
      <c r="BN18" s="4" t="n">
        <f aca="false">IFERROR(IF(ISNUMBER(BM18),$C18*BM18,"n/a"),"n/a")</f>
        <v>-0.253735421808012</v>
      </c>
      <c r="BO18" s="13" t="n">
        <f aca="false">IFERROR(AVERAGEIF('Pemetaan Variant'!$A$5:$A$32,$B18,'Pemetaan Variant'!$AK$5:$AK$32),"n/a")</f>
        <v>30000</v>
      </c>
      <c r="BP18" s="14" t="n">
        <f aca="false">IFERROR(IF(ISNUMBER(BO18),(BO18-AVERAGEIF('Pemetaan Variant'!$A$5:$A$32,$B18,'Pemetaan Variant'!$H$5:$H$32))/AVERAGEIF('Pemetaan Variant'!$A$5:$A$32,$B18,'Pemetaan Variant'!$H$5:$H$32)*100,"n/a"),"n/a")</f>
        <v>-11.275415896488</v>
      </c>
      <c r="BQ18" s="4" t="n">
        <f aca="false">IFERROR(IF(ISNUMBER(BP18),$C18*BP18,"n/a"),"n/a")</f>
        <v>-0.219233154819954</v>
      </c>
      <c r="BR18" s="13" t="n">
        <f aca="false">IFERROR(AVERAGEIF('Pemetaan Variant'!$A$5:$A$32,$B18,'Pemetaan Variant'!$AL$5:$AL$32),"n/a")</f>
        <v>30000</v>
      </c>
      <c r="BS18" s="14" t="n">
        <f aca="false">IFERROR(IF(ISNUMBER(BR18),(BR18-AVERAGEIF('Pemetaan Variant'!$A$5:$A$32,$B18,'Pemetaan Variant'!$H$5:$H$32))/AVERAGEIF('Pemetaan Variant'!$A$5:$A$32,$B18,'Pemetaan Variant'!$H$5:$H$32)*100,"n/a"),"n/a")</f>
        <v>-11.275415896488</v>
      </c>
      <c r="BT18" s="4" t="n">
        <f aca="false">IFERROR(IF(ISNUMBER(BS18),$C18*BS18,"n/a"),"n/a")</f>
        <v>-0.219233154819954</v>
      </c>
      <c r="BU18" s="13" t="n">
        <f aca="false">IFERROR(AVERAGEIF('Pemetaan Variant'!$A$5:$A$32,$B18,'Pemetaan Variant'!$AM$5:$AM$32),"n/a")</f>
        <v>28666.6666666667</v>
      </c>
      <c r="BV18" s="14" t="n">
        <f aca="false">IFERROR(IF(ISNUMBER(BU18),(BU18-AVERAGEIF('Pemetaan Variant'!$A$5:$A$32,$B18,'Pemetaan Variant'!$H$5:$H$32))/AVERAGEIF('Pemetaan Variant'!$A$5:$A$32,$B18,'Pemetaan Variant'!$H$5:$H$32)*100,"n/a"),"n/a")</f>
        <v>-15.218730745533</v>
      </c>
      <c r="BW18" s="4" t="n">
        <f aca="false">IFERROR(IF(ISNUMBER(BV18),$C18*BV18,"n/a"),"n/a")</f>
        <v>-0.295904859237861</v>
      </c>
      <c r="BX18" s="13" t="n">
        <f aca="false">IFERROR(AVERAGEIF('Pemetaan Variant'!$A$5:$A$32,$B18,'Pemetaan Variant'!$AN$5:$AN$32),"n/a")</f>
        <v>32750</v>
      </c>
      <c r="BY18" s="14" t="n">
        <f aca="false">IFERROR(IF(ISNUMBER(BX18),(BX18-AVERAGEIF('Pemetaan Variant'!$A$5:$A$32,$B18,'Pemetaan Variant'!$I$5:$I$32))/AVERAGEIF('Pemetaan Variant'!$A$5:$A$32,$B18,'Pemetaan Variant'!$I$5:$I$32)*100,"n/a"),"n/a")</f>
        <v>10.906374501992</v>
      </c>
      <c r="BZ18" s="4" t="n">
        <f aca="false">IFERROR(IF(ISNUMBER(BY18),$C18*BY18,"n/a"),"n/a")</f>
        <v>0.212057711366937</v>
      </c>
      <c r="CA18" s="13" t="n">
        <f aca="false">IFERROR(AVERAGEIF('Pemetaan Variant'!$A$5:$A$32,$B18,'Pemetaan Variant'!$AO$5:$AO$32),"n/a")</f>
        <v>27500</v>
      </c>
      <c r="CB18" s="14" t="n">
        <f aca="false">IFERROR(IF(ISNUMBER(CA18),(CA18-AVERAGEIF('Pemetaan Variant'!$A$5:$A$32,$B18,'Pemetaan Variant'!$I$5:$I$32))/AVERAGEIF('Pemetaan Variant'!$A$5:$A$32,$B18,'Pemetaan Variant'!$I$5:$I$32)*100,"n/a"),"n/a")</f>
        <v>-6.87250996015936</v>
      </c>
      <c r="CC18" s="4" t="n">
        <f aca="false">IFERROR(IF(ISNUMBER(CB18),$C18*CB18,"n/a"),"n/a")</f>
        <v>-0.133625407162727</v>
      </c>
      <c r="CD18" s="13" t="n">
        <f aca="false">IFERROR(AVERAGEIF('Pemetaan Variant'!$A$5:$A$32,$B18,'Pemetaan Variant'!$AP$5:$AP$32),"n/a")</f>
        <v>21200</v>
      </c>
      <c r="CE18" s="14" t="n">
        <f aca="false">IFERROR(IF(ISNUMBER(CD18),(CD18-AVERAGEIF('Pemetaan Variant'!$A$5:$A$32,$B18,'Pemetaan Variant'!$I$5:$I$32))/AVERAGEIF('Pemetaan Variant'!$A$5:$A$32,$B18,'Pemetaan Variant'!$I$5:$I$32)*100,"n/a"),"n/a")</f>
        <v>-28.207171314741</v>
      </c>
      <c r="CF18" s="4" t="n">
        <f aca="false">IFERROR(IF(ISNUMBER(CE18),$C18*CE18,"n/a"),"n/a")</f>
        <v>-0.548445149398324</v>
      </c>
      <c r="CG18" s="13" t="n">
        <f aca="false">IFERROR(AVERAGEIF('Pemetaan Variant'!$A$5:$A$32,$B18,'Pemetaan Variant'!$AQ$5:$AQ$32),"n/a")</f>
        <v>22000</v>
      </c>
      <c r="CH18" s="14" t="n">
        <f aca="false">IFERROR(IF(ISNUMBER(CG18),(CG18-AVERAGEIF('Pemetaan Variant'!$A$5:$A$32,$B18,'Pemetaan Variant'!$I$5:$I$32))/AVERAGEIF('Pemetaan Variant'!$A$5:$A$32,$B18,'Pemetaan Variant'!$I$5:$I$32)*100,"n/a"),"n/a")</f>
        <v>-25.4980079681275</v>
      </c>
      <c r="CI18" s="4" t="n">
        <f aca="false">IFERROR(IF(ISNUMBER(CH18),$C18*CH18,"n/a"),"n/a")</f>
        <v>-0.495769626574756</v>
      </c>
      <c r="CJ18" s="13" t="n">
        <f aca="false">IFERROR(AVERAGEIF('Pemetaan Variant'!$A$5:$A$32,$B18,'Pemetaan Variant'!$AR$5:$AR$32),"n/a")</f>
        <v>22500</v>
      </c>
      <c r="CK18" s="14" t="n">
        <f aca="false">IFERROR(IF(ISNUMBER(CJ18),(CJ18-AVERAGEIF('Pemetaan Variant'!$A$5:$A$32,$B18,'Pemetaan Variant'!$J$5:$J$32))/AVERAGEIF('Pemetaan Variant'!$A$5:$A$32,$B18,'Pemetaan Variant'!$J$5:$J$32)*100,"n/a"),"n/a")</f>
        <v>-12.0689655172414</v>
      </c>
      <c r="CL18" s="4" t="n">
        <f aca="false">IFERROR(IF(ISNUMBER(CK18),$C18*CK18,"n/a"),"n/a")</f>
        <v>-0.234662509130346</v>
      </c>
      <c r="CM18" s="13" t="n">
        <f aca="false">IFERROR(AVERAGEIF('Pemetaan Variant'!$A$5:$A$32,$B18,'Pemetaan Variant'!$AS$5:$AS$32),"n/a")</f>
        <v>26600</v>
      </c>
      <c r="CN18" s="14" t="n">
        <f aca="false">IFERROR(IF(ISNUMBER(CM18),(CM18-AVERAGEIF('Pemetaan Variant'!$A$5:$A$32,$B18,'Pemetaan Variant'!$J$5:$J$32))/AVERAGEIF('Pemetaan Variant'!$A$5:$A$32,$B18,'Pemetaan Variant'!$J$5:$J$32)*100,"n/a"),"n/a")</f>
        <v>3.95402298850575</v>
      </c>
      <c r="CO18" s="4" t="n">
        <f aca="false">IFERROR(IF(ISNUMBER(CN18),$C18*CN18,"n/a"),"n/a")</f>
        <v>0.0768799077531802</v>
      </c>
      <c r="CP18" s="13" t="n">
        <f aca="false">IFERROR(AVERAGEIF('Pemetaan Variant'!$A$5:$A$32,$B18,'Pemetaan Variant'!$AT$5:$AT$32),"n/a")</f>
        <v>26200</v>
      </c>
      <c r="CQ18" s="14" t="n">
        <f aca="false">IFERROR(IF(ISNUMBER(CP18),(CP18-AVERAGEIF('Pemetaan Variant'!$A$5:$A$32,$B18,'Pemetaan Variant'!$J$5:$J$32))/AVERAGEIF('Pemetaan Variant'!$A$5:$A$32,$B18,'Pemetaan Variant'!$J$5:$J$32)*100,"n/a"),"n/a")</f>
        <v>2.39080459770115</v>
      </c>
      <c r="CR18" s="4" t="n">
        <f aca="false">IFERROR(IF(ISNUMBER(CQ18),$C18*CQ18,"n/a"),"n/a")</f>
        <v>0.046485525618202</v>
      </c>
      <c r="CS18" s="13" t="n">
        <f aca="false">IFERROR(AVERAGEIF('Pemetaan Variant'!$A$5:$A$32,$B18,'Pemetaan Variant'!$AU$5:$AU$32),"n/a")</f>
        <v>28000</v>
      </c>
      <c r="CT18" s="14" t="n">
        <f aca="false">IFERROR(IF(ISNUMBER(CS18),(CS18-AVERAGEIF('Pemetaan Variant'!$A$5:$A$32,$B18,'Pemetaan Variant'!$J$5:$J$32))/AVERAGEIF('Pemetaan Variant'!$A$5:$A$32,$B18,'Pemetaan Variant'!$J$5:$J$32)*100,"n/a"),"n/a")</f>
        <v>9.42528735632184</v>
      </c>
      <c r="CU18" s="4" t="n">
        <f aca="false">IFERROR(IF(ISNUMBER(CT18),$C18*CT18,"n/a"),"n/a")</f>
        <v>0.183260245225604</v>
      </c>
      <c r="CV18" s="13" t="n">
        <f aca="false">IFERROR(AVERAGEIF('Pemetaan Variant'!$A$5:$A$32,$B18,'Pemetaan Variant'!$AV$5:$AV$32),"n/a")</f>
        <v>28000</v>
      </c>
      <c r="CW18" s="14" t="n">
        <f aca="false">IFERROR(IF(ISNUMBER(CV18),(CV18-AVERAGEIF('Pemetaan Variant'!$A$5:$A$32,$B18,'Pemetaan Variant'!$J$5:$J$32))/AVERAGEIF('Pemetaan Variant'!$A$5:$A$32,$B18,'Pemetaan Variant'!$J$5:$J$32)*100,"n/a"),"n/a")</f>
        <v>9.42528735632184</v>
      </c>
      <c r="CX18" s="4" t="n">
        <f aca="false">IFERROR(IF(ISNUMBER(CW18),$C18*CW18,"n/a"),"n/a")</f>
        <v>0.183260245225604</v>
      </c>
      <c r="CY18" s="13" t="n">
        <f aca="false">IFERROR(AVERAGEIF('Pemetaan Variant'!$A$5:$A$32,$B18,'Pemetaan Variant'!$AW$5:$AW$32),"n/a")</f>
        <v>28000</v>
      </c>
      <c r="CZ18" s="14" t="n">
        <f aca="false">IFERROR(IF(ISNUMBER(CY18),(CY18-AVERAGEIF('Pemetaan Variant'!$A$5:$A$32,$B18,'Pemetaan Variant'!$K$5:$K$32))/AVERAGEIF('Pemetaan Variant'!$A$5:$A$32,$B18,'Pemetaan Variant'!$K$5:$K$32)*100,"n/a"),"n/a")</f>
        <v>6.27062706270628</v>
      </c>
      <c r="DA18" s="4" t="n">
        <f aca="false">IFERROR(IF(ISNUMBER(CZ18),$C18*CZ18,"n/a"),"n/a")</f>
        <v>0.121922718086583</v>
      </c>
      <c r="DB18" s="13" t="n">
        <f aca="false">IFERROR(AVERAGEIF('Pemetaan Variant'!$A$5:$A$32,$B18,'Pemetaan Variant'!$AX$5:$AX$32),"n/a")</f>
        <v>28400</v>
      </c>
      <c r="DC18" s="14" t="n">
        <f aca="false">IFERROR(IF(ISNUMBER(DB18),(DB18-AVERAGEIF('Pemetaan Variant'!$A$5:$A$32,$B18,'Pemetaan Variant'!$K$5:$K$32))/AVERAGEIF('Pemetaan Variant'!$A$5:$A$32,$B18,'Pemetaan Variant'!$K$5:$K$32)*100,"n/a"),"n/a")</f>
        <v>7.7887788778878</v>
      </c>
      <c r="DD18" s="4" t="n">
        <f aca="false">IFERROR(IF(ISNUMBER(DC18),$C18*DC18,"n/a"),"n/a")</f>
        <v>0.151440849833861</v>
      </c>
      <c r="DE18" s="13" t="n">
        <f aca="false">IFERROR(AVERAGEIF('Pemetaan Variant'!$A$5:$A$32,$B18,'Pemetaan Variant'!$AY$5:$AY$32),"n/a")</f>
        <v>30000</v>
      </c>
      <c r="DF18" s="14" t="n">
        <f aca="false">IFERROR(IF(ISNUMBER(DE18),(DE18-AVERAGEIF('Pemetaan Variant'!$A$5:$A$32,$B18,'Pemetaan Variant'!$K$5:$K$32))/AVERAGEIF('Pemetaan Variant'!$A$5:$A$32,$B18,'Pemetaan Variant'!$K$5:$K$32)*100,"n/a"),"n/a")</f>
        <v>13.8613861386139</v>
      </c>
      <c r="DG18" s="4" t="n">
        <f aca="false">IFERROR(IF(ISNUMBER(DF18),$C18*DF18,"n/a"),"n/a")</f>
        <v>0.269513376822972</v>
      </c>
      <c r="DH18" s="13" t="n">
        <f aca="false">IFERROR(AVERAGEIF('Pemetaan Variant'!$A$5:$A$32,$B18,'Pemetaan Variant'!$AZ$5:$AZ$32),"n/a")</f>
        <v>30000</v>
      </c>
      <c r="DI18" s="14" t="n">
        <f aca="false">IFERROR(IF(ISNUMBER(DH18),(DH18-AVERAGEIF('Pemetaan Variant'!$A$5:$A$32,$B18,'Pemetaan Variant'!$K$5:$K$32))/AVERAGEIF('Pemetaan Variant'!$A$5:$A$32,$B18,'Pemetaan Variant'!$K$5:$K$32)*100,"n/a"),"n/a")</f>
        <v>13.8613861386139</v>
      </c>
      <c r="DJ18" s="4" t="n">
        <f aca="false">IFERROR(IF(ISNUMBER(DI18),$C18*DI18,"n/a"),"n/a")</f>
        <v>0.269513376822972</v>
      </c>
      <c r="DK18" s="13" t="n">
        <f aca="false">IFERROR(AVERAGEIF('Pemetaan Variant'!$A$5:$A$32,$B18,'Pemetaan Variant'!$BA$5:$BA$32),"n/a")</f>
        <v>29000</v>
      </c>
      <c r="DL18" s="14" t="n">
        <f aca="false">IFERROR(IF(ISNUMBER(DK18),(DK18-AVERAGEIF('Pemetaan Variant'!$A$5:$A$32,$B18,'Pemetaan Variant'!$L$5:$L$32))/AVERAGEIF('Pemetaan Variant'!$A$5:$A$32,$B18,'Pemetaan Variant'!$L$5:$L$32)*100,"n/a"),"n/a")</f>
        <v>-0.181159420289861</v>
      </c>
      <c r="DM18" s="4" t="n">
        <f aca="false">IFERROR(IF(ISNUMBER(DL18),$C18*DL18,"n/a"),"n/a")</f>
        <v>-0.00352236685547633</v>
      </c>
      <c r="DN18" s="13" t="n">
        <f aca="false">IFERROR(AVERAGEIF('Pemetaan Variant'!$A$5:$A$32,$B18,'Pemetaan Variant'!$BB$5:$BB$32),"n/a")</f>
        <v>28000</v>
      </c>
      <c r="DO18" s="14" t="n">
        <f aca="false">IFERROR(IF(ISNUMBER(DN18),(DN18-AVERAGEIF('Pemetaan Variant'!$A$5:$A$32,$B18,'Pemetaan Variant'!$L$5:$L$32))/AVERAGEIF('Pemetaan Variant'!$A$5:$A$32,$B18,'Pemetaan Variant'!$L$5:$L$32)*100,"n/a"),"n/a")</f>
        <v>-3.62318840579711</v>
      </c>
      <c r="DP18" s="4" t="n">
        <f aca="false">IFERROR(IF(ISNUMBER(DO18),$C18*DO18,"n/a"),"n/a")</f>
        <v>-0.0704473371095244</v>
      </c>
      <c r="DQ18" s="13" t="n">
        <f aca="false">IFERROR(AVERAGEIF('Pemetaan Variant'!$A$5:$A$32,$B18,'Pemetaan Variant'!$BC$5:$BC$32),"n/a")</f>
        <v>28000</v>
      </c>
      <c r="DR18" s="14" t="n">
        <f aca="false">IFERROR(IF(ISNUMBER(DQ18),(DQ18-AVERAGEIF('Pemetaan Variant'!$A$5:$A$32,$B18,'Pemetaan Variant'!$L$5:$L$32))/AVERAGEIF('Pemetaan Variant'!$A$5:$A$32,$B18,'Pemetaan Variant'!$L$5:$L$32)*100,"n/a"),"n/a")</f>
        <v>-3.62318840579711</v>
      </c>
      <c r="DS18" s="4" t="n">
        <f aca="false">IFERROR(IF(ISNUMBER(DR18),$C18*DR18,"n/a"),"n/a")</f>
        <v>-0.0704473371095244</v>
      </c>
      <c r="DT18" s="13" t="n">
        <f aca="false">IFERROR(AVERAGEIF('Pemetaan Variant'!$A$5:$A$32,$B18,'Pemetaan Variant'!$BD$5:$BD$32),"n/a")</f>
        <v>24800</v>
      </c>
      <c r="DU18" s="14" t="n">
        <f aca="false">IFERROR(IF(ISNUMBER(DT18),(DT18-AVERAGEIF('Pemetaan Variant'!$A$5:$A$32,$B18,'Pemetaan Variant'!$L$5:$L$32))/AVERAGEIF('Pemetaan Variant'!$A$5:$A$32,$B18,'Pemetaan Variant'!$L$5:$L$32)*100,"n/a"),"n/a")</f>
        <v>-14.6376811594203</v>
      </c>
      <c r="DV18" s="4" t="n">
        <f aca="false">IFERROR(IF(ISNUMBER(DU18),$C18*DU18,"n/a"),"n/a")</f>
        <v>-0.284607241922478</v>
      </c>
      <c r="DW18" s="13" t="n">
        <f aca="false">IFERROR(AVERAGEIF('Pemetaan Variant'!$A$5:$A$32,$B18,'Pemetaan Variant'!$BE$5:$BE$32),"n/a")</f>
        <v>25000</v>
      </c>
      <c r="DX18" s="14" t="n">
        <f aca="false">IFERROR(IF(ISNUMBER(DW18),(DW18-AVERAGEIF('Pemetaan Variant'!$A$5:$A$32,$B18,'Pemetaan Variant'!$M$5:$M$32))/AVERAGEIF('Pemetaan Variant'!$A$5:$A$32,$B18,'Pemetaan Variant'!$M$5:$M$32)*100,"n/a"),"n/a")</f>
        <v>-8.65384615384616</v>
      </c>
      <c r="DY18" s="4" t="n">
        <f aca="false">IFERROR(IF(ISNUMBER(DX18),$C18*DX18,"n/a"),"n/a")</f>
        <v>-0.168260755173133</v>
      </c>
      <c r="DZ18" s="13" t="n">
        <f aca="false">IFERROR(AVERAGEIF('Pemetaan Variant'!$A$5:$A$32,$B18,'Pemetaan Variant'!$BF$5:$BF$32),"n/a")</f>
        <v>24400</v>
      </c>
      <c r="EA18" s="14" t="n">
        <f aca="false">IFERROR(IF(ISNUMBER(DZ18),(DZ18-AVERAGEIF('Pemetaan Variant'!$A$5:$A$32,$B18,'Pemetaan Variant'!$M$5:$M$32))/AVERAGEIF('Pemetaan Variant'!$A$5:$A$32,$B18,'Pemetaan Variant'!$M$5:$M$32)*100,"n/a"),"n/a")</f>
        <v>-10.8461538461539</v>
      </c>
      <c r="EB18" s="4" t="n">
        <f aca="false">IFERROR(IF(ISNUMBER(EA18),$C18*EA18,"n/a"),"n/a")</f>
        <v>-0.210886813150327</v>
      </c>
      <c r="EC18" s="13" t="n">
        <f aca="false">IFERROR(AVERAGEIF('Pemetaan Variant'!$A$5:$A$32,$B18,'Pemetaan Variant'!$BG$5:$BG$32),"n/a")</f>
        <v>22000</v>
      </c>
      <c r="ED18" s="14" t="n">
        <f aca="false">IFERROR(IF(ISNUMBER(EC18),(EC18-AVERAGEIF('Pemetaan Variant'!$A$5:$A$32,$B18,'Pemetaan Variant'!$M$5:$M$32))/AVERAGEIF('Pemetaan Variant'!$A$5:$A$32,$B18,'Pemetaan Variant'!$M$5:$M$32)*100,"n/a"),"n/a")</f>
        <v>-19.6153846153846</v>
      </c>
      <c r="EE18" s="4" t="n">
        <f aca="false">IFERROR(IF(ISNUMBER(ED18),$C18*ED18,"n/a"),"n/a")</f>
        <v>-0.381391045059101</v>
      </c>
      <c r="EF18" s="13" t="n">
        <f aca="false">IFERROR(AVERAGEIF('Pemetaan Variant'!$A$5:$A$32,$B18,'Pemetaan Variant'!$BH$5:$BH$32),"n/a")</f>
        <v>23200</v>
      </c>
      <c r="EG18" s="14" t="n">
        <f aca="false">IFERROR(IF(ISNUMBER(EF18),(EF18-AVERAGEIF('Pemetaan Variant'!$A$5:$A$32,$B18,'Pemetaan Variant'!$M$5:$M$32))/AVERAGEIF('Pemetaan Variant'!$A$5:$A$32,$B18,'Pemetaan Variant'!$M$5:$M$32)*100,"n/a"),"n/a")</f>
        <v>-15.2307692307692</v>
      </c>
      <c r="EH18" s="4" t="n">
        <f aca="false">IFERROR(IF(ISNUMBER(EG18),$C18*EG18,"n/a"),"n/a")</f>
        <v>-0.296138929104714</v>
      </c>
      <c r="EI18" s="13" t="n">
        <f aca="false">IFERROR(AVERAGEIF('Pemetaan Variant'!$A$5:$A$32,$B18,'Pemetaan Variant'!$BI$5:$BI$32),"n/a")</f>
        <v>24000</v>
      </c>
      <c r="EJ18" s="14" t="n">
        <f aca="false">IFERROR(IF(ISNUMBER(EI18),(EI18-AVERAGEIF('Pemetaan Variant'!$A$5:$A$32,$B18,'Pemetaan Variant'!$M$5:$M$32))/AVERAGEIF('Pemetaan Variant'!$A$5:$A$32,$B18,'Pemetaan Variant'!$M$5:$M$32)*100,"n/a"),"n/a")</f>
        <v>-12.3076923076923</v>
      </c>
      <c r="EK18" s="4" t="n">
        <f aca="false">IFERROR(IF(ISNUMBER(EJ18),$C18*EJ18,"n/a"),"n/a")</f>
        <v>-0.239304185135123</v>
      </c>
      <c r="EL18" s="13" t="n">
        <f aca="false">IFERROR(AVERAGEIF('Pemetaan Variant'!$A$5:$A$32,$B18,'Pemetaan Variant'!$BJ$5:$BJ$32),"n/a")</f>
        <v>23600</v>
      </c>
      <c r="EM18" s="14" t="n">
        <f aca="false">IFERROR(IF(ISNUMBER(EL18),(EL18-AVERAGEIF('Pemetaan Variant'!$A$5:$A$32,$B18,'Pemetaan Variant'!$N$5:$N$32))/AVERAGEIF('Pemetaan Variant'!$A$5:$A$32,$B18,'Pemetaan Variant'!$N$5:$N$32)*100,"n/a"),"n/a")</f>
        <v>-0.0368324125230162</v>
      </c>
      <c r="EN18" s="4" t="n">
        <f aca="false">IFERROR(IF(ISNUMBER(EM18),$C18*EM18,"n/a"),"n/a")</f>
        <v>-0.000716149725312213</v>
      </c>
      <c r="EO18" s="13" t="n">
        <f aca="false">IFERROR(AVERAGEIF('Pemetaan Variant'!$A$5:$A$32,$B18,'Pemetaan Variant'!$BK$5:$BK$32),"n/a")</f>
        <v>23000</v>
      </c>
      <c r="EP18" s="14" t="n">
        <f aca="false">IFERROR(IF(ISNUMBER(EO18),(EO18-AVERAGEIF('Pemetaan Variant'!$A$5:$A$32,$B18,'Pemetaan Variant'!$N$5:$N$32))/AVERAGEIF('Pemetaan Variant'!$A$5:$A$32,$B18,'Pemetaan Variant'!$N$5:$N$32)*100,"n/a"),"n/a")</f>
        <v>-2.57826887661141</v>
      </c>
      <c r="EQ18" s="4" t="n">
        <f aca="false">IFERROR(IF(ISNUMBER(EP18),$C18*EP18,"n/a"),"n/a")</f>
        <v>-0.0501304807718603</v>
      </c>
      <c r="ER18" s="13" t="n">
        <f aca="false">IFERROR(AVERAGEIF('Pemetaan Variant'!$A$5:$A$32,$B18,'Pemetaan Variant'!$BL$5:$BL$32),"n/a")</f>
        <v>24600</v>
      </c>
      <c r="ES18" s="14" t="n">
        <f aca="false">IFERROR(IF(ISNUMBER(ER18),(ER18-AVERAGEIF('Pemetaan Variant'!$A$5:$A$32,$B18,'Pemetaan Variant'!$N$5:$N$32))/AVERAGEIF('Pemetaan Variant'!$A$5:$A$32,$B18,'Pemetaan Variant'!$N$5:$N$32)*100,"n/a"),"n/a")</f>
        <v>4.19889502762431</v>
      </c>
      <c r="ET18" s="4" t="n">
        <f aca="false">IFERROR(IF(ISNUMBER(ES18),$C18*ES18,"n/a"),"n/a")</f>
        <v>0.0816410686856013</v>
      </c>
      <c r="EU18" s="13" t="n">
        <f aca="false">IFERROR(AVERAGEIF('Pemetaan Variant'!$A$5:$A$32,$B18,'Pemetaan Variant'!$BM$5:$BM$32),"n/a")</f>
        <v>25400</v>
      </c>
      <c r="EV18" s="14" t="n">
        <f aca="false">IFERROR(IF(ISNUMBER(EU18),(EU18-AVERAGEIF('Pemetaan Variant'!$A$5:$A$32,$B18,'Pemetaan Variant'!$N$5:$N$32))/AVERAGEIF('Pemetaan Variant'!$A$5:$A$32,$B18,'Pemetaan Variant'!$N$5:$N$32)*100,"n/a"),"n/a")</f>
        <v>7.58747697974218</v>
      </c>
      <c r="EW18" s="4" t="n">
        <f aca="false">IFERROR(IF(ISNUMBER(EV18),$C18*EV18,"n/a"),"n/a")</f>
        <v>0.147526843414332</v>
      </c>
      <c r="EX18" s="13" t="n">
        <f aca="false">IFERROR(AVERAGEIF('Pemetaan Variant'!$A$5:$A$32,$B18,'Pemetaan Variant'!$BN$5:$BN$32),"n/a")</f>
        <v>26400</v>
      </c>
      <c r="EY18" s="14" t="n">
        <f aca="false">IFERROR(IF(ISNUMBER(EX18),(EX18-AVERAGEIF('Pemetaan Variant'!$A$5:$A$32,$B18,'Pemetaan Variant'!$O$5:$O$32))/AVERAGEIF('Pemetaan Variant'!$A$5:$A$32,$B18,'Pemetaan Variant'!$O$5:$O$32)*100,"n/a"),"n/a")</f>
        <v>9.3167701863354</v>
      </c>
      <c r="EZ18" s="4" t="n">
        <f aca="false">IFERROR(IF(ISNUMBER(EY18),$C18*EY18,"n/a"),"n/a")</f>
        <v>0.181150295424491</v>
      </c>
      <c r="FA18" s="13" t="n">
        <f aca="false">IFERROR(AVERAGEIF('Pemetaan Variant'!$A$5:$A$32,$B18,'Pemetaan Variant'!$BO$5:$BO$32),"n/a")</f>
        <v>26600</v>
      </c>
      <c r="FB18" s="14" t="n">
        <f aca="false">IFERROR(IF(ISNUMBER(FA18),(FA18-AVERAGEIF('Pemetaan Variant'!$A$5:$A$32,$B18,'Pemetaan Variant'!$O$5:$O$32))/AVERAGEIF('Pemetaan Variant'!$A$5:$A$32,$B18,'Pemetaan Variant'!$O$5:$O$32)*100,"n/a"),"n/a")</f>
        <v>10.1449275362319</v>
      </c>
      <c r="FC18" s="4" t="n">
        <f aca="false">IFERROR(IF(ISNUMBER(FB18),$C18*FB18,"n/a"),"n/a")</f>
        <v>0.197252543906668</v>
      </c>
      <c r="FD18" s="13" t="n">
        <f aca="false">IFERROR(AVERAGEIF('Pemetaan Variant'!$A$5:$A$32,$B18,'Pemetaan Variant'!$BP$5:$BP$32),"n/a")</f>
        <v>26000</v>
      </c>
      <c r="FE18" s="14" t="n">
        <f aca="false">IFERROR(IF(ISNUMBER(FD18),(FD18-AVERAGEIF('Pemetaan Variant'!$A$5:$A$32,$B18,'Pemetaan Variant'!$O$5:$O$32))/AVERAGEIF('Pemetaan Variant'!$A$5:$A$32,$B18,'Pemetaan Variant'!$O$5:$O$32)*100,"n/a"),"n/a")</f>
        <v>7.66045548654244</v>
      </c>
      <c r="FF18" s="4" t="n">
        <f aca="false">IFERROR(IF(ISNUMBER(FE18),$C18*FE18,"n/a"),"n/a")</f>
        <v>0.148945798460137</v>
      </c>
      <c r="FG18" s="13" t="n">
        <f aca="false">IFERROR(AVERAGEIF('Pemetaan Variant'!$A$5:$A$32,$B18,'Pemetaan Variant'!$BQ$5:$BQ$32),"n/a")</f>
        <v>27333.3333333333</v>
      </c>
      <c r="FH18" s="14" t="n">
        <f aca="false">IFERROR(IF(ISNUMBER(FG18),(FG18-AVERAGEIF('Pemetaan Variant'!$A$5:$A$32,$B18,'Pemetaan Variant'!$O$5:$O$32))/AVERAGEIF('Pemetaan Variant'!$A$5:$A$32,$B18,'Pemetaan Variant'!$O$5:$O$32)*100,"n/a"),"n/a")</f>
        <v>13.1815044858523</v>
      </c>
      <c r="FI18" s="4" t="n">
        <f aca="false">IFERROR(IF(ISNUMBER(FH18),$C18*FH18,"n/a"),"n/a")</f>
        <v>0.25629412167465</v>
      </c>
      <c r="FJ18" s="13" t="n">
        <f aca="false">IFERROR(AVERAGEIF('Pemetaan Variant'!$A$5:$A$32,$B18,'Pemetaan Variant'!$BR$5:$BR$32),"n/a")</f>
        <v>28000</v>
      </c>
      <c r="FK18" s="14" t="n">
        <f aca="false">IFERROR(IF(ISNUMBER(FJ18),(FJ18-AVERAGEIF('Pemetaan Variant'!$A$5:$A$32,$B18,'Pemetaan Variant'!$O$5:$O$32))/AVERAGEIF('Pemetaan Variant'!$A$5:$A$32,$B18,'Pemetaan Variant'!$O$5:$O$32)*100,"n/a"),"n/a")</f>
        <v>15.9420289855072</v>
      </c>
      <c r="FL18" s="4" t="n">
        <f aca="false">IFERROR(IF(ISNUMBER(FK18),$C18*FK18,"n/a"),"n/a")</f>
        <v>0.309968283281907</v>
      </c>
      <c r="FM18" s="15"/>
      <c r="FO18" s="11" t="n">
        <f aca="false">IFERROR(ABS(F18),0)</f>
        <v>0.247462282355638</v>
      </c>
      <c r="FP18" s="11" t="n">
        <f aca="false">IFERROR(ABS(I18),0)</f>
        <v>0.247462282355638</v>
      </c>
      <c r="FQ18" s="11" t="n">
        <f aca="false">IFERROR(ABS(L18),0)</f>
        <v>0.247462282355638</v>
      </c>
      <c r="FR18" s="11" t="n">
        <f aca="false">IFERROR(ABS(O18),0)</f>
        <v>0.318165791600106</v>
      </c>
      <c r="FS18" s="11" t="n">
        <f aca="false">IFERROR(ABS(R18),0)</f>
        <v>0.318165791600106</v>
      </c>
      <c r="FT18" s="11" t="n">
        <f aca="false">IFERROR(ABS(U18),0)</f>
        <v>0.0396230969123368</v>
      </c>
      <c r="FU18" s="11" t="n">
        <f aca="false">IFERROR(ABS(X18),0)</f>
        <v>0.0303127517362141</v>
      </c>
      <c r="FV18" s="11" t="n">
        <f aca="false">IFERROR(ABS(AA18),0)</f>
        <v>0.0303127517362141</v>
      </c>
      <c r="FW18" s="11" t="n">
        <f aca="false">IFERROR(ABS(AD18),0)</f>
        <v>0.0303127517362141</v>
      </c>
      <c r="FX18" s="11" t="n">
        <f aca="false">IFERROR(ABS(AG18),0)</f>
        <v>0.018292136453674</v>
      </c>
      <c r="FY18" s="11" t="n">
        <f aca="false">IFERROR(ABS(AJ18),0)</f>
        <v>0.018292136453674</v>
      </c>
      <c r="FZ18" s="11" t="n">
        <f aca="false">IFERROR(ABS(AM18),0)</f>
        <v>0.116424068487501</v>
      </c>
      <c r="GA18" s="11" t="n">
        <f aca="false">IFERROR(ABS(AP18),0)</f>
        <v>0.263621966538242</v>
      </c>
      <c r="GB18" s="11" t="n">
        <f aca="false">IFERROR(ABS(AS18),0)</f>
        <v>0</v>
      </c>
      <c r="GC18" s="11" t="n">
        <f aca="false">IFERROR(ABS(AV18),0)</f>
        <v>0</v>
      </c>
      <c r="GD18" s="11" t="n">
        <f aca="false">IFERROR(ABS(AY18),0)</f>
        <v>0.783481397271241</v>
      </c>
      <c r="GE18" s="11" t="n">
        <f aca="false">IFERROR(ABS(BB18),0)</f>
        <v>0.783481397271241</v>
      </c>
      <c r="GF18" s="11" t="n">
        <f aca="false">IFERROR(ABS(BE18),0)</f>
        <v>0.752306221254166</v>
      </c>
      <c r="GG18" s="11" t="n">
        <f aca="false">IFERROR(ABS(BH18),0)</f>
        <v>0.341833070362671</v>
      </c>
      <c r="GH18" s="11" t="n">
        <f aca="false">IFERROR(ABS(BK18),0)</f>
        <v>0.276736933133384</v>
      </c>
      <c r="GI18" s="11" t="n">
        <f aca="false">IFERROR(ABS(BN18),0)</f>
        <v>0.253735421808012</v>
      </c>
      <c r="GJ18" s="11" t="n">
        <f aca="false">IFERROR(ABS(BQ18),0)</f>
        <v>0.219233154819954</v>
      </c>
      <c r="GK18" s="11" t="n">
        <f aca="false">IFERROR(ABS(BT18),0)</f>
        <v>0.219233154819954</v>
      </c>
      <c r="GL18" s="11" t="n">
        <f aca="false">IFERROR(ABS(BW18),0)</f>
        <v>0.295904859237861</v>
      </c>
      <c r="GM18" s="11" t="n">
        <f aca="false">IFERROR(ABS(BZ18),0)</f>
        <v>0.212057711366937</v>
      </c>
      <c r="GN18" s="11" t="n">
        <f aca="false">IFERROR(ABS(CC18),0)</f>
        <v>0.133625407162727</v>
      </c>
      <c r="GO18" s="11" t="n">
        <f aca="false">IFERROR(ABS(CF18),0)</f>
        <v>0.548445149398324</v>
      </c>
      <c r="GP18" s="11" t="n">
        <f aca="false">IFERROR(ABS(CI18),0)</f>
        <v>0.495769626574756</v>
      </c>
      <c r="GQ18" s="11" t="n">
        <f aca="false">IFERROR(ABS(CL18),0)</f>
        <v>0.234662509130346</v>
      </c>
      <c r="GR18" s="11" t="n">
        <f aca="false">IFERROR(ABS(CO18),0)</f>
        <v>0.0768799077531802</v>
      </c>
      <c r="GS18" s="11" t="n">
        <f aca="false">IFERROR(ABS(CR18),0)</f>
        <v>0.046485525618202</v>
      </c>
      <c r="GT18" s="11" t="n">
        <f aca="false">IFERROR(ABS(CU18),0)</f>
        <v>0.183260245225604</v>
      </c>
      <c r="GU18" s="11" t="n">
        <f aca="false">IFERROR(ABS(CX18),0)</f>
        <v>0.183260245225604</v>
      </c>
      <c r="GV18" s="11" t="n">
        <f aca="false">IFERROR(ABS(DA18),0)</f>
        <v>0.121922718086583</v>
      </c>
      <c r="GW18" s="11" t="n">
        <f aca="false">IFERROR(ABS(DD18),0)</f>
        <v>0.151440849833861</v>
      </c>
      <c r="GX18" s="11" t="n">
        <f aca="false">IFERROR(ABS(DG18),0)</f>
        <v>0.269513376822972</v>
      </c>
      <c r="GY18" s="11" t="n">
        <f aca="false">IFERROR(ABS(DJ18),0)</f>
        <v>0.269513376822972</v>
      </c>
      <c r="GZ18" s="11" t="n">
        <f aca="false">IFERROR(ABS(DM18),0)</f>
        <v>0.00352236685547633</v>
      </c>
      <c r="HA18" s="11" t="n">
        <f aca="false">IFERROR(ABS(DP18),0)</f>
        <v>0.0704473371095244</v>
      </c>
      <c r="HB18" s="11" t="n">
        <f aca="false">IFERROR(ABS(DS18),0)</f>
        <v>0.0704473371095244</v>
      </c>
      <c r="HC18" s="11" t="n">
        <f aca="false">IFERROR(ABS(DV18),0)</f>
        <v>0.284607241922478</v>
      </c>
      <c r="HD18" s="11" t="n">
        <f aca="false">IFERROR(ABS(DY18),0)</f>
        <v>0.168260755173133</v>
      </c>
      <c r="HE18" s="11" t="n">
        <f aca="false">IFERROR(ABS(EB18),0)</f>
        <v>0.210886813150327</v>
      </c>
      <c r="HF18" s="11" t="n">
        <f aca="false">IFERROR(ABS(EE18),0)</f>
        <v>0.381391045059101</v>
      </c>
      <c r="HG18" s="11" t="n">
        <f aca="false">IFERROR(ABS(EH18),0)</f>
        <v>0.296138929104714</v>
      </c>
      <c r="HH18" s="11" t="n">
        <f aca="false">IFERROR(ABS(EK18),0)</f>
        <v>0.239304185135123</v>
      </c>
      <c r="HI18" s="11" t="n">
        <f aca="false">IFERROR(ABS(EN18),0)</f>
        <v>0.000716149725312213</v>
      </c>
      <c r="HJ18" s="11" t="n">
        <f aca="false">IFERROR(ABS(EQ18),0)</f>
        <v>0.0501304807718603</v>
      </c>
      <c r="HK18" s="11" t="n">
        <f aca="false">IFERROR(ABS(ET18),0)</f>
        <v>0.0816410686856013</v>
      </c>
      <c r="HL18" s="11" t="n">
        <f aca="false">IFERROR(ABS(EW18),0)</f>
        <v>0.147526843414332</v>
      </c>
      <c r="HM18" s="11" t="n">
        <f aca="false">IFERROR(ABS(EZ18),0)</f>
        <v>0.181150295424491</v>
      </c>
      <c r="HN18" s="11" t="n">
        <f aca="false">IFERROR(ABS(FC18),0)</f>
        <v>0.197252543906668</v>
      </c>
      <c r="HO18" s="11" t="n">
        <f aca="false">IFERROR(ABS(FF18),0)</f>
        <v>0.148945798460137</v>
      </c>
      <c r="HP18" s="11" t="n">
        <f aca="false">IFERROR(ABS(FI18),0)</f>
        <v>0.25629412167465</v>
      </c>
      <c r="HQ18" s="11" t="n">
        <f aca="false">IFERROR(ABS(FL18),0)</f>
        <v>0.309968283281907</v>
      </c>
    </row>
    <row r="19" customFormat="false" ht="15" hidden="false" customHeight="false" outlineLevel="0" collapsed="false">
      <c r="A19" s="3" t="n">
        <v>14</v>
      </c>
      <c r="B19" s="3" t="s">
        <v>251</v>
      </c>
      <c r="C19" s="12" t="n">
        <f aca="false">'P0Q0 Dasar 2022'!F18</f>
        <v>0.0128006139283175</v>
      </c>
      <c r="D19" s="13" t="n">
        <f aca="false">IFERROR(AVERAGEIF('Pemetaan Variant'!$A$5:$A$32,$B19,'Pemetaan Variant'!$P$5:$P$32),"n/a")</f>
        <v>36000</v>
      </c>
      <c r="E19" s="14" t="n">
        <f aca="false">IFERROR(IF(ISNUMBER(D19),(D19-AVERAGEIF('Pemetaan Variant'!$A$5:$A$32,$B19,'Pemetaan Variant'!$D$5:$D$32))/AVERAGEIF('Pemetaan Variant'!$A$5:$A$32,$B19,'Pemetaan Variant'!$D$5:$D$32)*100,"n/a"),"n/a")</f>
        <v>-2.18867924528302</v>
      </c>
      <c r="F19" s="4" t="n">
        <f aca="false">IFERROR(IF(ISNUMBER(E19),$C19*E19,"n/a"),"n/a")</f>
        <v>-0.0280164380317892</v>
      </c>
      <c r="G19" s="13" t="n">
        <f aca="false">IFERROR(AVERAGEIF('Pemetaan Variant'!$A$5:$A$32,$B19,'Pemetaan Variant'!$Q$5:$Q$32),"n/a")</f>
        <v>36000</v>
      </c>
      <c r="H19" s="14" t="n">
        <f aca="false">IFERROR(IF(ISNUMBER(G19),(G19-AVERAGEIF('Pemetaan Variant'!$A$5:$A$32,$B19,'Pemetaan Variant'!$D$5:$D$32))/AVERAGEIF('Pemetaan Variant'!$A$5:$A$32,$B19,'Pemetaan Variant'!$D$5:$D$32)*100,"n/a"),"n/a")</f>
        <v>-2.18867924528302</v>
      </c>
      <c r="I19" s="4" t="n">
        <f aca="false">IFERROR(IF(ISNUMBER(H19),$C19*H19,"n/a"),"n/a")</f>
        <v>-0.0280164380317892</v>
      </c>
      <c r="J19" s="13" t="n">
        <f aca="false">IFERROR(AVERAGEIF('Pemetaan Variant'!$A$5:$A$32,$B19,'Pemetaan Variant'!$R$5:$R$32),"n/a")</f>
        <v>36000</v>
      </c>
      <c r="K19" s="14" t="n">
        <f aca="false">IFERROR(IF(ISNUMBER(J19),(J19-AVERAGEIF('Pemetaan Variant'!$A$5:$A$32,$B19,'Pemetaan Variant'!$D$5:$D$32))/AVERAGEIF('Pemetaan Variant'!$A$5:$A$32,$B19,'Pemetaan Variant'!$D$5:$D$32)*100,"n/a"),"n/a")</f>
        <v>-2.18867924528302</v>
      </c>
      <c r="L19" s="4" t="n">
        <f aca="false">IFERROR(IF(ISNUMBER(K19),$C19*K19,"n/a"),"n/a")</f>
        <v>-0.0280164380317892</v>
      </c>
      <c r="M19" s="13" t="n">
        <f aca="false">IFERROR(AVERAGEIF('Pemetaan Variant'!$A$5:$A$32,$B19,'Pemetaan Variant'!$S$5:$S$32),"n/a")</f>
        <v>36000</v>
      </c>
      <c r="N19" s="14" t="n">
        <f aca="false">IFERROR(IF(ISNUMBER(M19),(M19-AVERAGEIF('Pemetaan Variant'!$A$5:$A$32,$B19,'Pemetaan Variant'!$D$5:$D$32))/AVERAGEIF('Pemetaan Variant'!$A$5:$A$32,$B19,'Pemetaan Variant'!$D$5:$D$32)*100,"n/a"),"n/a")</f>
        <v>-2.18867924528302</v>
      </c>
      <c r="O19" s="4" t="n">
        <f aca="false">IFERROR(IF(ISNUMBER(N19),$C19*N19,"n/a"),"n/a")</f>
        <v>-0.0280164380317892</v>
      </c>
      <c r="P19" s="13" t="n">
        <f aca="false">IFERROR(AVERAGEIF('Pemetaan Variant'!$A$5:$A$32,$B19,'Pemetaan Variant'!$T$5:$T$32),"n/a")</f>
        <v>36000</v>
      </c>
      <c r="Q19" s="14" t="n">
        <f aca="false">IFERROR(IF(ISNUMBER(P19),(P19-AVERAGEIF('Pemetaan Variant'!$A$5:$A$32,$B19,'Pemetaan Variant'!$D$5:$D$32))/AVERAGEIF('Pemetaan Variant'!$A$5:$A$32,$B19,'Pemetaan Variant'!$D$5:$D$32)*100,"n/a"),"n/a")</f>
        <v>-2.18867924528302</v>
      </c>
      <c r="R19" s="4" t="n">
        <f aca="false">IFERROR(IF(ISNUMBER(Q19),$C19*Q19,"n/a"),"n/a")</f>
        <v>-0.0280164380317892</v>
      </c>
      <c r="S19" s="13" t="n">
        <f aca="false">IFERROR(AVERAGEIF('Pemetaan Variant'!$A$5:$A$32,$B19,'Pemetaan Variant'!$U$5:$U$32),"n/a")</f>
        <v>36000</v>
      </c>
      <c r="T19" s="14" t="n">
        <f aca="false">IFERROR(IF(ISNUMBER(S19),(S19-AVERAGEIF('Pemetaan Variant'!$A$5:$A$32,$B19,'Pemetaan Variant'!$E$5:$E$32))/AVERAGEIF('Pemetaan Variant'!$A$5:$A$32,$B19,'Pemetaan Variant'!$E$5:$E$32)*100,"n/a"),"n/a")</f>
        <v>0</v>
      </c>
      <c r="U19" s="4" t="n">
        <f aca="false">IFERROR(IF(ISNUMBER(T19),$C19*T19,"n/a"),"n/a")</f>
        <v>0</v>
      </c>
      <c r="V19" s="13" t="n">
        <f aca="false">IFERROR(AVERAGEIF('Pemetaan Variant'!$A$5:$A$32,$B19,'Pemetaan Variant'!$V$5:$V$32),"n/a")</f>
        <v>36500</v>
      </c>
      <c r="W19" s="14" t="n">
        <f aca="false">IFERROR(IF(ISNUMBER(V19),(V19-AVERAGEIF('Pemetaan Variant'!$A$5:$A$32,$B19,'Pemetaan Variant'!$E$5:$E$32))/AVERAGEIF('Pemetaan Variant'!$A$5:$A$32,$B19,'Pemetaan Variant'!$E$5:$E$32)*100,"n/a"),"n/a")</f>
        <v>1.38888888888889</v>
      </c>
      <c r="X19" s="4" t="n">
        <f aca="false">IFERROR(IF(ISNUMBER(W19),$C19*W19,"n/a"),"n/a")</f>
        <v>0.0177786304559965</v>
      </c>
      <c r="Y19" s="13" t="n">
        <f aca="false">IFERROR(AVERAGEIF('Pemetaan Variant'!$A$5:$A$32,$B19,'Pemetaan Variant'!$W$5:$W$32),"n/a")</f>
        <v>37000</v>
      </c>
      <c r="Z19" s="14" t="n">
        <f aca="false">IFERROR(IF(ISNUMBER(Y19),(Y19-AVERAGEIF('Pemetaan Variant'!$A$5:$A$32,$B19,'Pemetaan Variant'!$E$5:$E$32))/AVERAGEIF('Pemetaan Variant'!$A$5:$A$32,$B19,'Pemetaan Variant'!$E$5:$E$32)*100,"n/a"),"n/a")</f>
        <v>2.77777777777778</v>
      </c>
      <c r="AA19" s="4" t="n">
        <f aca="false">IFERROR(IF(ISNUMBER(Z19),$C19*Z19,"n/a"),"n/a")</f>
        <v>0.0355572609119931</v>
      </c>
      <c r="AB19" s="13" t="n">
        <f aca="false">IFERROR(AVERAGEIF('Pemetaan Variant'!$A$5:$A$32,$B19,'Pemetaan Variant'!$X$5:$X$32),"n/a")</f>
        <v>37000</v>
      </c>
      <c r="AC19" s="14" t="n">
        <f aca="false">IFERROR(IF(ISNUMBER(AB19),(AB19-AVERAGEIF('Pemetaan Variant'!$A$5:$A$32,$B19,'Pemetaan Variant'!$E$5:$E$32))/AVERAGEIF('Pemetaan Variant'!$A$5:$A$32,$B19,'Pemetaan Variant'!$E$5:$E$32)*100,"n/a"),"n/a")</f>
        <v>2.77777777777778</v>
      </c>
      <c r="AD19" s="4" t="n">
        <f aca="false">IFERROR(IF(ISNUMBER(AC19),$C19*AC19,"n/a"),"n/a")</f>
        <v>0.0355572609119931</v>
      </c>
      <c r="AE19" s="13" t="n">
        <f aca="false">IFERROR(AVERAGEIF('Pemetaan Variant'!$A$5:$A$32,$B19,'Pemetaan Variant'!$Y$5:$Y$32),"n/a")</f>
        <v>36200</v>
      </c>
      <c r="AF19" s="14" t="n">
        <f aca="false">IFERROR(IF(ISNUMBER(AE19),(AE19-AVERAGEIF('Pemetaan Variant'!$A$5:$A$32,$B19,'Pemetaan Variant'!$F$5:$F$32))/AVERAGEIF('Pemetaan Variant'!$A$5:$A$32,$B19,'Pemetaan Variant'!$F$5:$F$32)*100,"n/a"),"n/a")</f>
        <v>-1.10711718188353</v>
      </c>
      <c r="AG19" s="4" t="n">
        <f aca="false">IFERROR(IF(ISNUMBER(AF19),$C19*AF19,"n/a"),"n/a")</f>
        <v>-0.0141717796186979</v>
      </c>
      <c r="AH19" s="13" t="n">
        <f aca="false">IFERROR(AVERAGEIF('Pemetaan Variant'!$A$5:$A$32,$B19,'Pemetaan Variant'!$Z$5:$Z$32),"n/a")</f>
        <v>36000</v>
      </c>
      <c r="AI19" s="14" t="n">
        <f aca="false">IFERROR(IF(ISNUMBER(AH19),(AH19-AVERAGEIF('Pemetaan Variant'!$A$5:$A$32,$B19,'Pemetaan Variant'!$F$5:$F$32))/AVERAGEIF('Pemetaan Variant'!$A$5:$A$32,$B19,'Pemetaan Variant'!$F$5:$F$32)*100,"n/a"),"n/a")</f>
        <v>-1.65348670021566</v>
      </c>
      <c r="AJ19" s="4" t="n">
        <f aca="false">IFERROR(IF(ISNUMBER(AI19),$C19*AI19,"n/a"),"n/a")</f>
        <v>-0.0211656448850683</v>
      </c>
      <c r="AK19" s="13" t="n">
        <f aca="false">IFERROR(AVERAGEIF('Pemetaan Variant'!$A$5:$A$32,$B19,'Pemetaan Variant'!$AA$5:$AA$32),"n/a")</f>
        <v>36000</v>
      </c>
      <c r="AL19" s="14" t="n">
        <f aca="false">IFERROR(IF(ISNUMBER(AK19),(AK19-AVERAGEIF('Pemetaan Variant'!$A$5:$A$32,$B19,'Pemetaan Variant'!$F$5:$F$32))/AVERAGEIF('Pemetaan Variant'!$A$5:$A$32,$B19,'Pemetaan Variant'!$F$5:$F$32)*100,"n/a"),"n/a")</f>
        <v>-1.65348670021566</v>
      </c>
      <c r="AM19" s="4" t="n">
        <f aca="false">IFERROR(IF(ISNUMBER(AL19),$C19*AL19,"n/a"),"n/a")</f>
        <v>-0.0211656448850683</v>
      </c>
      <c r="AN19" s="13" t="n">
        <f aca="false">IFERROR(AVERAGEIF('Pemetaan Variant'!$A$5:$A$32,$B19,'Pemetaan Variant'!$AB$5:$AB$32),"n/a")</f>
        <v>36250</v>
      </c>
      <c r="AO19" s="14" t="n">
        <f aca="false">IFERROR(IF(ISNUMBER(AN19),(AN19-AVERAGEIF('Pemetaan Variant'!$A$5:$A$32,$B19,'Pemetaan Variant'!$F$5:$F$32))/AVERAGEIF('Pemetaan Variant'!$A$5:$A$32,$B19,'Pemetaan Variant'!$F$5:$F$32)*100,"n/a"),"n/a")</f>
        <v>-0.970524802300493</v>
      </c>
      <c r="AP19" s="4" t="n">
        <f aca="false">IFERROR(IF(ISNUMBER(AO19),$C19*AO19,"n/a"),"n/a")</f>
        <v>-0.0124233133021053</v>
      </c>
      <c r="AQ19" s="13" t="str">
        <f aca="false">IFERROR(AVERAGEIF('Pemetaan Variant'!$A$5:$A$32,$B19,'Pemetaan Variant'!$AC$5:$AC$32),"n/a")</f>
        <v>n/a</v>
      </c>
      <c r="AR19" s="14" t="str">
        <f aca="false">IFERROR(IF(ISNUMBER(AQ19),(AQ19-AVERAGEIF('Pemetaan Variant'!$A$5:$A$32,$B19,'Pemetaan Variant'!$F$5:$F$32))/AVERAGEIF('Pemetaan Variant'!$A$5:$A$32,$B19,'Pemetaan Variant'!$F$5:$F$32)*100,"n/a"),"n/a")</f>
        <v>n/a</v>
      </c>
      <c r="AS19" s="4" t="str">
        <f aca="false">IFERROR(IF(ISNUMBER(AR19),$C19*AR19,"n/a"),"n/a")</f>
        <v>n/a</v>
      </c>
      <c r="AT19" s="13" t="str">
        <f aca="false">IFERROR(AVERAGEIF('Pemetaan Variant'!$A$5:$A$32,$B19,'Pemetaan Variant'!$AD$5:$AD$32),"n/a")</f>
        <v>n/a</v>
      </c>
      <c r="AU19" s="14" t="str">
        <f aca="false">IFERROR(IF(ISNUMBER(AT19),(AT19-AVERAGEIF('Pemetaan Variant'!$A$5:$A$32,$B19,'Pemetaan Variant'!$G$5:$G$32))/AVERAGEIF('Pemetaan Variant'!$A$5:$A$32,$B19,'Pemetaan Variant'!$G$5:$G$32)*100,"n/a"),"n/a")</f>
        <v>n/a</v>
      </c>
      <c r="AV19" s="4" t="str">
        <f aca="false">IFERROR(IF(ISNUMBER(AU19),$C19*AU19,"n/a"),"n/a")</f>
        <v>n/a</v>
      </c>
      <c r="AW19" s="13" t="n">
        <f aca="false">IFERROR(AVERAGEIF('Pemetaan Variant'!$A$5:$A$32,$B19,'Pemetaan Variant'!$AE$5:$AE$32),"n/a")</f>
        <v>37500</v>
      </c>
      <c r="AX19" s="14" t="n">
        <f aca="false">IFERROR(IF(ISNUMBER(AW19),(AW19-AVERAGEIF('Pemetaan Variant'!$A$5:$A$32,$B19,'Pemetaan Variant'!$G$5:$G$32))/AVERAGEIF('Pemetaan Variant'!$A$5:$A$32,$B19,'Pemetaan Variant'!$G$5:$G$32)*100,"n/a"),"n/a")</f>
        <v>3.86297376093293</v>
      </c>
      <c r="AY19" s="4" t="n">
        <f aca="false">IFERROR(IF(ISNUMBER(AX19),$C19*AX19,"n/a"),"n/a")</f>
        <v>0.0494484357289232</v>
      </c>
      <c r="AZ19" s="13" t="n">
        <f aca="false">IFERROR(AVERAGEIF('Pemetaan Variant'!$A$5:$A$32,$B19,'Pemetaan Variant'!$AF$5:$AF$32),"n/a")</f>
        <v>35500</v>
      </c>
      <c r="BA19" s="14" t="n">
        <f aca="false">IFERROR(IF(ISNUMBER(AZ19),(AZ19-AVERAGEIF('Pemetaan Variant'!$A$5:$A$32,$B19,'Pemetaan Variant'!$G$5:$G$32))/AVERAGEIF('Pemetaan Variant'!$A$5:$A$32,$B19,'Pemetaan Variant'!$G$5:$G$32)*100,"n/a"),"n/a")</f>
        <v>-1.67638483965016</v>
      </c>
      <c r="BB19" s="4" t="n">
        <f aca="false">IFERROR(IF(ISNUMBER(BA19),$C19*BA19,"n/a"),"n/a")</f>
        <v>-0.0214587551276461</v>
      </c>
      <c r="BC19" s="13" t="n">
        <f aca="false">IFERROR(AVERAGEIF('Pemetaan Variant'!$A$5:$A$32,$B19,'Pemetaan Variant'!$AG$5:$AG$32),"n/a")</f>
        <v>35100</v>
      </c>
      <c r="BD19" s="14" t="n">
        <f aca="false">IFERROR(IF(ISNUMBER(BC19),(BC19-AVERAGEIF('Pemetaan Variant'!$A$5:$A$32,$B19,'Pemetaan Variant'!$G$5:$G$32))/AVERAGEIF('Pemetaan Variant'!$A$5:$A$32,$B19,'Pemetaan Variant'!$G$5:$G$32)*100,"n/a"),"n/a")</f>
        <v>-2.78425655976677</v>
      </c>
      <c r="BE19" s="4" t="n">
        <f aca="false">IFERROR(IF(ISNUMBER(BD19),$C19*BD19,"n/a"),"n/a")</f>
        <v>-0.0356401932989599</v>
      </c>
      <c r="BF19" s="13" t="n">
        <f aca="false">IFERROR(AVERAGEIF('Pemetaan Variant'!$A$5:$A$32,$B19,'Pemetaan Variant'!$AH$5:$AH$32),"n/a")</f>
        <v>32500</v>
      </c>
      <c r="BG19" s="14" t="n">
        <f aca="false">IFERROR(IF(ISNUMBER(BF19),(BF19-AVERAGEIF('Pemetaan Variant'!$A$5:$A$32,$B19,'Pemetaan Variant'!$G$5:$G$32))/AVERAGEIF('Pemetaan Variant'!$A$5:$A$32,$B19,'Pemetaan Variant'!$G$5:$G$32)*100,"n/a"),"n/a")</f>
        <v>-9.98542274052479</v>
      </c>
      <c r="BH19" s="4" t="n">
        <f aca="false">IFERROR(IF(ISNUMBER(BG19),$C19*BG19,"n/a"),"n/a")</f>
        <v>-0.1278195414125</v>
      </c>
      <c r="BI19" s="13" t="n">
        <f aca="false">IFERROR(AVERAGEIF('Pemetaan Variant'!$A$5:$A$32,$B19,'Pemetaan Variant'!$AI$5:$AI$32),"n/a")</f>
        <v>32500</v>
      </c>
      <c r="BJ19" s="14" t="n">
        <f aca="false">IFERROR(IF(ISNUMBER(BI19),(BI19-AVERAGEIF('Pemetaan Variant'!$A$5:$A$32,$B19,'Pemetaan Variant'!$H$5:$H$32))/AVERAGEIF('Pemetaan Variant'!$A$5:$A$32,$B19,'Pemetaan Variant'!$H$5:$H$32)*100,"n/a"),"n/a")</f>
        <v>-7.9646017699115</v>
      </c>
      <c r="BK19" s="4" t="n">
        <f aca="false">IFERROR(IF(ISNUMBER(BJ19),$C19*BJ19,"n/a"),"n/a")</f>
        <v>-0.101951792349431</v>
      </c>
      <c r="BL19" s="13" t="n">
        <f aca="false">IFERROR(AVERAGEIF('Pemetaan Variant'!$A$5:$A$32,$B19,'Pemetaan Variant'!$AJ$5:$AJ$32),"n/a")</f>
        <v>32500</v>
      </c>
      <c r="BM19" s="14" t="n">
        <f aca="false">IFERROR(IF(ISNUMBER(BL19),(BL19-AVERAGEIF('Pemetaan Variant'!$A$5:$A$32,$B19,'Pemetaan Variant'!$H$5:$H$32))/AVERAGEIF('Pemetaan Variant'!$A$5:$A$32,$B19,'Pemetaan Variant'!$H$5:$H$32)*100,"n/a"),"n/a")</f>
        <v>-7.9646017699115</v>
      </c>
      <c r="BN19" s="4" t="n">
        <f aca="false">IFERROR(IF(ISNUMBER(BM19),$C19*BM19,"n/a"),"n/a")</f>
        <v>-0.101951792349431</v>
      </c>
      <c r="BO19" s="13" t="n">
        <f aca="false">IFERROR(AVERAGEIF('Pemetaan Variant'!$A$5:$A$32,$B19,'Pemetaan Variant'!$AK$5:$AK$32),"n/a")</f>
        <v>32500</v>
      </c>
      <c r="BP19" s="14" t="n">
        <f aca="false">IFERROR(IF(ISNUMBER(BO19),(BO19-AVERAGEIF('Pemetaan Variant'!$A$5:$A$32,$B19,'Pemetaan Variant'!$H$5:$H$32))/AVERAGEIF('Pemetaan Variant'!$A$5:$A$32,$B19,'Pemetaan Variant'!$H$5:$H$32)*100,"n/a"),"n/a")</f>
        <v>-7.9646017699115</v>
      </c>
      <c r="BQ19" s="4" t="n">
        <f aca="false">IFERROR(IF(ISNUMBER(BP19),$C19*BP19,"n/a"),"n/a")</f>
        <v>-0.101951792349431</v>
      </c>
      <c r="BR19" s="13" t="n">
        <f aca="false">IFERROR(AVERAGEIF('Pemetaan Variant'!$A$5:$A$32,$B19,'Pemetaan Variant'!$AL$5:$AL$32),"n/a")</f>
        <v>32500</v>
      </c>
      <c r="BS19" s="14" t="n">
        <f aca="false">IFERROR(IF(ISNUMBER(BR19),(BR19-AVERAGEIF('Pemetaan Variant'!$A$5:$A$32,$B19,'Pemetaan Variant'!$H$5:$H$32))/AVERAGEIF('Pemetaan Variant'!$A$5:$A$32,$B19,'Pemetaan Variant'!$H$5:$H$32)*100,"n/a"),"n/a")</f>
        <v>-7.9646017699115</v>
      </c>
      <c r="BT19" s="4" t="n">
        <f aca="false">IFERROR(IF(ISNUMBER(BS19),$C19*BS19,"n/a"),"n/a")</f>
        <v>-0.101951792349431</v>
      </c>
      <c r="BU19" s="13" t="n">
        <f aca="false">IFERROR(AVERAGEIF('Pemetaan Variant'!$A$5:$A$32,$B19,'Pemetaan Variant'!$AM$5:$AM$32),"n/a")</f>
        <v>32500</v>
      </c>
      <c r="BV19" s="14" t="n">
        <f aca="false">IFERROR(IF(ISNUMBER(BU19),(BU19-AVERAGEIF('Pemetaan Variant'!$A$5:$A$32,$B19,'Pemetaan Variant'!$H$5:$H$32))/AVERAGEIF('Pemetaan Variant'!$A$5:$A$32,$B19,'Pemetaan Variant'!$H$5:$H$32)*100,"n/a"),"n/a")</f>
        <v>-7.9646017699115</v>
      </c>
      <c r="BW19" s="4" t="n">
        <f aca="false">IFERROR(IF(ISNUMBER(BV19),$C19*BV19,"n/a"),"n/a")</f>
        <v>-0.101951792349431</v>
      </c>
      <c r="BX19" s="13" t="n">
        <f aca="false">IFERROR(AVERAGEIF('Pemetaan Variant'!$A$5:$A$32,$B19,'Pemetaan Variant'!$AN$5:$AN$32),"n/a")</f>
        <v>30000</v>
      </c>
      <c r="BY19" s="14" t="n">
        <f aca="false">IFERROR(IF(ISNUMBER(BX19),(BX19-AVERAGEIF('Pemetaan Variant'!$A$5:$A$32,$B19,'Pemetaan Variant'!$I$5:$I$32))/AVERAGEIF('Pemetaan Variant'!$A$5:$A$32,$B19,'Pemetaan Variant'!$I$5:$I$32)*100,"n/a"),"n/a")</f>
        <v>-7.69230769230769</v>
      </c>
      <c r="BZ19" s="4" t="n">
        <f aca="false">IFERROR(IF(ISNUMBER(BY19),$C19*BY19,"n/a"),"n/a")</f>
        <v>-0.0984662609870577</v>
      </c>
      <c r="CA19" s="13" t="n">
        <f aca="false">IFERROR(AVERAGEIF('Pemetaan Variant'!$A$5:$A$32,$B19,'Pemetaan Variant'!$AO$5:$AO$32),"n/a")</f>
        <v>30000</v>
      </c>
      <c r="CB19" s="14" t="n">
        <f aca="false">IFERROR(IF(ISNUMBER(CA19),(CA19-AVERAGEIF('Pemetaan Variant'!$A$5:$A$32,$B19,'Pemetaan Variant'!$I$5:$I$32))/AVERAGEIF('Pemetaan Variant'!$A$5:$A$32,$B19,'Pemetaan Variant'!$I$5:$I$32)*100,"n/a"),"n/a")</f>
        <v>-7.69230769230769</v>
      </c>
      <c r="CC19" s="4" t="n">
        <f aca="false">IFERROR(IF(ISNUMBER(CB19),$C19*CB19,"n/a"),"n/a")</f>
        <v>-0.0984662609870577</v>
      </c>
      <c r="CD19" s="13" t="n">
        <f aca="false">IFERROR(AVERAGEIF('Pemetaan Variant'!$A$5:$A$32,$B19,'Pemetaan Variant'!$AP$5:$AP$32),"n/a")</f>
        <v>28000</v>
      </c>
      <c r="CE19" s="14" t="n">
        <f aca="false">IFERROR(IF(ISNUMBER(CD19),(CD19-AVERAGEIF('Pemetaan Variant'!$A$5:$A$32,$B19,'Pemetaan Variant'!$I$5:$I$32))/AVERAGEIF('Pemetaan Variant'!$A$5:$A$32,$B19,'Pemetaan Variant'!$I$5:$I$32)*100,"n/a"),"n/a")</f>
        <v>-13.8461538461538</v>
      </c>
      <c r="CF19" s="4" t="n">
        <f aca="false">IFERROR(IF(ISNUMBER(CE19),$C19*CE19,"n/a"),"n/a")</f>
        <v>-0.177239269776704</v>
      </c>
      <c r="CG19" s="13" t="n">
        <f aca="false">IFERROR(AVERAGEIF('Pemetaan Variant'!$A$5:$A$32,$B19,'Pemetaan Variant'!$AQ$5:$AQ$32),"n/a")</f>
        <v>27500</v>
      </c>
      <c r="CH19" s="14" t="n">
        <f aca="false">IFERROR(IF(ISNUMBER(CG19),(CG19-AVERAGEIF('Pemetaan Variant'!$A$5:$A$32,$B19,'Pemetaan Variant'!$I$5:$I$32))/AVERAGEIF('Pemetaan Variant'!$A$5:$A$32,$B19,'Pemetaan Variant'!$I$5:$I$32)*100,"n/a"),"n/a")</f>
        <v>-15.3846153846154</v>
      </c>
      <c r="CI19" s="4" t="n">
        <f aca="false">IFERROR(IF(ISNUMBER(CH19),$C19*CH19,"n/a"),"n/a")</f>
        <v>-0.196932521974115</v>
      </c>
      <c r="CJ19" s="13" t="n">
        <f aca="false">IFERROR(AVERAGEIF('Pemetaan Variant'!$A$5:$A$32,$B19,'Pemetaan Variant'!$AR$5:$AR$32),"n/a")</f>
        <v>27500</v>
      </c>
      <c r="CK19" s="14" t="n">
        <f aca="false">IFERROR(IF(ISNUMBER(CJ19),(CJ19-AVERAGEIF('Pemetaan Variant'!$A$5:$A$32,$B19,'Pemetaan Variant'!$J$5:$J$32))/AVERAGEIF('Pemetaan Variant'!$A$5:$A$32,$B19,'Pemetaan Variant'!$J$5:$J$32)*100,"n/a"),"n/a")</f>
        <v>-4.59183673469388</v>
      </c>
      <c r="CL19" s="4" t="n">
        <f aca="false">IFERROR(IF(ISNUMBER(CK19),$C19*CK19,"n/a"),"n/a")</f>
        <v>-0.0587783292626824</v>
      </c>
      <c r="CM19" s="13" t="n">
        <f aca="false">IFERROR(AVERAGEIF('Pemetaan Variant'!$A$5:$A$32,$B19,'Pemetaan Variant'!$AS$5:$AS$32),"n/a")</f>
        <v>28500</v>
      </c>
      <c r="CN19" s="14" t="n">
        <f aca="false">IFERROR(IF(ISNUMBER(CM19),(CM19-AVERAGEIF('Pemetaan Variant'!$A$5:$A$32,$B19,'Pemetaan Variant'!$J$5:$J$32))/AVERAGEIF('Pemetaan Variant'!$A$5:$A$32,$B19,'Pemetaan Variant'!$J$5:$J$32)*100,"n/a"),"n/a")</f>
        <v>-1.12244897959184</v>
      </c>
      <c r="CO19" s="4" t="n">
        <f aca="false">IFERROR(IF(ISNUMBER(CN19),$C19*CN19,"n/a"),"n/a")</f>
        <v>-0.0143680360419891</v>
      </c>
      <c r="CP19" s="13" t="n">
        <f aca="false">IFERROR(AVERAGEIF('Pemetaan Variant'!$A$5:$A$32,$B19,'Pemetaan Variant'!$AT$5:$AT$32),"n/a")</f>
        <v>27700</v>
      </c>
      <c r="CQ19" s="14" t="n">
        <f aca="false">IFERROR(IF(ISNUMBER(CP19),(CP19-AVERAGEIF('Pemetaan Variant'!$A$5:$A$32,$B19,'Pemetaan Variant'!$J$5:$J$32))/AVERAGEIF('Pemetaan Variant'!$A$5:$A$32,$B19,'Pemetaan Variant'!$J$5:$J$32)*100,"n/a"),"n/a")</f>
        <v>-3.89795918367347</v>
      </c>
      <c r="CR19" s="4" t="n">
        <f aca="false">IFERROR(IF(ISNUMBER(CQ19),$C19*CQ19,"n/a"),"n/a")</f>
        <v>-0.0498962706185437</v>
      </c>
      <c r="CS19" s="13" t="n">
        <f aca="false">IFERROR(AVERAGEIF('Pemetaan Variant'!$A$5:$A$32,$B19,'Pemetaan Variant'!$AU$5:$AU$32),"n/a")</f>
        <v>27500</v>
      </c>
      <c r="CT19" s="14" t="n">
        <f aca="false">IFERROR(IF(ISNUMBER(CS19),(CS19-AVERAGEIF('Pemetaan Variant'!$A$5:$A$32,$B19,'Pemetaan Variant'!$J$5:$J$32))/AVERAGEIF('Pemetaan Variant'!$A$5:$A$32,$B19,'Pemetaan Variant'!$J$5:$J$32)*100,"n/a"),"n/a")</f>
        <v>-4.59183673469388</v>
      </c>
      <c r="CU19" s="4" t="n">
        <f aca="false">IFERROR(IF(ISNUMBER(CT19),$C19*CT19,"n/a"),"n/a")</f>
        <v>-0.0587783292626824</v>
      </c>
      <c r="CV19" s="13" t="n">
        <f aca="false">IFERROR(AVERAGEIF('Pemetaan Variant'!$A$5:$A$32,$B19,'Pemetaan Variant'!$AV$5:$AV$32),"n/a")</f>
        <v>27125</v>
      </c>
      <c r="CW19" s="14" t="n">
        <f aca="false">IFERROR(IF(ISNUMBER(CV19),(CV19-AVERAGEIF('Pemetaan Variant'!$A$5:$A$32,$B19,'Pemetaan Variant'!$J$5:$J$32))/AVERAGEIF('Pemetaan Variant'!$A$5:$A$32,$B19,'Pemetaan Variant'!$J$5:$J$32)*100,"n/a"),"n/a")</f>
        <v>-5.89285714285714</v>
      </c>
      <c r="CX19" s="4" t="n">
        <f aca="false">IFERROR(IF(ISNUMBER(CW19),$C19*CW19,"n/a"),"n/a")</f>
        <v>-0.0754321892204424</v>
      </c>
      <c r="CY19" s="13" t="n">
        <f aca="false">IFERROR(AVERAGEIF('Pemetaan Variant'!$A$5:$A$32,$B19,'Pemetaan Variant'!$AW$5:$AW$32),"n/a")</f>
        <v>27000</v>
      </c>
      <c r="CZ19" s="14" t="n">
        <f aca="false">IFERROR(IF(ISNUMBER(CY19),(CY19-AVERAGEIF('Pemetaan Variant'!$A$5:$A$32,$B19,'Pemetaan Variant'!$K$5:$K$32))/AVERAGEIF('Pemetaan Variant'!$A$5:$A$32,$B19,'Pemetaan Variant'!$K$5:$K$32)*100,"n/a"),"n/a")</f>
        <v>-2.51177394034537</v>
      </c>
      <c r="DA19" s="4" t="n">
        <f aca="false">IFERROR(IF(ISNUMBER(CZ19),$C19*CZ19,"n/a"),"n/a")</f>
        <v>-0.0321522484855699</v>
      </c>
      <c r="DB19" s="13" t="n">
        <f aca="false">IFERROR(AVERAGEIF('Pemetaan Variant'!$A$5:$A$32,$B19,'Pemetaan Variant'!$AX$5:$AX$32),"n/a")</f>
        <v>27000</v>
      </c>
      <c r="DC19" s="14" t="n">
        <f aca="false">IFERROR(IF(ISNUMBER(DB19),(DB19-AVERAGEIF('Pemetaan Variant'!$A$5:$A$32,$B19,'Pemetaan Variant'!$K$5:$K$32))/AVERAGEIF('Pemetaan Variant'!$A$5:$A$32,$B19,'Pemetaan Variant'!$K$5:$K$32)*100,"n/a"),"n/a")</f>
        <v>-2.51177394034537</v>
      </c>
      <c r="DD19" s="4" t="n">
        <f aca="false">IFERROR(IF(ISNUMBER(DC19),$C19*DC19,"n/a"),"n/a")</f>
        <v>-0.0321522484855699</v>
      </c>
      <c r="DE19" s="13" t="n">
        <f aca="false">IFERROR(AVERAGEIF('Pemetaan Variant'!$A$5:$A$32,$B19,'Pemetaan Variant'!$AY$5:$AY$32),"n/a")</f>
        <v>27000</v>
      </c>
      <c r="DF19" s="14" t="n">
        <f aca="false">IFERROR(IF(ISNUMBER(DE19),(DE19-AVERAGEIF('Pemetaan Variant'!$A$5:$A$32,$B19,'Pemetaan Variant'!$K$5:$K$32))/AVERAGEIF('Pemetaan Variant'!$A$5:$A$32,$B19,'Pemetaan Variant'!$K$5:$K$32)*100,"n/a"),"n/a")</f>
        <v>-2.51177394034537</v>
      </c>
      <c r="DG19" s="4" t="n">
        <f aca="false">IFERROR(IF(ISNUMBER(DF19),$C19*DF19,"n/a"),"n/a")</f>
        <v>-0.0321522484855699</v>
      </c>
      <c r="DH19" s="13" t="n">
        <f aca="false">IFERROR(AVERAGEIF('Pemetaan Variant'!$A$5:$A$32,$B19,'Pemetaan Variant'!$AZ$5:$AZ$32),"n/a")</f>
        <v>27000</v>
      </c>
      <c r="DI19" s="14" t="n">
        <f aca="false">IFERROR(IF(ISNUMBER(DH19),(DH19-AVERAGEIF('Pemetaan Variant'!$A$5:$A$32,$B19,'Pemetaan Variant'!$K$5:$K$32))/AVERAGEIF('Pemetaan Variant'!$A$5:$A$32,$B19,'Pemetaan Variant'!$K$5:$K$32)*100,"n/a"),"n/a")</f>
        <v>-2.51177394034537</v>
      </c>
      <c r="DJ19" s="4" t="n">
        <f aca="false">IFERROR(IF(ISNUMBER(DI19),$C19*DI19,"n/a"),"n/a")</f>
        <v>-0.0321522484855699</v>
      </c>
      <c r="DK19" s="13" t="n">
        <f aca="false">IFERROR(AVERAGEIF('Pemetaan Variant'!$A$5:$A$32,$B19,'Pemetaan Variant'!$BA$5:$BA$32),"n/a")</f>
        <v>27000</v>
      </c>
      <c r="DL19" s="14" t="n">
        <f aca="false">IFERROR(IF(ISNUMBER(DK19),(DK19-AVERAGEIF('Pemetaan Variant'!$A$5:$A$32,$B19,'Pemetaan Variant'!$L$5:$L$32))/AVERAGEIF('Pemetaan Variant'!$A$5:$A$32,$B19,'Pemetaan Variant'!$L$5:$L$32)*100,"n/a"),"n/a")</f>
        <v>0</v>
      </c>
      <c r="DM19" s="4" t="n">
        <f aca="false">IFERROR(IF(ISNUMBER(DL19),$C19*DL19,"n/a"),"n/a")</f>
        <v>0</v>
      </c>
      <c r="DN19" s="13" t="n">
        <f aca="false">IFERROR(AVERAGEIF('Pemetaan Variant'!$A$5:$A$32,$B19,'Pemetaan Variant'!$BB$5:$BB$32),"n/a")</f>
        <v>27000</v>
      </c>
      <c r="DO19" s="14" t="n">
        <f aca="false">IFERROR(IF(ISNUMBER(DN19),(DN19-AVERAGEIF('Pemetaan Variant'!$A$5:$A$32,$B19,'Pemetaan Variant'!$L$5:$L$32))/AVERAGEIF('Pemetaan Variant'!$A$5:$A$32,$B19,'Pemetaan Variant'!$L$5:$L$32)*100,"n/a"),"n/a")</f>
        <v>0</v>
      </c>
      <c r="DP19" s="4" t="n">
        <f aca="false">IFERROR(IF(ISNUMBER(DO19),$C19*DO19,"n/a"),"n/a")</f>
        <v>0</v>
      </c>
      <c r="DQ19" s="13" t="n">
        <f aca="false">IFERROR(AVERAGEIF('Pemetaan Variant'!$A$5:$A$32,$B19,'Pemetaan Variant'!$BC$5:$BC$32),"n/a")</f>
        <v>27000</v>
      </c>
      <c r="DR19" s="14" t="n">
        <f aca="false">IFERROR(IF(ISNUMBER(DQ19),(DQ19-AVERAGEIF('Pemetaan Variant'!$A$5:$A$32,$B19,'Pemetaan Variant'!$L$5:$L$32))/AVERAGEIF('Pemetaan Variant'!$A$5:$A$32,$B19,'Pemetaan Variant'!$L$5:$L$32)*100,"n/a"),"n/a")</f>
        <v>0</v>
      </c>
      <c r="DS19" s="4" t="n">
        <f aca="false">IFERROR(IF(ISNUMBER(DR19),$C19*DR19,"n/a"),"n/a")</f>
        <v>0</v>
      </c>
      <c r="DT19" s="13" t="n">
        <f aca="false">IFERROR(AVERAGEIF('Pemetaan Variant'!$A$5:$A$32,$B19,'Pemetaan Variant'!$BD$5:$BD$32),"n/a")</f>
        <v>27000</v>
      </c>
      <c r="DU19" s="14" t="n">
        <f aca="false">IFERROR(IF(ISNUMBER(DT19),(DT19-AVERAGEIF('Pemetaan Variant'!$A$5:$A$32,$B19,'Pemetaan Variant'!$L$5:$L$32))/AVERAGEIF('Pemetaan Variant'!$A$5:$A$32,$B19,'Pemetaan Variant'!$L$5:$L$32)*100,"n/a"),"n/a")</f>
        <v>0</v>
      </c>
      <c r="DV19" s="4" t="n">
        <f aca="false">IFERROR(IF(ISNUMBER(DU19),$C19*DU19,"n/a"),"n/a")</f>
        <v>0</v>
      </c>
      <c r="DW19" s="13" t="n">
        <f aca="false">IFERROR(AVERAGEIF('Pemetaan Variant'!$A$5:$A$32,$B19,'Pemetaan Variant'!$BE$5:$BE$32),"n/a")</f>
        <v>27000</v>
      </c>
      <c r="DX19" s="14" t="n">
        <f aca="false">IFERROR(IF(ISNUMBER(DW19),(DW19-AVERAGEIF('Pemetaan Variant'!$A$5:$A$32,$B19,'Pemetaan Variant'!$M$5:$M$32))/AVERAGEIF('Pemetaan Variant'!$A$5:$A$32,$B19,'Pemetaan Variant'!$M$5:$M$32)*100,"n/a"),"n/a")</f>
        <v>0</v>
      </c>
      <c r="DY19" s="4" t="n">
        <f aca="false">IFERROR(IF(ISNUMBER(DX19),$C19*DX19,"n/a"),"n/a")</f>
        <v>0</v>
      </c>
      <c r="DZ19" s="13" t="n">
        <f aca="false">IFERROR(AVERAGEIF('Pemetaan Variant'!$A$5:$A$32,$B19,'Pemetaan Variant'!$BF$5:$BF$32),"n/a")</f>
        <v>26800</v>
      </c>
      <c r="EA19" s="14" t="n">
        <f aca="false">IFERROR(IF(ISNUMBER(DZ19),(DZ19-AVERAGEIF('Pemetaan Variant'!$A$5:$A$32,$B19,'Pemetaan Variant'!$M$5:$M$32))/AVERAGEIF('Pemetaan Variant'!$A$5:$A$32,$B19,'Pemetaan Variant'!$M$5:$M$32)*100,"n/a"),"n/a")</f>
        <v>-0.740740740740741</v>
      </c>
      <c r="EB19" s="4" t="n">
        <f aca="false">IFERROR(IF(ISNUMBER(EA19),$C19*EA19,"n/a"),"n/a")</f>
        <v>-0.00948193624319815</v>
      </c>
      <c r="EC19" s="13" t="n">
        <f aca="false">IFERROR(AVERAGEIF('Pemetaan Variant'!$A$5:$A$32,$B19,'Pemetaan Variant'!$BG$5:$BG$32),"n/a")</f>
        <v>26000</v>
      </c>
      <c r="ED19" s="14" t="n">
        <f aca="false">IFERROR(IF(ISNUMBER(EC19),(EC19-AVERAGEIF('Pemetaan Variant'!$A$5:$A$32,$B19,'Pemetaan Variant'!$M$5:$M$32))/AVERAGEIF('Pemetaan Variant'!$A$5:$A$32,$B19,'Pemetaan Variant'!$M$5:$M$32)*100,"n/a"),"n/a")</f>
        <v>-3.7037037037037</v>
      </c>
      <c r="EE19" s="4" t="n">
        <f aca="false">IFERROR(IF(ISNUMBER(ED19),$C19*ED19,"n/a"),"n/a")</f>
        <v>-0.0474096812159907</v>
      </c>
      <c r="EF19" s="13" t="n">
        <f aca="false">IFERROR(AVERAGEIF('Pemetaan Variant'!$A$5:$A$32,$B19,'Pemetaan Variant'!$BH$5:$BH$32),"n/a")</f>
        <v>26600</v>
      </c>
      <c r="EG19" s="14" t="n">
        <f aca="false">IFERROR(IF(ISNUMBER(EF19),(EF19-AVERAGEIF('Pemetaan Variant'!$A$5:$A$32,$B19,'Pemetaan Variant'!$M$5:$M$32))/AVERAGEIF('Pemetaan Variant'!$A$5:$A$32,$B19,'Pemetaan Variant'!$M$5:$M$32)*100,"n/a"),"n/a")</f>
        <v>-1.48148148148148</v>
      </c>
      <c r="EH19" s="4" t="n">
        <f aca="false">IFERROR(IF(ISNUMBER(EG19),$C19*EG19,"n/a"),"n/a")</f>
        <v>-0.0189638724863963</v>
      </c>
      <c r="EI19" s="13" t="n">
        <f aca="false">IFERROR(AVERAGEIF('Pemetaan Variant'!$A$5:$A$32,$B19,'Pemetaan Variant'!$BI$5:$BI$32),"n/a")</f>
        <v>27000</v>
      </c>
      <c r="EJ19" s="14" t="n">
        <f aca="false">IFERROR(IF(ISNUMBER(EI19),(EI19-AVERAGEIF('Pemetaan Variant'!$A$5:$A$32,$B19,'Pemetaan Variant'!$M$5:$M$32))/AVERAGEIF('Pemetaan Variant'!$A$5:$A$32,$B19,'Pemetaan Variant'!$M$5:$M$32)*100,"n/a"),"n/a")</f>
        <v>0</v>
      </c>
      <c r="EK19" s="4" t="n">
        <f aca="false">IFERROR(IF(ISNUMBER(EJ19),$C19*EJ19,"n/a"),"n/a")</f>
        <v>0</v>
      </c>
      <c r="EL19" s="13" t="n">
        <f aca="false">IFERROR(AVERAGEIF('Pemetaan Variant'!$A$5:$A$32,$B19,'Pemetaan Variant'!$BJ$5:$BJ$32),"n/a")</f>
        <v>26800</v>
      </c>
      <c r="EM19" s="14" t="n">
        <f aca="false">IFERROR(IF(ISNUMBER(EL19),(EL19-AVERAGEIF('Pemetaan Variant'!$A$5:$A$32,$B19,'Pemetaan Variant'!$N$5:$N$32))/AVERAGEIF('Pemetaan Variant'!$A$5:$A$32,$B19,'Pemetaan Variant'!$N$5:$N$32)*100,"n/a"),"n/a")</f>
        <v>0.554649265905377</v>
      </c>
      <c r="EN19" s="4" t="n">
        <f aca="false">IFERROR(IF(ISNUMBER(EM19),$C19*EM19,"n/a"),"n/a")</f>
        <v>0.00709985111847945</v>
      </c>
      <c r="EO19" s="13" t="n">
        <f aca="false">IFERROR(AVERAGEIF('Pemetaan Variant'!$A$5:$A$32,$B19,'Pemetaan Variant'!$BK$5:$BK$32),"n/a")</f>
        <v>26500</v>
      </c>
      <c r="EP19" s="14" t="n">
        <f aca="false">IFERROR(IF(ISNUMBER(EO19),(EO19-AVERAGEIF('Pemetaan Variant'!$A$5:$A$32,$B19,'Pemetaan Variant'!$N$5:$N$32))/AVERAGEIF('Pemetaan Variant'!$A$5:$A$32,$B19,'Pemetaan Variant'!$N$5:$N$32)*100,"n/a"),"n/a")</f>
        <v>-0.570962479608489</v>
      </c>
      <c r="EQ19" s="4" t="n">
        <f aca="false">IFERROR(IF(ISNUMBER(EP19),$C19*EP19,"n/a"),"n/a")</f>
        <v>-0.00730867026902312</v>
      </c>
      <c r="ER19" s="13" t="n">
        <f aca="false">IFERROR(AVERAGEIF('Pemetaan Variant'!$A$5:$A$32,$B19,'Pemetaan Variant'!$BL$5:$BL$32),"n/a")</f>
        <v>26900</v>
      </c>
      <c r="ES19" s="14" t="n">
        <f aca="false">IFERROR(IF(ISNUMBER(ER19),(ER19-AVERAGEIF('Pemetaan Variant'!$A$5:$A$32,$B19,'Pemetaan Variant'!$N$5:$N$32))/AVERAGEIF('Pemetaan Variant'!$A$5:$A$32,$B19,'Pemetaan Variant'!$N$5:$N$32)*100,"n/a"),"n/a")</f>
        <v>0.929853181076666</v>
      </c>
      <c r="ET19" s="4" t="n">
        <f aca="false">IFERROR(IF(ISNUMBER(ES19),$C19*ES19,"n/a"),"n/a")</f>
        <v>0.0119026915809803</v>
      </c>
      <c r="EU19" s="13" t="n">
        <f aca="false">IFERROR(AVERAGEIF('Pemetaan Variant'!$A$5:$A$32,$B19,'Pemetaan Variant'!$BM$5:$BM$32),"n/a")</f>
        <v>27000</v>
      </c>
      <c r="EV19" s="14" t="n">
        <f aca="false">IFERROR(IF(ISNUMBER(EU19),(EU19-AVERAGEIF('Pemetaan Variant'!$A$5:$A$32,$B19,'Pemetaan Variant'!$N$5:$N$32))/AVERAGEIF('Pemetaan Variant'!$A$5:$A$32,$B19,'Pemetaan Variant'!$N$5:$N$32)*100,"n/a"),"n/a")</f>
        <v>1.30505709624795</v>
      </c>
      <c r="EW19" s="4" t="n">
        <f aca="false">IFERROR(IF(ISNUMBER(EV19),$C19*EV19,"n/a"),"n/a")</f>
        <v>0.0167055320434812</v>
      </c>
      <c r="EX19" s="13" t="n">
        <f aca="false">IFERROR(AVERAGEIF('Pemetaan Variant'!$A$5:$A$32,$B19,'Pemetaan Variant'!$BN$5:$BN$32),"n/a")</f>
        <v>27000</v>
      </c>
      <c r="EY19" s="14" t="n">
        <f aca="false">IFERROR(IF(ISNUMBER(EX19),(EX19-AVERAGEIF('Pemetaan Variant'!$A$5:$A$32,$B19,'Pemetaan Variant'!$O$5:$O$32))/AVERAGEIF('Pemetaan Variant'!$A$5:$A$32,$B19,'Pemetaan Variant'!$O$5:$O$32)*100,"n/a"),"n/a")</f>
        <v>0.746268656716418</v>
      </c>
      <c r="EZ19" s="4" t="n">
        <f aca="false">IFERROR(IF(ISNUMBER(EY19),$C19*EY19,"n/a"),"n/a")</f>
        <v>0.00955269696143097</v>
      </c>
      <c r="FA19" s="13" t="n">
        <f aca="false">IFERROR(AVERAGEIF('Pemetaan Variant'!$A$5:$A$32,$B19,'Pemetaan Variant'!$BO$5:$BO$32),"n/a")</f>
        <v>26700</v>
      </c>
      <c r="FB19" s="14" t="n">
        <f aca="false">IFERROR(IF(ISNUMBER(FA19),(FA19-AVERAGEIF('Pemetaan Variant'!$A$5:$A$32,$B19,'Pemetaan Variant'!$O$5:$O$32))/AVERAGEIF('Pemetaan Variant'!$A$5:$A$32,$B19,'Pemetaan Variant'!$O$5:$O$32)*100,"n/a"),"n/a")</f>
        <v>-0.373134328358209</v>
      </c>
      <c r="FC19" s="4" t="n">
        <f aca="false">IFERROR(IF(ISNUMBER(FB19),$C19*FB19,"n/a"),"n/a")</f>
        <v>-0.00477634848071548</v>
      </c>
      <c r="FD19" s="13" t="n">
        <f aca="false">IFERROR(AVERAGEIF('Pemetaan Variant'!$A$5:$A$32,$B19,'Pemetaan Variant'!$BP$5:$BP$32),"n/a")</f>
        <v>26100</v>
      </c>
      <c r="FE19" s="14" t="n">
        <f aca="false">IFERROR(IF(ISNUMBER(FD19),(FD19-AVERAGEIF('Pemetaan Variant'!$A$5:$A$32,$B19,'Pemetaan Variant'!$O$5:$O$32))/AVERAGEIF('Pemetaan Variant'!$A$5:$A$32,$B19,'Pemetaan Variant'!$O$5:$O$32)*100,"n/a"),"n/a")</f>
        <v>-2.61194029850746</v>
      </c>
      <c r="FF19" s="4" t="n">
        <f aca="false">IFERROR(IF(ISNUMBER(FE19),$C19*FE19,"n/a"),"n/a")</f>
        <v>-0.0334344393650084</v>
      </c>
      <c r="FG19" s="13" t="n">
        <f aca="false">IFERROR(AVERAGEIF('Pemetaan Variant'!$A$5:$A$32,$B19,'Pemetaan Variant'!$BQ$5:$BQ$32),"n/a")</f>
        <v>26833.3333333333</v>
      </c>
      <c r="FH19" s="14" t="n">
        <f aca="false">IFERROR(IF(ISNUMBER(FG19),(FG19-AVERAGEIF('Pemetaan Variant'!$A$5:$A$32,$B19,'Pemetaan Variant'!$O$5:$O$32))/AVERAGEIF('Pemetaan Variant'!$A$5:$A$32,$B19,'Pemetaan Variant'!$O$5:$O$32)*100,"n/a"),"n/a")</f>
        <v>0.124378109452745</v>
      </c>
      <c r="FI19" s="4" t="n">
        <f aca="false">IFERROR(IF(ISNUMBER(FH19),$C19*FH19,"n/a"),"n/a")</f>
        <v>0.00159211616023861</v>
      </c>
      <c r="FJ19" s="13" t="n">
        <f aca="false">IFERROR(AVERAGEIF('Pemetaan Variant'!$A$5:$A$32,$B19,'Pemetaan Variant'!$BR$5:$BR$32),"n/a")</f>
        <v>27000</v>
      </c>
      <c r="FK19" s="14" t="n">
        <f aca="false">IFERROR(IF(ISNUMBER(FJ19),(FJ19-AVERAGEIF('Pemetaan Variant'!$A$5:$A$32,$B19,'Pemetaan Variant'!$O$5:$O$32))/AVERAGEIF('Pemetaan Variant'!$A$5:$A$32,$B19,'Pemetaan Variant'!$O$5:$O$32)*100,"n/a"),"n/a")</f>
        <v>0.746268656716418</v>
      </c>
      <c r="FL19" s="4" t="n">
        <f aca="false">IFERROR(IF(ISNUMBER(FK19),$C19*FK19,"n/a"),"n/a")</f>
        <v>0.00955269696143097</v>
      </c>
      <c r="FM19" s="15"/>
      <c r="FO19" s="11" t="n">
        <f aca="false">IFERROR(ABS(F19),0)</f>
        <v>0.0280164380317892</v>
      </c>
      <c r="FP19" s="11" t="n">
        <f aca="false">IFERROR(ABS(I19),0)</f>
        <v>0.0280164380317892</v>
      </c>
      <c r="FQ19" s="11" t="n">
        <f aca="false">IFERROR(ABS(L19),0)</f>
        <v>0.0280164380317892</v>
      </c>
      <c r="FR19" s="11" t="n">
        <f aca="false">IFERROR(ABS(O19),0)</f>
        <v>0.0280164380317892</v>
      </c>
      <c r="FS19" s="11" t="n">
        <f aca="false">IFERROR(ABS(R19),0)</f>
        <v>0.0280164380317892</v>
      </c>
      <c r="FT19" s="11" t="n">
        <f aca="false">IFERROR(ABS(U19),0)</f>
        <v>0</v>
      </c>
      <c r="FU19" s="11" t="n">
        <f aca="false">IFERROR(ABS(X19),0)</f>
        <v>0.0177786304559965</v>
      </c>
      <c r="FV19" s="11" t="n">
        <f aca="false">IFERROR(ABS(AA19),0)</f>
        <v>0.0355572609119931</v>
      </c>
      <c r="FW19" s="11" t="n">
        <f aca="false">IFERROR(ABS(AD19),0)</f>
        <v>0.0355572609119931</v>
      </c>
      <c r="FX19" s="11" t="n">
        <f aca="false">IFERROR(ABS(AG19),0)</f>
        <v>0.0141717796186979</v>
      </c>
      <c r="FY19" s="11" t="n">
        <f aca="false">IFERROR(ABS(AJ19),0)</f>
        <v>0.0211656448850683</v>
      </c>
      <c r="FZ19" s="11" t="n">
        <f aca="false">IFERROR(ABS(AM19),0)</f>
        <v>0.0211656448850683</v>
      </c>
      <c r="GA19" s="11" t="n">
        <f aca="false">IFERROR(ABS(AP19),0)</f>
        <v>0.0124233133021053</v>
      </c>
      <c r="GB19" s="11" t="n">
        <f aca="false">IFERROR(ABS(AS19),0)</f>
        <v>0</v>
      </c>
      <c r="GC19" s="11" t="n">
        <f aca="false">IFERROR(ABS(AV19),0)</f>
        <v>0</v>
      </c>
      <c r="GD19" s="11" t="n">
        <f aca="false">IFERROR(ABS(AY19),0)</f>
        <v>0.0494484357289232</v>
      </c>
      <c r="GE19" s="11" t="n">
        <f aca="false">IFERROR(ABS(BB19),0)</f>
        <v>0.0214587551276461</v>
      </c>
      <c r="GF19" s="11" t="n">
        <f aca="false">IFERROR(ABS(BE19),0)</f>
        <v>0.0356401932989599</v>
      </c>
      <c r="GG19" s="11" t="n">
        <f aca="false">IFERROR(ABS(BH19),0)</f>
        <v>0.1278195414125</v>
      </c>
      <c r="GH19" s="11" t="n">
        <f aca="false">IFERROR(ABS(BK19),0)</f>
        <v>0.101951792349431</v>
      </c>
      <c r="GI19" s="11" t="n">
        <f aca="false">IFERROR(ABS(BN19),0)</f>
        <v>0.101951792349431</v>
      </c>
      <c r="GJ19" s="11" t="n">
        <f aca="false">IFERROR(ABS(BQ19),0)</f>
        <v>0.101951792349431</v>
      </c>
      <c r="GK19" s="11" t="n">
        <f aca="false">IFERROR(ABS(BT19),0)</f>
        <v>0.101951792349431</v>
      </c>
      <c r="GL19" s="11" t="n">
        <f aca="false">IFERROR(ABS(BW19),0)</f>
        <v>0.101951792349431</v>
      </c>
      <c r="GM19" s="11" t="n">
        <f aca="false">IFERROR(ABS(BZ19),0)</f>
        <v>0.0984662609870577</v>
      </c>
      <c r="GN19" s="11" t="n">
        <f aca="false">IFERROR(ABS(CC19),0)</f>
        <v>0.0984662609870577</v>
      </c>
      <c r="GO19" s="11" t="n">
        <f aca="false">IFERROR(ABS(CF19),0)</f>
        <v>0.177239269776704</v>
      </c>
      <c r="GP19" s="11" t="n">
        <f aca="false">IFERROR(ABS(CI19),0)</f>
        <v>0.196932521974115</v>
      </c>
      <c r="GQ19" s="11" t="n">
        <f aca="false">IFERROR(ABS(CL19),0)</f>
        <v>0.0587783292626824</v>
      </c>
      <c r="GR19" s="11" t="n">
        <f aca="false">IFERROR(ABS(CO19),0)</f>
        <v>0.0143680360419891</v>
      </c>
      <c r="GS19" s="11" t="n">
        <f aca="false">IFERROR(ABS(CR19),0)</f>
        <v>0.0498962706185437</v>
      </c>
      <c r="GT19" s="11" t="n">
        <f aca="false">IFERROR(ABS(CU19),0)</f>
        <v>0.0587783292626824</v>
      </c>
      <c r="GU19" s="11" t="n">
        <f aca="false">IFERROR(ABS(CX19),0)</f>
        <v>0.0754321892204424</v>
      </c>
      <c r="GV19" s="11" t="n">
        <f aca="false">IFERROR(ABS(DA19),0)</f>
        <v>0.0321522484855699</v>
      </c>
      <c r="GW19" s="11" t="n">
        <f aca="false">IFERROR(ABS(DD19),0)</f>
        <v>0.0321522484855699</v>
      </c>
      <c r="GX19" s="11" t="n">
        <f aca="false">IFERROR(ABS(DG19),0)</f>
        <v>0.0321522484855699</v>
      </c>
      <c r="GY19" s="11" t="n">
        <f aca="false">IFERROR(ABS(DJ19),0)</f>
        <v>0.0321522484855699</v>
      </c>
      <c r="GZ19" s="11" t="n">
        <f aca="false">IFERROR(ABS(DM19),0)</f>
        <v>0</v>
      </c>
      <c r="HA19" s="11" t="n">
        <f aca="false">IFERROR(ABS(DP19),0)</f>
        <v>0</v>
      </c>
      <c r="HB19" s="11" t="n">
        <f aca="false">IFERROR(ABS(DS19),0)</f>
        <v>0</v>
      </c>
      <c r="HC19" s="11" t="n">
        <f aca="false">IFERROR(ABS(DV19),0)</f>
        <v>0</v>
      </c>
      <c r="HD19" s="11" t="n">
        <f aca="false">IFERROR(ABS(DY19),0)</f>
        <v>0</v>
      </c>
      <c r="HE19" s="11" t="n">
        <f aca="false">IFERROR(ABS(EB19),0)</f>
        <v>0.00948193624319815</v>
      </c>
      <c r="HF19" s="11" t="n">
        <f aca="false">IFERROR(ABS(EE19),0)</f>
        <v>0.0474096812159907</v>
      </c>
      <c r="HG19" s="11" t="n">
        <f aca="false">IFERROR(ABS(EH19),0)</f>
        <v>0.0189638724863963</v>
      </c>
      <c r="HH19" s="11" t="n">
        <f aca="false">IFERROR(ABS(EK19),0)</f>
        <v>0</v>
      </c>
      <c r="HI19" s="11" t="n">
        <f aca="false">IFERROR(ABS(EN19),0)</f>
        <v>0.00709985111847945</v>
      </c>
      <c r="HJ19" s="11" t="n">
        <f aca="false">IFERROR(ABS(EQ19),0)</f>
        <v>0.00730867026902312</v>
      </c>
      <c r="HK19" s="11" t="n">
        <f aca="false">IFERROR(ABS(ET19),0)</f>
        <v>0.0119026915809803</v>
      </c>
      <c r="HL19" s="11" t="n">
        <f aca="false">IFERROR(ABS(EW19),0)</f>
        <v>0.0167055320434812</v>
      </c>
      <c r="HM19" s="11" t="n">
        <f aca="false">IFERROR(ABS(EZ19),0)</f>
        <v>0.00955269696143097</v>
      </c>
      <c r="HN19" s="11" t="n">
        <f aca="false">IFERROR(ABS(FC19),0)</f>
        <v>0.00477634848071548</v>
      </c>
      <c r="HO19" s="11" t="n">
        <f aca="false">IFERROR(ABS(FF19),0)</f>
        <v>0.0334344393650084</v>
      </c>
      <c r="HP19" s="11" t="n">
        <f aca="false">IFERROR(ABS(FI19),0)</f>
        <v>0.00159211616023861</v>
      </c>
      <c r="HQ19" s="11" t="n">
        <f aca="false">IFERROR(ABS(FL19),0)</f>
        <v>0.00955269696143097</v>
      </c>
    </row>
    <row r="20" customFormat="false" ht="15" hidden="false" customHeight="false" outlineLevel="0" collapsed="false">
      <c r="A20" s="3" t="n">
        <v>15</v>
      </c>
      <c r="B20" s="3" t="s">
        <v>252</v>
      </c>
      <c r="C20" s="12" t="n">
        <f aca="false">'P0Q0 Dasar 2022'!F19</f>
        <v>0.0255178686129323</v>
      </c>
      <c r="D20" s="13" t="n">
        <f aca="false">IFERROR(AVERAGEIF('Pemetaan Variant'!$A$5:$A$32,$B20,'Pemetaan Variant'!$P$5:$P$32),"n/a")</f>
        <v>2800</v>
      </c>
      <c r="E20" s="14" t="n">
        <f aca="false">IFERROR(IF(ISNUMBER(D20),(D20-AVERAGEIF('Pemetaan Variant'!$A$5:$A$32,$B20,'Pemetaan Variant'!$D$5:$D$32))/AVERAGEIF('Pemetaan Variant'!$A$5:$A$32,$B20,'Pemetaan Variant'!$D$5:$D$32)*100,"n/a"),"n/a")</f>
        <v>0</v>
      </c>
      <c r="F20" s="4" t="n">
        <f aca="false">IFERROR(IF(ISNUMBER(E20),$C20*E20,"n/a"),"n/a")</f>
        <v>0</v>
      </c>
      <c r="G20" s="13" t="n">
        <f aca="false">IFERROR(AVERAGEIF('Pemetaan Variant'!$A$5:$A$32,$B20,'Pemetaan Variant'!$Q$5:$Q$32),"n/a")</f>
        <v>2800</v>
      </c>
      <c r="H20" s="14" t="n">
        <f aca="false">IFERROR(IF(ISNUMBER(G20),(G20-AVERAGEIF('Pemetaan Variant'!$A$5:$A$32,$B20,'Pemetaan Variant'!$D$5:$D$32))/AVERAGEIF('Pemetaan Variant'!$A$5:$A$32,$B20,'Pemetaan Variant'!$D$5:$D$32)*100,"n/a"),"n/a")</f>
        <v>0</v>
      </c>
      <c r="I20" s="4" t="n">
        <f aca="false">IFERROR(IF(ISNUMBER(H20),$C20*H20,"n/a"),"n/a")</f>
        <v>0</v>
      </c>
      <c r="J20" s="13" t="n">
        <f aca="false">IFERROR(AVERAGEIF('Pemetaan Variant'!$A$5:$A$32,$B20,'Pemetaan Variant'!$R$5:$R$32),"n/a")</f>
        <v>2800</v>
      </c>
      <c r="K20" s="14" t="n">
        <f aca="false">IFERROR(IF(ISNUMBER(J20),(J20-AVERAGEIF('Pemetaan Variant'!$A$5:$A$32,$B20,'Pemetaan Variant'!$D$5:$D$32))/AVERAGEIF('Pemetaan Variant'!$A$5:$A$32,$B20,'Pemetaan Variant'!$D$5:$D$32)*100,"n/a"),"n/a")</f>
        <v>0</v>
      </c>
      <c r="L20" s="4" t="n">
        <f aca="false">IFERROR(IF(ISNUMBER(K20),$C20*K20,"n/a"),"n/a")</f>
        <v>0</v>
      </c>
      <c r="M20" s="13" t="n">
        <f aca="false">IFERROR(AVERAGEIF('Pemetaan Variant'!$A$5:$A$32,$B20,'Pemetaan Variant'!$S$5:$S$32),"n/a")</f>
        <v>2800</v>
      </c>
      <c r="N20" s="14" t="n">
        <f aca="false">IFERROR(IF(ISNUMBER(M20),(M20-AVERAGEIF('Pemetaan Variant'!$A$5:$A$32,$B20,'Pemetaan Variant'!$D$5:$D$32))/AVERAGEIF('Pemetaan Variant'!$A$5:$A$32,$B20,'Pemetaan Variant'!$D$5:$D$32)*100,"n/a"),"n/a")</f>
        <v>0</v>
      </c>
      <c r="O20" s="4" t="n">
        <f aca="false">IFERROR(IF(ISNUMBER(N20),$C20*N20,"n/a"),"n/a")</f>
        <v>0</v>
      </c>
      <c r="P20" s="13" t="n">
        <f aca="false">IFERROR(AVERAGEIF('Pemetaan Variant'!$A$5:$A$32,$B20,'Pemetaan Variant'!$T$5:$T$32),"n/a")</f>
        <v>2800</v>
      </c>
      <c r="Q20" s="14" t="n">
        <f aca="false">IFERROR(IF(ISNUMBER(P20),(P20-AVERAGEIF('Pemetaan Variant'!$A$5:$A$32,$B20,'Pemetaan Variant'!$D$5:$D$32))/AVERAGEIF('Pemetaan Variant'!$A$5:$A$32,$B20,'Pemetaan Variant'!$D$5:$D$32)*100,"n/a"),"n/a")</f>
        <v>0</v>
      </c>
      <c r="R20" s="4" t="n">
        <f aca="false">IFERROR(IF(ISNUMBER(Q20),$C20*Q20,"n/a"),"n/a")</f>
        <v>0</v>
      </c>
      <c r="S20" s="13" t="n">
        <f aca="false">IFERROR(AVERAGEIF('Pemetaan Variant'!$A$5:$A$32,$B20,'Pemetaan Variant'!$U$5:$U$32),"n/a")</f>
        <v>2800</v>
      </c>
      <c r="T20" s="14" t="n">
        <f aca="false">IFERROR(IF(ISNUMBER(S20),(S20-AVERAGEIF('Pemetaan Variant'!$A$5:$A$32,$B20,'Pemetaan Variant'!$E$5:$E$32))/AVERAGEIF('Pemetaan Variant'!$A$5:$A$32,$B20,'Pemetaan Variant'!$E$5:$E$32)*100,"n/a"),"n/a")</f>
        <v>0</v>
      </c>
      <c r="U20" s="4" t="n">
        <f aca="false">IFERROR(IF(ISNUMBER(T20),$C20*T20,"n/a"),"n/a")</f>
        <v>0</v>
      </c>
      <c r="V20" s="13" t="n">
        <f aca="false">IFERROR(AVERAGEIF('Pemetaan Variant'!$A$5:$A$32,$B20,'Pemetaan Variant'!$V$5:$V$32),"n/a")</f>
        <v>2800</v>
      </c>
      <c r="W20" s="14" t="n">
        <f aca="false">IFERROR(IF(ISNUMBER(V20),(V20-AVERAGEIF('Pemetaan Variant'!$A$5:$A$32,$B20,'Pemetaan Variant'!$E$5:$E$32))/AVERAGEIF('Pemetaan Variant'!$A$5:$A$32,$B20,'Pemetaan Variant'!$E$5:$E$32)*100,"n/a"),"n/a")</f>
        <v>0</v>
      </c>
      <c r="X20" s="4" t="n">
        <f aca="false">IFERROR(IF(ISNUMBER(W20),$C20*W20,"n/a"),"n/a")</f>
        <v>0</v>
      </c>
      <c r="Y20" s="13" t="n">
        <f aca="false">IFERROR(AVERAGEIF('Pemetaan Variant'!$A$5:$A$32,$B20,'Pemetaan Variant'!$W$5:$W$32),"n/a")</f>
        <v>2800</v>
      </c>
      <c r="Z20" s="14" t="n">
        <f aca="false">IFERROR(IF(ISNUMBER(Y20),(Y20-AVERAGEIF('Pemetaan Variant'!$A$5:$A$32,$B20,'Pemetaan Variant'!$E$5:$E$32))/AVERAGEIF('Pemetaan Variant'!$A$5:$A$32,$B20,'Pemetaan Variant'!$E$5:$E$32)*100,"n/a"),"n/a")</f>
        <v>0</v>
      </c>
      <c r="AA20" s="4" t="n">
        <f aca="false">IFERROR(IF(ISNUMBER(Z20),$C20*Z20,"n/a"),"n/a")</f>
        <v>0</v>
      </c>
      <c r="AB20" s="13" t="n">
        <f aca="false">IFERROR(AVERAGEIF('Pemetaan Variant'!$A$5:$A$32,$B20,'Pemetaan Variant'!$X$5:$X$32),"n/a")</f>
        <v>2800</v>
      </c>
      <c r="AC20" s="14" t="n">
        <f aca="false">IFERROR(IF(ISNUMBER(AB20),(AB20-AVERAGEIF('Pemetaan Variant'!$A$5:$A$32,$B20,'Pemetaan Variant'!$E$5:$E$32))/AVERAGEIF('Pemetaan Variant'!$A$5:$A$32,$B20,'Pemetaan Variant'!$E$5:$E$32)*100,"n/a"),"n/a")</f>
        <v>0</v>
      </c>
      <c r="AD20" s="4" t="n">
        <f aca="false">IFERROR(IF(ISNUMBER(AC20),$C20*AC20,"n/a"),"n/a")</f>
        <v>0</v>
      </c>
      <c r="AE20" s="13" t="n">
        <f aca="false">IFERROR(AVERAGEIF('Pemetaan Variant'!$A$5:$A$32,$B20,'Pemetaan Variant'!$Y$5:$Y$32),"n/a")</f>
        <v>2800</v>
      </c>
      <c r="AF20" s="14" t="n">
        <f aca="false">IFERROR(IF(ISNUMBER(AE20),(AE20-AVERAGEIF('Pemetaan Variant'!$A$5:$A$32,$B20,'Pemetaan Variant'!$F$5:$F$32))/AVERAGEIF('Pemetaan Variant'!$A$5:$A$32,$B20,'Pemetaan Variant'!$F$5:$F$32)*100,"n/a"),"n/a")</f>
        <v>0</v>
      </c>
      <c r="AG20" s="4" t="n">
        <f aca="false">IFERROR(IF(ISNUMBER(AF20),$C20*AF20,"n/a"),"n/a")</f>
        <v>0</v>
      </c>
      <c r="AH20" s="13" t="n">
        <f aca="false">IFERROR(AVERAGEIF('Pemetaan Variant'!$A$5:$A$32,$B20,'Pemetaan Variant'!$Z$5:$Z$32),"n/a")</f>
        <v>2800</v>
      </c>
      <c r="AI20" s="14" t="n">
        <f aca="false">IFERROR(IF(ISNUMBER(AH20),(AH20-AVERAGEIF('Pemetaan Variant'!$A$5:$A$32,$B20,'Pemetaan Variant'!$F$5:$F$32))/AVERAGEIF('Pemetaan Variant'!$A$5:$A$32,$B20,'Pemetaan Variant'!$F$5:$F$32)*100,"n/a"),"n/a")</f>
        <v>0</v>
      </c>
      <c r="AJ20" s="4" t="n">
        <f aca="false">IFERROR(IF(ISNUMBER(AI20),$C20*AI20,"n/a"),"n/a")</f>
        <v>0</v>
      </c>
      <c r="AK20" s="13" t="n">
        <f aca="false">IFERROR(AVERAGEIF('Pemetaan Variant'!$A$5:$A$32,$B20,'Pemetaan Variant'!$AA$5:$AA$32),"n/a")</f>
        <v>2800</v>
      </c>
      <c r="AL20" s="14" t="n">
        <f aca="false">IFERROR(IF(ISNUMBER(AK20),(AK20-AVERAGEIF('Pemetaan Variant'!$A$5:$A$32,$B20,'Pemetaan Variant'!$F$5:$F$32))/AVERAGEIF('Pemetaan Variant'!$A$5:$A$32,$B20,'Pemetaan Variant'!$F$5:$F$32)*100,"n/a"),"n/a")</f>
        <v>0</v>
      </c>
      <c r="AM20" s="4" t="n">
        <f aca="false">IFERROR(IF(ISNUMBER(AL20),$C20*AL20,"n/a"),"n/a")</f>
        <v>0</v>
      </c>
      <c r="AN20" s="13" t="n">
        <f aca="false">IFERROR(AVERAGEIF('Pemetaan Variant'!$A$5:$A$32,$B20,'Pemetaan Variant'!$AB$5:$AB$32),"n/a")</f>
        <v>2800</v>
      </c>
      <c r="AO20" s="14" t="n">
        <f aca="false">IFERROR(IF(ISNUMBER(AN20),(AN20-AVERAGEIF('Pemetaan Variant'!$A$5:$A$32,$B20,'Pemetaan Variant'!$F$5:$F$32))/AVERAGEIF('Pemetaan Variant'!$A$5:$A$32,$B20,'Pemetaan Variant'!$F$5:$F$32)*100,"n/a"),"n/a")</f>
        <v>0</v>
      </c>
      <c r="AP20" s="4" t="n">
        <f aca="false">IFERROR(IF(ISNUMBER(AO20),$C20*AO20,"n/a"),"n/a")</f>
        <v>0</v>
      </c>
      <c r="AQ20" s="13" t="str">
        <f aca="false">IFERROR(AVERAGEIF('Pemetaan Variant'!$A$5:$A$32,$B20,'Pemetaan Variant'!$AC$5:$AC$32),"n/a")</f>
        <v>n/a</v>
      </c>
      <c r="AR20" s="14" t="str">
        <f aca="false">IFERROR(IF(ISNUMBER(AQ20),(AQ20-AVERAGEIF('Pemetaan Variant'!$A$5:$A$32,$B20,'Pemetaan Variant'!$F$5:$F$32))/AVERAGEIF('Pemetaan Variant'!$A$5:$A$32,$B20,'Pemetaan Variant'!$F$5:$F$32)*100,"n/a"),"n/a")</f>
        <v>n/a</v>
      </c>
      <c r="AS20" s="4" t="str">
        <f aca="false">IFERROR(IF(ISNUMBER(AR20),$C20*AR20,"n/a"),"n/a")</f>
        <v>n/a</v>
      </c>
      <c r="AT20" s="13" t="str">
        <f aca="false">IFERROR(AVERAGEIF('Pemetaan Variant'!$A$5:$A$32,$B20,'Pemetaan Variant'!$AD$5:$AD$32),"n/a")</f>
        <v>n/a</v>
      </c>
      <c r="AU20" s="14" t="str">
        <f aca="false">IFERROR(IF(ISNUMBER(AT20),(AT20-AVERAGEIF('Pemetaan Variant'!$A$5:$A$32,$B20,'Pemetaan Variant'!$G$5:$G$32))/AVERAGEIF('Pemetaan Variant'!$A$5:$A$32,$B20,'Pemetaan Variant'!$G$5:$G$32)*100,"n/a"),"n/a")</f>
        <v>n/a</v>
      </c>
      <c r="AV20" s="4" t="str">
        <f aca="false">IFERROR(IF(ISNUMBER(AU20),$C20*AU20,"n/a"),"n/a")</f>
        <v>n/a</v>
      </c>
      <c r="AW20" s="13" t="n">
        <f aca="false">IFERROR(AVERAGEIF('Pemetaan Variant'!$A$5:$A$32,$B20,'Pemetaan Variant'!$AE$5:$AE$32),"n/a")</f>
        <v>2800</v>
      </c>
      <c r="AX20" s="14" t="n">
        <f aca="false">IFERROR(IF(ISNUMBER(AW20),(AW20-AVERAGEIF('Pemetaan Variant'!$A$5:$A$32,$B20,'Pemetaan Variant'!$G$5:$G$32))/AVERAGEIF('Pemetaan Variant'!$A$5:$A$32,$B20,'Pemetaan Variant'!$G$5:$G$32)*100,"n/a"),"n/a")</f>
        <v>0</v>
      </c>
      <c r="AY20" s="4" t="n">
        <f aca="false">IFERROR(IF(ISNUMBER(AX20),$C20*AX20,"n/a"),"n/a")</f>
        <v>0</v>
      </c>
      <c r="AZ20" s="13" t="n">
        <f aca="false">IFERROR(AVERAGEIF('Pemetaan Variant'!$A$5:$A$32,$B20,'Pemetaan Variant'!$AF$5:$AF$32),"n/a")</f>
        <v>2800</v>
      </c>
      <c r="BA20" s="14" t="n">
        <f aca="false">IFERROR(IF(ISNUMBER(AZ20),(AZ20-AVERAGEIF('Pemetaan Variant'!$A$5:$A$32,$B20,'Pemetaan Variant'!$G$5:$G$32))/AVERAGEIF('Pemetaan Variant'!$A$5:$A$32,$B20,'Pemetaan Variant'!$G$5:$G$32)*100,"n/a"),"n/a")</f>
        <v>0</v>
      </c>
      <c r="BB20" s="4" t="n">
        <f aca="false">IFERROR(IF(ISNUMBER(BA20),$C20*BA20,"n/a"),"n/a")</f>
        <v>0</v>
      </c>
      <c r="BC20" s="13" t="n">
        <f aca="false">IFERROR(AVERAGEIF('Pemetaan Variant'!$A$5:$A$32,$B20,'Pemetaan Variant'!$AG$5:$AG$32),"n/a")</f>
        <v>2800</v>
      </c>
      <c r="BD20" s="14" t="n">
        <f aca="false">IFERROR(IF(ISNUMBER(BC20),(BC20-AVERAGEIF('Pemetaan Variant'!$A$5:$A$32,$B20,'Pemetaan Variant'!$G$5:$G$32))/AVERAGEIF('Pemetaan Variant'!$A$5:$A$32,$B20,'Pemetaan Variant'!$G$5:$G$32)*100,"n/a"),"n/a")</f>
        <v>0</v>
      </c>
      <c r="BE20" s="4" t="n">
        <f aca="false">IFERROR(IF(ISNUMBER(BD20),$C20*BD20,"n/a"),"n/a")</f>
        <v>0</v>
      </c>
      <c r="BF20" s="13" t="n">
        <f aca="false">IFERROR(AVERAGEIF('Pemetaan Variant'!$A$5:$A$32,$B20,'Pemetaan Variant'!$AH$5:$AH$32),"n/a")</f>
        <v>2800</v>
      </c>
      <c r="BG20" s="14" t="n">
        <f aca="false">IFERROR(IF(ISNUMBER(BF20),(BF20-AVERAGEIF('Pemetaan Variant'!$A$5:$A$32,$B20,'Pemetaan Variant'!$G$5:$G$32))/AVERAGEIF('Pemetaan Variant'!$A$5:$A$32,$B20,'Pemetaan Variant'!$G$5:$G$32)*100,"n/a"),"n/a")</f>
        <v>0</v>
      </c>
      <c r="BH20" s="4" t="n">
        <f aca="false">IFERROR(IF(ISNUMBER(BG20),$C20*BG20,"n/a"),"n/a")</f>
        <v>0</v>
      </c>
      <c r="BI20" s="13" t="n">
        <f aca="false">IFERROR(AVERAGEIF('Pemetaan Variant'!$A$5:$A$32,$B20,'Pemetaan Variant'!$AI$5:$AI$32),"n/a")</f>
        <v>2800</v>
      </c>
      <c r="BJ20" s="14" t="n">
        <f aca="false">IFERROR(IF(ISNUMBER(BI20),(BI20-AVERAGEIF('Pemetaan Variant'!$A$5:$A$32,$B20,'Pemetaan Variant'!$H$5:$H$32))/AVERAGEIF('Pemetaan Variant'!$A$5:$A$32,$B20,'Pemetaan Variant'!$H$5:$H$32)*100,"n/a"),"n/a")</f>
        <v>0</v>
      </c>
      <c r="BK20" s="4" t="n">
        <f aca="false">IFERROR(IF(ISNUMBER(BJ20),$C20*BJ20,"n/a"),"n/a")</f>
        <v>0</v>
      </c>
      <c r="BL20" s="13" t="n">
        <f aca="false">IFERROR(AVERAGEIF('Pemetaan Variant'!$A$5:$A$32,$B20,'Pemetaan Variant'!$AJ$5:$AJ$32),"n/a")</f>
        <v>2800</v>
      </c>
      <c r="BM20" s="14" t="n">
        <f aca="false">IFERROR(IF(ISNUMBER(BL20),(BL20-AVERAGEIF('Pemetaan Variant'!$A$5:$A$32,$B20,'Pemetaan Variant'!$H$5:$H$32))/AVERAGEIF('Pemetaan Variant'!$A$5:$A$32,$B20,'Pemetaan Variant'!$H$5:$H$32)*100,"n/a"),"n/a")</f>
        <v>0</v>
      </c>
      <c r="BN20" s="4" t="n">
        <f aca="false">IFERROR(IF(ISNUMBER(BM20),$C20*BM20,"n/a"),"n/a")</f>
        <v>0</v>
      </c>
      <c r="BO20" s="13" t="n">
        <f aca="false">IFERROR(AVERAGEIF('Pemetaan Variant'!$A$5:$A$32,$B20,'Pemetaan Variant'!$AK$5:$AK$32),"n/a")</f>
        <v>2800</v>
      </c>
      <c r="BP20" s="14" t="n">
        <f aca="false">IFERROR(IF(ISNUMBER(BO20),(BO20-AVERAGEIF('Pemetaan Variant'!$A$5:$A$32,$B20,'Pemetaan Variant'!$H$5:$H$32))/AVERAGEIF('Pemetaan Variant'!$A$5:$A$32,$B20,'Pemetaan Variant'!$H$5:$H$32)*100,"n/a"),"n/a")</f>
        <v>0</v>
      </c>
      <c r="BQ20" s="4" t="n">
        <f aca="false">IFERROR(IF(ISNUMBER(BP20),$C20*BP20,"n/a"),"n/a")</f>
        <v>0</v>
      </c>
      <c r="BR20" s="13" t="n">
        <f aca="false">IFERROR(AVERAGEIF('Pemetaan Variant'!$A$5:$A$32,$B20,'Pemetaan Variant'!$AL$5:$AL$32),"n/a")</f>
        <v>2800</v>
      </c>
      <c r="BS20" s="14" t="n">
        <f aca="false">IFERROR(IF(ISNUMBER(BR20),(BR20-AVERAGEIF('Pemetaan Variant'!$A$5:$A$32,$B20,'Pemetaan Variant'!$H$5:$H$32))/AVERAGEIF('Pemetaan Variant'!$A$5:$A$32,$B20,'Pemetaan Variant'!$H$5:$H$32)*100,"n/a"),"n/a")</f>
        <v>0</v>
      </c>
      <c r="BT20" s="4" t="n">
        <f aca="false">IFERROR(IF(ISNUMBER(BS20),$C20*BS20,"n/a"),"n/a")</f>
        <v>0</v>
      </c>
      <c r="BU20" s="13" t="n">
        <f aca="false">IFERROR(AVERAGEIF('Pemetaan Variant'!$A$5:$A$32,$B20,'Pemetaan Variant'!$AM$5:$AM$32),"n/a")</f>
        <v>2800</v>
      </c>
      <c r="BV20" s="14" t="n">
        <f aca="false">IFERROR(IF(ISNUMBER(BU20),(BU20-AVERAGEIF('Pemetaan Variant'!$A$5:$A$32,$B20,'Pemetaan Variant'!$H$5:$H$32))/AVERAGEIF('Pemetaan Variant'!$A$5:$A$32,$B20,'Pemetaan Variant'!$H$5:$H$32)*100,"n/a"),"n/a")</f>
        <v>0</v>
      </c>
      <c r="BW20" s="4" t="n">
        <f aca="false">IFERROR(IF(ISNUMBER(BV20),$C20*BV20,"n/a"),"n/a")</f>
        <v>0</v>
      </c>
      <c r="BX20" s="13" t="n">
        <f aca="false">IFERROR(AVERAGEIF('Pemetaan Variant'!$A$5:$A$32,$B20,'Pemetaan Variant'!$AN$5:$AN$32),"n/a")</f>
        <v>2800</v>
      </c>
      <c r="BY20" s="14" t="n">
        <f aca="false">IFERROR(IF(ISNUMBER(BX20),(BX20-AVERAGEIF('Pemetaan Variant'!$A$5:$A$32,$B20,'Pemetaan Variant'!$I$5:$I$32))/AVERAGEIF('Pemetaan Variant'!$A$5:$A$32,$B20,'Pemetaan Variant'!$I$5:$I$32)*100,"n/a"),"n/a")</f>
        <v>0</v>
      </c>
      <c r="BZ20" s="4" t="n">
        <f aca="false">IFERROR(IF(ISNUMBER(BY20),$C20*BY20,"n/a"),"n/a")</f>
        <v>0</v>
      </c>
      <c r="CA20" s="13" t="n">
        <f aca="false">IFERROR(AVERAGEIF('Pemetaan Variant'!$A$5:$A$32,$B20,'Pemetaan Variant'!$AO$5:$AO$32),"n/a")</f>
        <v>2800</v>
      </c>
      <c r="CB20" s="14" t="n">
        <f aca="false">IFERROR(IF(ISNUMBER(CA20),(CA20-AVERAGEIF('Pemetaan Variant'!$A$5:$A$32,$B20,'Pemetaan Variant'!$I$5:$I$32))/AVERAGEIF('Pemetaan Variant'!$A$5:$A$32,$B20,'Pemetaan Variant'!$I$5:$I$32)*100,"n/a"),"n/a")</f>
        <v>0</v>
      </c>
      <c r="CC20" s="4" t="n">
        <f aca="false">IFERROR(IF(ISNUMBER(CB20),$C20*CB20,"n/a"),"n/a")</f>
        <v>0</v>
      </c>
      <c r="CD20" s="13" t="n">
        <f aca="false">IFERROR(AVERAGEIF('Pemetaan Variant'!$A$5:$A$32,$B20,'Pemetaan Variant'!$AP$5:$AP$32),"n/a")</f>
        <v>2800</v>
      </c>
      <c r="CE20" s="14" t="n">
        <f aca="false">IFERROR(IF(ISNUMBER(CD20),(CD20-AVERAGEIF('Pemetaan Variant'!$A$5:$A$32,$B20,'Pemetaan Variant'!$I$5:$I$32))/AVERAGEIF('Pemetaan Variant'!$A$5:$A$32,$B20,'Pemetaan Variant'!$I$5:$I$32)*100,"n/a"),"n/a")</f>
        <v>0</v>
      </c>
      <c r="CF20" s="4" t="n">
        <f aca="false">IFERROR(IF(ISNUMBER(CE20),$C20*CE20,"n/a"),"n/a")</f>
        <v>0</v>
      </c>
      <c r="CG20" s="13" t="n">
        <f aca="false">IFERROR(AVERAGEIF('Pemetaan Variant'!$A$5:$A$32,$B20,'Pemetaan Variant'!$AQ$5:$AQ$32),"n/a")</f>
        <v>2800</v>
      </c>
      <c r="CH20" s="14" t="n">
        <f aca="false">IFERROR(IF(ISNUMBER(CG20),(CG20-AVERAGEIF('Pemetaan Variant'!$A$5:$A$32,$B20,'Pemetaan Variant'!$I$5:$I$32))/AVERAGEIF('Pemetaan Variant'!$A$5:$A$32,$B20,'Pemetaan Variant'!$I$5:$I$32)*100,"n/a"),"n/a")</f>
        <v>0</v>
      </c>
      <c r="CI20" s="4" t="n">
        <f aca="false">IFERROR(IF(ISNUMBER(CH20),$C20*CH20,"n/a"),"n/a")</f>
        <v>0</v>
      </c>
      <c r="CJ20" s="13" t="n">
        <f aca="false">IFERROR(AVERAGEIF('Pemetaan Variant'!$A$5:$A$32,$B20,'Pemetaan Variant'!$AR$5:$AR$32),"n/a")</f>
        <v>2800</v>
      </c>
      <c r="CK20" s="14" t="n">
        <f aca="false">IFERROR(IF(ISNUMBER(CJ20),(CJ20-AVERAGEIF('Pemetaan Variant'!$A$5:$A$32,$B20,'Pemetaan Variant'!$J$5:$J$32))/AVERAGEIF('Pemetaan Variant'!$A$5:$A$32,$B20,'Pemetaan Variant'!$J$5:$J$32)*100,"n/a"),"n/a")</f>
        <v>0</v>
      </c>
      <c r="CL20" s="4" t="n">
        <f aca="false">IFERROR(IF(ISNUMBER(CK20),$C20*CK20,"n/a"),"n/a")</f>
        <v>0</v>
      </c>
      <c r="CM20" s="13" t="n">
        <f aca="false">IFERROR(AVERAGEIF('Pemetaan Variant'!$A$5:$A$32,$B20,'Pemetaan Variant'!$AS$5:$AS$32),"n/a")</f>
        <v>2800</v>
      </c>
      <c r="CN20" s="14" t="n">
        <f aca="false">IFERROR(IF(ISNUMBER(CM20),(CM20-AVERAGEIF('Pemetaan Variant'!$A$5:$A$32,$B20,'Pemetaan Variant'!$J$5:$J$32))/AVERAGEIF('Pemetaan Variant'!$A$5:$A$32,$B20,'Pemetaan Variant'!$J$5:$J$32)*100,"n/a"),"n/a")</f>
        <v>0</v>
      </c>
      <c r="CO20" s="4" t="n">
        <f aca="false">IFERROR(IF(ISNUMBER(CN20),$C20*CN20,"n/a"),"n/a")</f>
        <v>0</v>
      </c>
      <c r="CP20" s="13" t="n">
        <f aca="false">IFERROR(AVERAGEIF('Pemetaan Variant'!$A$5:$A$32,$B20,'Pemetaan Variant'!$AT$5:$AT$32),"n/a")</f>
        <v>2800</v>
      </c>
      <c r="CQ20" s="14" t="n">
        <f aca="false">IFERROR(IF(ISNUMBER(CP20),(CP20-AVERAGEIF('Pemetaan Variant'!$A$5:$A$32,$B20,'Pemetaan Variant'!$J$5:$J$32))/AVERAGEIF('Pemetaan Variant'!$A$5:$A$32,$B20,'Pemetaan Variant'!$J$5:$J$32)*100,"n/a"),"n/a")</f>
        <v>0</v>
      </c>
      <c r="CR20" s="4" t="n">
        <f aca="false">IFERROR(IF(ISNUMBER(CQ20),$C20*CQ20,"n/a"),"n/a")</f>
        <v>0</v>
      </c>
      <c r="CS20" s="13" t="n">
        <f aca="false">IFERROR(AVERAGEIF('Pemetaan Variant'!$A$5:$A$32,$B20,'Pemetaan Variant'!$AU$5:$AU$32),"n/a")</f>
        <v>2800</v>
      </c>
      <c r="CT20" s="14" t="n">
        <f aca="false">IFERROR(IF(ISNUMBER(CS20),(CS20-AVERAGEIF('Pemetaan Variant'!$A$5:$A$32,$B20,'Pemetaan Variant'!$J$5:$J$32))/AVERAGEIF('Pemetaan Variant'!$A$5:$A$32,$B20,'Pemetaan Variant'!$J$5:$J$32)*100,"n/a"),"n/a")</f>
        <v>0</v>
      </c>
      <c r="CU20" s="4" t="n">
        <f aca="false">IFERROR(IF(ISNUMBER(CT20),$C20*CT20,"n/a"),"n/a")</f>
        <v>0</v>
      </c>
      <c r="CV20" s="13" t="n">
        <f aca="false">IFERROR(AVERAGEIF('Pemetaan Variant'!$A$5:$A$32,$B20,'Pemetaan Variant'!$AV$5:$AV$32),"n/a")</f>
        <v>2800</v>
      </c>
      <c r="CW20" s="14" t="n">
        <f aca="false">IFERROR(IF(ISNUMBER(CV20),(CV20-AVERAGEIF('Pemetaan Variant'!$A$5:$A$32,$B20,'Pemetaan Variant'!$J$5:$J$32))/AVERAGEIF('Pemetaan Variant'!$A$5:$A$32,$B20,'Pemetaan Variant'!$J$5:$J$32)*100,"n/a"),"n/a")</f>
        <v>0</v>
      </c>
      <c r="CX20" s="4" t="n">
        <f aca="false">IFERROR(IF(ISNUMBER(CW20),$C20*CW20,"n/a"),"n/a")</f>
        <v>0</v>
      </c>
      <c r="CY20" s="13" t="n">
        <f aca="false">IFERROR(AVERAGEIF('Pemetaan Variant'!$A$5:$A$32,$B20,'Pemetaan Variant'!$AW$5:$AW$32),"n/a")</f>
        <v>2800</v>
      </c>
      <c r="CZ20" s="14" t="n">
        <f aca="false">IFERROR(IF(ISNUMBER(CY20),(CY20-AVERAGEIF('Pemetaan Variant'!$A$5:$A$32,$B20,'Pemetaan Variant'!$K$5:$K$32))/AVERAGEIF('Pemetaan Variant'!$A$5:$A$32,$B20,'Pemetaan Variant'!$K$5:$K$32)*100,"n/a"),"n/a")</f>
        <v>0</v>
      </c>
      <c r="DA20" s="4" t="n">
        <f aca="false">IFERROR(IF(ISNUMBER(CZ20),$C20*CZ20,"n/a"),"n/a")</f>
        <v>0</v>
      </c>
      <c r="DB20" s="13" t="n">
        <f aca="false">IFERROR(AVERAGEIF('Pemetaan Variant'!$A$5:$A$32,$B20,'Pemetaan Variant'!$AX$5:$AX$32),"n/a")</f>
        <v>2800</v>
      </c>
      <c r="DC20" s="14" t="n">
        <f aca="false">IFERROR(IF(ISNUMBER(DB20),(DB20-AVERAGEIF('Pemetaan Variant'!$A$5:$A$32,$B20,'Pemetaan Variant'!$K$5:$K$32))/AVERAGEIF('Pemetaan Variant'!$A$5:$A$32,$B20,'Pemetaan Variant'!$K$5:$K$32)*100,"n/a"),"n/a")</f>
        <v>0</v>
      </c>
      <c r="DD20" s="4" t="n">
        <f aca="false">IFERROR(IF(ISNUMBER(DC20),$C20*DC20,"n/a"),"n/a")</f>
        <v>0</v>
      </c>
      <c r="DE20" s="13" t="n">
        <f aca="false">IFERROR(AVERAGEIF('Pemetaan Variant'!$A$5:$A$32,$B20,'Pemetaan Variant'!$AY$5:$AY$32),"n/a")</f>
        <v>2800</v>
      </c>
      <c r="DF20" s="14" t="n">
        <f aca="false">IFERROR(IF(ISNUMBER(DE20),(DE20-AVERAGEIF('Pemetaan Variant'!$A$5:$A$32,$B20,'Pemetaan Variant'!$K$5:$K$32))/AVERAGEIF('Pemetaan Variant'!$A$5:$A$32,$B20,'Pemetaan Variant'!$K$5:$K$32)*100,"n/a"),"n/a")</f>
        <v>0</v>
      </c>
      <c r="DG20" s="4" t="n">
        <f aca="false">IFERROR(IF(ISNUMBER(DF20),$C20*DF20,"n/a"),"n/a")</f>
        <v>0</v>
      </c>
      <c r="DH20" s="13" t="n">
        <f aca="false">IFERROR(AVERAGEIF('Pemetaan Variant'!$A$5:$A$32,$B20,'Pemetaan Variant'!$AZ$5:$AZ$32),"n/a")</f>
        <v>2800</v>
      </c>
      <c r="DI20" s="14" t="n">
        <f aca="false">IFERROR(IF(ISNUMBER(DH20),(DH20-AVERAGEIF('Pemetaan Variant'!$A$5:$A$32,$B20,'Pemetaan Variant'!$K$5:$K$32))/AVERAGEIF('Pemetaan Variant'!$A$5:$A$32,$B20,'Pemetaan Variant'!$K$5:$K$32)*100,"n/a"),"n/a")</f>
        <v>0</v>
      </c>
      <c r="DJ20" s="4" t="n">
        <f aca="false">IFERROR(IF(ISNUMBER(DI20),$C20*DI20,"n/a"),"n/a")</f>
        <v>0</v>
      </c>
      <c r="DK20" s="13" t="n">
        <f aca="false">IFERROR(AVERAGEIF('Pemetaan Variant'!$A$5:$A$32,$B20,'Pemetaan Variant'!$BA$5:$BA$32),"n/a")</f>
        <v>2800</v>
      </c>
      <c r="DL20" s="14" t="n">
        <f aca="false">IFERROR(IF(ISNUMBER(DK20),(DK20-AVERAGEIF('Pemetaan Variant'!$A$5:$A$32,$B20,'Pemetaan Variant'!$L$5:$L$32))/AVERAGEIF('Pemetaan Variant'!$A$5:$A$32,$B20,'Pemetaan Variant'!$L$5:$L$32)*100,"n/a"),"n/a")</f>
        <v>0</v>
      </c>
      <c r="DM20" s="4" t="n">
        <f aca="false">IFERROR(IF(ISNUMBER(DL20),$C20*DL20,"n/a"),"n/a")</f>
        <v>0</v>
      </c>
      <c r="DN20" s="13" t="n">
        <f aca="false">IFERROR(AVERAGEIF('Pemetaan Variant'!$A$5:$A$32,$B20,'Pemetaan Variant'!$BB$5:$BB$32),"n/a")</f>
        <v>2800</v>
      </c>
      <c r="DO20" s="14" t="n">
        <f aca="false">IFERROR(IF(ISNUMBER(DN20),(DN20-AVERAGEIF('Pemetaan Variant'!$A$5:$A$32,$B20,'Pemetaan Variant'!$L$5:$L$32))/AVERAGEIF('Pemetaan Variant'!$A$5:$A$32,$B20,'Pemetaan Variant'!$L$5:$L$32)*100,"n/a"),"n/a")</f>
        <v>0</v>
      </c>
      <c r="DP20" s="4" t="n">
        <f aca="false">IFERROR(IF(ISNUMBER(DO20),$C20*DO20,"n/a"),"n/a")</f>
        <v>0</v>
      </c>
      <c r="DQ20" s="13" t="n">
        <f aca="false">IFERROR(AVERAGEIF('Pemetaan Variant'!$A$5:$A$32,$B20,'Pemetaan Variant'!$BC$5:$BC$32),"n/a")</f>
        <v>2800</v>
      </c>
      <c r="DR20" s="14" t="n">
        <f aca="false">IFERROR(IF(ISNUMBER(DQ20),(DQ20-AVERAGEIF('Pemetaan Variant'!$A$5:$A$32,$B20,'Pemetaan Variant'!$L$5:$L$32))/AVERAGEIF('Pemetaan Variant'!$A$5:$A$32,$B20,'Pemetaan Variant'!$L$5:$L$32)*100,"n/a"),"n/a")</f>
        <v>0</v>
      </c>
      <c r="DS20" s="4" t="n">
        <f aca="false">IFERROR(IF(ISNUMBER(DR20),$C20*DR20,"n/a"),"n/a")</f>
        <v>0</v>
      </c>
      <c r="DT20" s="13" t="n">
        <f aca="false">IFERROR(AVERAGEIF('Pemetaan Variant'!$A$5:$A$32,$B20,'Pemetaan Variant'!$BD$5:$BD$32),"n/a")</f>
        <v>2800</v>
      </c>
      <c r="DU20" s="14" t="n">
        <f aca="false">IFERROR(IF(ISNUMBER(DT20),(DT20-AVERAGEIF('Pemetaan Variant'!$A$5:$A$32,$B20,'Pemetaan Variant'!$L$5:$L$32))/AVERAGEIF('Pemetaan Variant'!$A$5:$A$32,$B20,'Pemetaan Variant'!$L$5:$L$32)*100,"n/a"),"n/a")</f>
        <v>0</v>
      </c>
      <c r="DV20" s="4" t="n">
        <f aca="false">IFERROR(IF(ISNUMBER(DU20),$C20*DU20,"n/a"),"n/a")</f>
        <v>0</v>
      </c>
      <c r="DW20" s="13" t="n">
        <f aca="false">IFERROR(AVERAGEIF('Pemetaan Variant'!$A$5:$A$32,$B20,'Pemetaan Variant'!$BE$5:$BE$32),"n/a")</f>
        <v>2800</v>
      </c>
      <c r="DX20" s="14" t="n">
        <f aca="false">IFERROR(IF(ISNUMBER(DW20),(DW20-AVERAGEIF('Pemetaan Variant'!$A$5:$A$32,$B20,'Pemetaan Variant'!$M$5:$M$32))/AVERAGEIF('Pemetaan Variant'!$A$5:$A$32,$B20,'Pemetaan Variant'!$M$5:$M$32)*100,"n/a"),"n/a")</f>
        <v>0</v>
      </c>
      <c r="DY20" s="4" t="n">
        <f aca="false">IFERROR(IF(ISNUMBER(DX20),$C20*DX20,"n/a"),"n/a")</f>
        <v>0</v>
      </c>
      <c r="DZ20" s="13" t="n">
        <f aca="false">IFERROR(AVERAGEIF('Pemetaan Variant'!$A$5:$A$32,$B20,'Pemetaan Variant'!$BF$5:$BF$32),"n/a")</f>
        <v>2800</v>
      </c>
      <c r="EA20" s="14" t="n">
        <f aca="false">IFERROR(IF(ISNUMBER(DZ20),(DZ20-AVERAGEIF('Pemetaan Variant'!$A$5:$A$32,$B20,'Pemetaan Variant'!$M$5:$M$32))/AVERAGEIF('Pemetaan Variant'!$A$5:$A$32,$B20,'Pemetaan Variant'!$M$5:$M$32)*100,"n/a"),"n/a")</f>
        <v>0</v>
      </c>
      <c r="EB20" s="4" t="n">
        <f aca="false">IFERROR(IF(ISNUMBER(EA20),$C20*EA20,"n/a"),"n/a")</f>
        <v>0</v>
      </c>
      <c r="EC20" s="13" t="n">
        <f aca="false">IFERROR(AVERAGEIF('Pemetaan Variant'!$A$5:$A$32,$B20,'Pemetaan Variant'!$BG$5:$BG$32),"n/a")</f>
        <v>2800</v>
      </c>
      <c r="ED20" s="14" t="n">
        <f aca="false">IFERROR(IF(ISNUMBER(EC20),(EC20-AVERAGEIF('Pemetaan Variant'!$A$5:$A$32,$B20,'Pemetaan Variant'!$M$5:$M$32))/AVERAGEIF('Pemetaan Variant'!$A$5:$A$32,$B20,'Pemetaan Variant'!$M$5:$M$32)*100,"n/a"),"n/a")</f>
        <v>0</v>
      </c>
      <c r="EE20" s="4" t="n">
        <f aca="false">IFERROR(IF(ISNUMBER(ED20),$C20*ED20,"n/a"),"n/a")</f>
        <v>0</v>
      </c>
      <c r="EF20" s="13" t="n">
        <f aca="false">IFERROR(AVERAGEIF('Pemetaan Variant'!$A$5:$A$32,$B20,'Pemetaan Variant'!$BH$5:$BH$32),"n/a")</f>
        <v>2800</v>
      </c>
      <c r="EG20" s="14" t="n">
        <f aca="false">IFERROR(IF(ISNUMBER(EF20),(EF20-AVERAGEIF('Pemetaan Variant'!$A$5:$A$32,$B20,'Pemetaan Variant'!$M$5:$M$32))/AVERAGEIF('Pemetaan Variant'!$A$5:$A$32,$B20,'Pemetaan Variant'!$M$5:$M$32)*100,"n/a"),"n/a")</f>
        <v>0</v>
      </c>
      <c r="EH20" s="4" t="n">
        <f aca="false">IFERROR(IF(ISNUMBER(EG20),$C20*EG20,"n/a"),"n/a")</f>
        <v>0</v>
      </c>
      <c r="EI20" s="13" t="n">
        <f aca="false">IFERROR(AVERAGEIF('Pemetaan Variant'!$A$5:$A$32,$B20,'Pemetaan Variant'!$BI$5:$BI$32),"n/a")</f>
        <v>2800</v>
      </c>
      <c r="EJ20" s="14" t="n">
        <f aca="false">IFERROR(IF(ISNUMBER(EI20),(EI20-AVERAGEIF('Pemetaan Variant'!$A$5:$A$32,$B20,'Pemetaan Variant'!$M$5:$M$32))/AVERAGEIF('Pemetaan Variant'!$A$5:$A$32,$B20,'Pemetaan Variant'!$M$5:$M$32)*100,"n/a"),"n/a")</f>
        <v>0</v>
      </c>
      <c r="EK20" s="4" t="n">
        <f aca="false">IFERROR(IF(ISNUMBER(EJ20),$C20*EJ20,"n/a"),"n/a")</f>
        <v>0</v>
      </c>
      <c r="EL20" s="13" t="n">
        <f aca="false">IFERROR(AVERAGEIF('Pemetaan Variant'!$A$5:$A$32,$B20,'Pemetaan Variant'!$BJ$5:$BJ$32),"n/a")</f>
        <v>2800</v>
      </c>
      <c r="EM20" s="14" t="n">
        <f aca="false">IFERROR(IF(ISNUMBER(EL20),(EL20-AVERAGEIF('Pemetaan Variant'!$A$5:$A$32,$B20,'Pemetaan Variant'!$N$5:$N$32))/AVERAGEIF('Pemetaan Variant'!$A$5:$A$32,$B20,'Pemetaan Variant'!$N$5:$N$32)*100,"n/a"),"n/a")</f>
        <v>0</v>
      </c>
      <c r="EN20" s="4" t="n">
        <f aca="false">IFERROR(IF(ISNUMBER(EM20),$C20*EM20,"n/a"),"n/a")</f>
        <v>0</v>
      </c>
      <c r="EO20" s="13" t="n">
        <f aca="false">IFERROR(AVERAGEIF('Pemetaan Variant'!$A$5:$A$32,$B20,'Pemetaan Variant'!$BK$5:$BK$32),"n/a")</f>
        <v>2800</v>
      </c>
      <c r="EP20" s="14" t="n">
        <f aca="false">IFERROR(IF(ISNUMBER(EO20),(EO20-AVERAGEIF('Pemetaan Variant'!$A$5:$A$32,$B20,'Pemetaan Variant'!$N$5:$N$32))/AVERAGEIF('Pemetaan Variant'!$A$5:$A$32,$B20,'Pemetaan Variant'!$N$5:$N$32)*100,"n/a"),"n/a")</f>
        <v>0</v>
      </c>
      <c r="EQ20" s="4" t="n">
        <f aca="false">IFERROR(IF(ISNUMBER(EP20),$C20*EP20,"n/a"),"n/a")</f>
        <v>0</v>
      </c>
      <c r="ER20" s="13" t="n">
        <f aca="false">IFERROR(AVERAGEIF('Pemetaan Variant'!$A$5:$A$32,$B20,'Pemetaan Variant'!$BL$5:$BL$32),"n/a")</f>
        <v>2800</v>
      </c>
      <c r="ES20" s="14" t="n">
        <f aca="false">IFERROR(IF(ISNUMBER(ER20),(ER20-AVERAGEIF('Pemetaan Variant'!$A$5:$A$32,$B20,'Pemetaan Variant'!$N$5:$N$32))/AVERAGEIF('Pemetaan Variant'!$A$5:$A$32,$B20,'Pemetaan Variant'!$N$5:$N$32)*100,"n/a"),"n/a")</f>
        <v>0</v>
      </c>
      <c r="ET20" s="4" t="n">
        <f aca="false">IFERROR(IF(ISNUMBER(ES20),$C20*ES20,"n/a"),"n/a")</f>
        <v>0</v>
      </c>
      <c r="EU20" s="13" t="n">
        <f aca="false">IFERROR(AVERAGEIF('Pemetaan Variant'!$A$5:$A$32,$B20,'Pemetaan Variant'!$BM$5:$BM$32),"n/a")</f>
        <v>2800</v>
      </c>
      <c r="EV20" s="14" t="n">
        <f aca="false">IFERROR(IF(ISNUMBER(EU20),(EU20-AVERAGEIF('Pemetaan Variant'!$A$5:$A$32,$B20,'Pemetaan Variant'!$N$5:$N$32))/AVERAGEIF('Pemetaan Variant'!$A$5:$A$32,$B20,'Pemetaan Variant'!$N$5:$N$32)*100,"n/a"),"n/a")</f>
        <v>0</v>
      </c>
      <c r="EW20" s="4" t="n">
        <f aca="false">IFERROR(IF(ISNUMBER(EV20),$C20*EV20,"n/a"),"n/a")</f>
        <v>0</v>
      </c>
      <c r="EX20" s="13" t="n">
        <f aca="false">IFERROR(AVERAGEIF('Pemetaan Variant'!$A$5:$A$32,$B20,'Pemetaan Variant'!$BN$5:$BN$32),"n/a")</f>
        <v>2800</v>
      </c>
      <c r="EY20" s="14" t="n">
        <f aca="false">IFERROR(IF(ISNUMBER(EX20),(EX20-AVERAGEIF('Pemetaan Variant'!$A$5:$A$32,$B20,'Pemetaan Variant'!$O$5:$O$32))/AVERAGEIF('Pemetaan Variant'!$A$5:$A$32,$B20,'Pemetaan Variant'!$O$5:$O$32)*100,"n/a"),"n/a")</f>
        <v>0</v>
      </c>
      <c r="EZ20" s="4" t="n">
        <f aca="false">IFERROR(IF(ISNUMBER(EY20),$C20*EY20,"n/a"),"n/a")</f>
        <v>0</v>
      </c>
      <c r="FA20" s="13" t="n">
        <f aca="false">IFERROR(AVERAGEIF('Pemetaan Variant'!$A$5:$A$32,$B20,'Pemetaan Variant'!$BO$5:$BO$32),"n/a")</f>
        <v>2800</v>
      </c>
      <c r="FB20" s="14" t="n">
        <f aca="false">IFERROR(IF(ISNUMBER(FA20),(FA20-AVERAGEIF('Pemetaan Variant'!$A$5:$A$32,$B20,'Pemetaan Variant'!$O$5:$O$32))/AVERAGEIF('Pemetaan Variant'!$A$5:$A$32,$B20,'Pemetaan Variant'!$O$5:$O$32)*100,"n/a"),"n/a")</f>
        <v>0</v>
      </c>
      <c r="FC20" s="4" t="n">
        <f aca="false">IFERROR(IF(ISNUMBER(FB20),$C20*FB20,"n/a"),"n/a")</f>
        <v>0</v>
      </c>
      <c r="FD20" s="13" t="n">
        <f aca="false">IFERROR(AVERAGEIF('Pemetaan Variant'!$A$5:$A$32,$B20,'Pemetaan Variant'!$BP$5:$BP$32),"n/a")</f>
        <v>2800</v>
      </c>
      <c r="FE20" s="14" t="n">
        <f aca="false">IFERROR(IF(ISNUMBER(FD20),(FD20-AVERAGEIF('Pemetaan Variant'!$A$5:$A$32,$B20,'Pemetaan Variant'!$O$5:$O$32))/AVERAGEIF('Pemetaan Variant'!$A$5:$A$32,$B20,'Pemetaan Variant'!$O$5:$O$32)*100,"n/a"),"n/a")</f>
        <v>0</v>
      </c>
      <c r="FF20" s="4" t="n">
        <f aca="false">IFERROR(IF(ISNUMBER(FE20),$C20*FE20,"n/a"),"n/a")</f>
        <v>0</v>
      </c>
      <c r="FG20" s="13" t="n">
        <f aca="false">IFERROR(AVERAGEIF('Pemetaan Variant'!$A$5:$A$32,$B20,'Pemetaan Variant'!$BQ$5:$BQ$32),"n/a")</f>
        <v>2800</v>
      </c>
      <c r="FH20" s="14" t="n">
        <f aca="false">IFERROR(IF(ISNUMBER(FG20),(FG20-AVERAGEIF('Pemetaan Variant'!$A$5:$A$32,$B20,'Pemetaan Variant'!$O$5:$O$32))/AVERAGEIF('Pemetaan Variant'!$A$5:$A$32,$B20,'Pemetaan Variant'!$O$5:$O$32)*100,"n/a"),"n/a")</f>
        <v>0</v>
      </c>
      <c r="FI20" s="4" t="n">
        <f aca="false">IFERROR(IF(ISNUMBER(FH20),$C20*FH20,"n/a"),"n/a")</f>
        <v>0</v>
      </c>
      <c r="FJ20" s="13" t="n">
        <f aca="false">IFERROR(AVERAGEIF('Pemetaan Variant'!$A$5:$A$32,$B20,'Pemetaan Variant'!$BR$5:$BR$32),"n/a")</f>
        <v>2800</v>
      </c>
      <c r="FK20" s="14" t="n">
        <f aca="false">IFERROR(IF(ISNUMBER(FJ20),(FJ20-AVERAGEIF('Pemetaan Variant'!$A$5:$A$32,$B20,'Pemetaan Variant'!$O$5:$O$32))/AVERAGEIF('Pemetaan Variant'!$A$5:$A$32,$B20,'Pemetaan Variant'!$O$5:$O$32)*100,"n/a"),"n/a")</f>
        <v>0</v>
      </c>
      <c r="FL20" s="4" t="n">
        <f aca="false">IFERROR(IF(ISNUMBER(FK20),$C20*FK20,"n/a"),"n/a")</f>
        <v>0</v>
      </c>
      <c r="FM20" s="15"/>
      <c r="FO20" s="11" t="n">
        <f aca="false">IFERROR(ABS(F20),0)</f>
        <v>0</v>
      </c>
      <c r="FP20" s="11" t="n">
        <f aca="false">IFERROR(ABS(I20),0)</f>
        <v>0</v>
      </c>
      <c r="FQ20" s="11" t="n">
        <f aca="false">IFERROR(ABS(L20),0)</f>
        <v>0</v>
      </c>
      <c r="FR20" s="11" t="n">
        <f aca="false">IFERROR(ABS(O20),0)</f>
        <v>0</v>
      </c>
      <c r="FS20" s="11" t="n">
        <f aca="false">IFERROR(ABS(R20),0)</f>
        <v>0</v>
      </c>
      <c r="FT20" s="11" t="n">
        <f aca="false">IFERROR(ABS(U20),0)</f>
        <v>0</v>
      </c>
      <c r="FU20" s="11" t="n">
        <f aca="false">IFERROR(ABS(X20),0)</f>
        <v>0</v>
      </c>
      <c r="FV20" s="11" t="n">
        <f aca="false">IFERROR(ABS(AA20),0)</f>
        <v>0</v>
      </c>
      <c r="FW20" s="11" t="n">
        <f aca="false">IFERROR(ABS(AD20),0)</f>
        <v>0</v>
      </c>
      <c r="FX20" s="11" t="n">
        <f aca="false">IFERROR(ABS(AG20),0)</f>
        <v>0</v>
      </c>
      <c r="FY20" s="11" t="n">
        <f aca="false">IFERROR(ABS(AJ20),0)</f>
        <v>0</v>
      </c>
      <c r="FZ20" s="11" t="n">
        <f aca="false">IFERROR(ABS(AM20),0)</f>
        <v>0</v>
      </c>
      <c r="GA20" s="11" t="n">
        <f aca="false">IFERROR(ABS(AP20),0)</f>
        <v>0</v>
      </c>
      <c r="GB20" s="11" t="n">
        <f aca="false">IFERROR(ABS(AS20),0)</f>
        <v>0</v>
      </c>
      <c r="GC20" s="11" t="n">
        <f aca="false">IFERROR(ABS(AV20),0)</f>
        <v>0</v>
      </c>
      <c r="GD20" s="11" t="n">
        <f aca="false">IFERROR(ABS(AY20),0)</f>
        <v>0</v>
      </c>
      <c r="GE20" s="11" t="n">
        <f aca="false">IFERROR(ABS(BB20),0)</f>
        <v>0</v>
      </c>
      <c r="GF20" s="11" t="n">
        <f aca="false">IFERROR(ABS(BE20),0)</f>
        <v>0</v>
      </c>
      <c r="GG20" s="11" t="n">
        <f aca="false">IFERROR(ABS(BH20),0)</f>
        <v>0</v>
      </c>
      <c r="GH20" s="11" t="n">
        <f aca="false">IFERROR(ABS(BK20),0)</f>
        <v>0</v>
      </c>
      <c r="GI20" s="11" t="n">
        <f aca="false">IFERROR(ABS(BN20),0)</f>
        <v>0</v>
      </c>
      <c r="GJ20" s="11" t="n">
        <f aca="false">IFERROR(ABS(BQ20),0)</f>
        <v>0</v>
      </c>
      <c r="GK20" s="11" t="n">
        <f aca="false">IFERROR(ABS(BT20),0)</f>
        <v>0</v>
      </c>
      <c r="GL20" s="11" t="n">
        <f aca="false">IFERROR(ABS(BW20),0)</f>
        <v>0</v>
      </c>
      <c r="GM20" s="11" t="n">
        <f aca="false">IFERROR(ABS(BZ20),0)</f>
        <v>0</v>
      </c>
      <c r="GN20" s="11" t="n">
        <f aca="false">IFERROR(ABS(CC20),0)</f>
        <v>0</v>
      </c>
      <c r="GO20" s="11" t="n">
        <f aca="false">IFERROR(ABS(CF20),0)</f>
        <v>0</v>
      </c>
      <c r="GP20" s="11" t="n">
        <f aca="false">IFERROR(ABS(CI20),0)</f>
        <v>0</v>
      </c>
      <c r="GQ20" s="11" t="n">
        <f aca="false">IFERROR(ABS(CL20),0)</f>
        <v>0</v>
      </c>
      <c r="GR20" s="11" t="n">
        <f aca="false">IFERROR(ABS(CO20),0)</f>
        <v>0</v>
      </c>
      <c r="GS20" s="11" t="n">
        <f aca="false">IFERROR(ABS(CR20),0)</f>
        <v>0</v>
      </c>
      <c r="GT20" s="11" t="n">
        <f aca="false">IFERROR(ABS(CU20),0)</f>
        <v>0</v>
      </c>
      <c r="GU20" s="11" t="n">
        <f aca="false">IFERROR(ABS(CX20),0)</f>
        <v>0</v>
      </c>
      <c r="GV20" s="11" t="n">
        <f aca="false">IFERROR(ABS(DA20),0)</f>
        <v>0</v>
      </c>
      <c r="GW20" s="11" t="n">
        <f aca="false">IFERROR(ABS(DD20),0)</f>
        <v>0</v>
      </c>
      <c r="GX20" s="11" t="n">
        <f aca="false">IFERROR(ABS(DG20),0)</f>
        <v>0</v>
      </c>
      <c r="GY20" s="11" t="n">
        <f aca="false">IFERROR(ABS(DJ20),0)</f>
        <v>0</v>
      </c>
      <c r="GZ20" s="11" t="n">
        <f aca="false">IFERROR(ABS(DM20),0)</f>
        <v>0</v>
      </c>
      <c r="HA20" s="11" t="n">
        <f aca="false">IFERROR(ABS(DP20),0)</f>
        <v>0</v>
      </c>
      <c r="HB20" s="11" t="n">
        <f aca="false">IFERROR(ABS(DS20),0)</f>
        <v>0</v>
      </c>
      <c r="HC20" s="11" t="n">
        <f aca="false">IFERROR(ABS(DV20),0)</f>
        <v>0</v>
      </c>
      <c r="HD20" s="11" t="n">
        <f aca="false">IFERROR(ABS(DY20),0)</f>
        <v>0</v>
      </c>
      <c r="HE20" s="11" t="n">
        <f aca="false">IFERROR(ABS(EB20),0)</f>
        <v>0</v>
      </c>
      <c r="HF20" s="11" t="n">
        <f aca="false">IFERROR(ABS(EE20),0)</f>
        <v>0</v>
      </c>
      <c r="HG20" s="11" t="n">
        <f aca="false">IFERROR(ABS(EH20),0)</f>
        <v>0</v>
      </c>
      <c r="HH20" s="11" t="n">
        <f aca="false">IFERROR(ABS(EK20),0)</f>
        <v>0</v>
      </c>
      <c r="HI20" s="11" t="n">
        <f aca="false">IFERROR(ABS(EN20),0)</f>
        <v>0</v>
      </c>
      <c r="HJ20" s="11" t="n">
        <f aca="false">IFERROR(ABS(EQ20),0)</f>
        <v>0</v>
      </c>
      <c r="HK20" s="11" t="n">
        <f aca="false">IFERROR(ABS(ET20),0)</f>
        <v>0</v>
      </c>
      <c r="HL20" s="11" t="n">
        <f aca="false">IFERROR(ABS(EW20),0)</f>
        <v>0</v>
      </c>
      <c r="HM20" s="11" t="n">
        <f aca="false">IFERROR(ABS(EZ20),0)</f>
        <v>0</v>
      </c>
      <c r="HN20" s="11" t="n">
        <f aca="false">IFERROR(ABS(FC20),0)</f>
        <v>0</v>
      </c>
      <c r="HO20" s="11" t="n">
        <f aca="false">IFERROR(ABS(FF20),0)</f>
        <v>0</v>
      </c>
      <c r="HP20" s="11" t="n">
        <f aca="false">IFERROR(ABS(FI20),0)</f>
        <v>0</v>
      </c>
      <c r="HQ20" s="11" t="n">
        <f aca="false">IFERROR(ABS(FL20),0)</f>
        <v>0</v>
      </c>
    </row>
    <row r="21" customFormat="false" ht="15" hidden="false" customHeight="false" outlineLevel="0" collapsed="false">
      <c r="A21" s="3" t="n">
        <v>16</v>
      </c>
      <c r="B21" s="3" t="s">
        <v>253</v>
      </c>
      <c r="C21" s="12" t="n">
        <f aca="false">'P0Q0 Dasar 2022'!F20</f>
        <v>0.184613466503293</v>
      </c>
      <c r="D21" s="13" t="n">
        <f aca="false">IFERROR(AVERAGEIF('Pemetaan Variant'!$A$5:$A$32,$B21,'Pemetaan Variant'!$P$5:$P$32),"n/a")</f>
        <v>10500</v>
      </c>
      <c r="E21" s="14" t="n">
        <f aca="false">IFERROR(IF(ISNUMBER(D21),(D21-AVERAGEIF('Pemetaan Variant'!$A$5:$A$32,$B21,'Pemetaan Variant'!$D$5:$D$32))/AVERAGEIF('Pemetaan Variant'!$A$5:$A$32,$B21,'Pemetaan Variant'!$D$5:$D$32)*100,"n/a"),"n/a")</f>
        <v>0</v>
      </c>
      <c r="F21" s="4" t="n">
        <f aca="false">IFERROR(IF(ISNUMBER(E21),$C21*E21,"n/a"),"n/a")</f>
        <v>0</v>
      </c>
      <c r="G21" s="13" t="n">
        <f aca="false">IFERROR(AVERAGEIF('Pemetaan Variant'!$A$5:$A$32,$B21,'Pemetaan Variant'!$Q$5:$Q$32),"n/a")</f>
        <v>10500</v>
      </c>
      <c r="H21" s="14" t="n">
        <f aca="false">IFERROR(IF(ISNUMBER(G21),(G21-AVERAGEIF('Pemetaan Variant'!$A$5:$A$32,$B21,'Pemetaan Variant'!$D$5:$D$32))/AVERAGEIF('Pemetaan Variant'!$A$5:$A$32,$B21,'Pemetaan Variant'!$D$5:$D$32)*100,"n/a"),"n/a")</f>
        <v>0</v>
      </c>
      <c r="I21" s="4" t="n">
        <f aca="false">IFERROR(IF(ISNUMBER(H21),$C21*H21,"n/a"),"n/a")</f>
        <v>0</v>
      </c>
      <c r="J21" s="13" t="n">
        <f aca="false">IFERROR(AVERAGEIF('Pemetaan Variant'!$A$5:$A$32,$B21,'Pemetaan Variant'!$R$5:$R$32),"n/a")</f>
        <v>10500</v>
      </c>
      <c r="K21" s="14" t="n">
        <f aca="false">IFERROR(IF(ISNUMBER(J21),(J21-AVERAGEIF('Pemetaan Variant'!$A$5:$A$32,$B21,'Pemetaan Variant'!$D$5:$D$32))/AVERAGEIF('Pemetaan Variant'!$A$5:$A$32,$B21,'Pemetaan Variant'!$D$5:$D$32)*100,"n/a"),"n/a")</f>
        <v>0</v>
      </c>
      <c r="L21" s="4" t="n">
        <f aca="false">IFERROR(IF(ISNUMBER(K21),$C21*K21,"n/a"),"n/a")</f>
        <v>0</v>
      </c>
      <c r="M21" s="13" t="n">
        <f aca="false">IFERROR(AVERAGEIF('Pemetaan Variant'!$A$5:$A$32,$B21,'Pemetaan Variant'!$S$5:$S$32),"n/a")</f>
        <v>10500</v>
      </c>
      <c r="N21" s="14" t="n">
        <f aca="false">IFERROR(IF(ISNUMBER(M21),(M21-AVERAGEIF('Pemetaan Variant'!$A$5:$A$32,$B21,'Pemetaan Variant'!$D$5:$D$32))/AVERAGEIF('Pemetaan Variant'!$A$5:$A$32,$B21,'Pemetaan Variant'!$D$5:$D$32)*100,"n/a"),"n/a")</f>
        <v>0</v>
      </c>
      <c r="O21" s="4" t="n">
        <f aca="false">IFERROR(IF(ISNUMBER(N21),$C21*N21,"n/a"),"n/a")</f>
        <v>0</v>
      </c>
      <c r="P21" s="13" t="n">
        <f aca="false">IFERROR(AVERAGEIF('Pemetaan Variant'!$A$5:$A$32,$B21,'Pemetaan Variant'!$T$5:$T$32),"n/a")</f>
        <v>10500</v>
      </c>
      <c r="Q21" s="14" t="n">
        <f aca="false">IFERROR(IF(ISNUMBER(P21),(P21-AVERAGEIF('Pemetaan Variant'!$A$5:$A$32,$B21,'Pemetaan Variant'!$D$5:$D$32))/AVERAGEIF('Pemetaan Variant'!$A$5:$A$32,$B21,'Pemetaan Variant'!$D$5:$D$32)*100,"n/a"),"n/a")</f>
        <v>0</v>
      </c>
      <c r="R21" s="4" t="n">
        <f aca="false">IFERROR(IF(ISNUMBER(Q21),$C21*Q21,"n/a"),"n/a")</f>
        <v>0</v>
      </c>
      <c r="S21" s="13" t="n">
        <f aca="false">IFERROR(AVERAGEIF('Pemetaan Variant'!$A$5:$A$32,$B21,'Pemetaan Variant'!$U$5:$U$32),"n/a")</f>
        <v>10500</v>
      </c>
      <c r="T21" s="14" t="n">
        <f aca="false">IFERROR(IF(ISNUMBER(S21),(S21-AVERAGEIF('Pemetaan Variant'!$A$5:$A$32,$B21,'Pemetaan Variant'!$E$5:$E$32))/AVERAGEIF('Pemetaan Variant'!$A$5:$A$32,$B21,'Pemetaan Variant'!$E$5:$E$32)*100,"n/a"),"n/a")</f>
        <v>0</v>
      </c>
      <c r="U21" s="4" t="n">
        <f aca="false">IFERROR(IF(ISNUMBER(T21),$C21*T21,"n/a"),"n/a")</f>
        <v>0</v>
      </c>
      <c r="V21" s="13" t="n">
        <f aca="false">IFERROR(AVERAGEIF('Pemetaan Variant'!$A$5:$A$32,$B21,'Pemetaan Variant'!$V$5:$V$32),"n/a")</f>
        <v>10500</v>
      </c>
      <c r="W21" s="14" t="n">
        <f aca="false">IFERROR(IF(ISNUMBER(V21),(V21-AVERAGEIF('Pemetaan Variant'!$A$5:$A$32,$B21,'Pemetaan Variant'!$E$5:$E$32))/AVERAGEIF('Pemetaan Variant'!$A$5:$A$32,$B21,'Pemetaan Variant'!$E$5:$E$32)*100,"n/a"),"n/a")</f>
        <v>0</v>
      </c>
      <c r="X21" s="4" t="n">
        <f aca="false">IFERROR(IF(ISNUMBER(W21),$C21*W21,"n/a"),"n/a")</f>
        <v>0</v>
      </c>
      <c r="Y21" s="13" t="n">
        <f aca="false">IFERROR(AVERAGEIF('Pemetaan Variant'!$A$5:$A$32,$B21,'Pemetaan Variant'!$W$5:$W$32),"n/a")</f>
        <v>10500</v>
      </c>
      <c r="Z21" s="14" t="n">
        <f aca="false">IFERROR(IF(ISNUMBER(Y21),(Y21-AVERAGEIF('Pemetaan Variant'!$A$5:$A$32,$B21,'Pemetaan Variant'!$E$5:$E$32))/AVERAGEIF('Pemetaan Variant'!$A$5:$A$32,$B21,'Pemetaan Variant'!$E$5:$E$32)*100,"n/a"),"n/a")</f>
        <v>0</v>
      </c>
      <c r="AA21" s="4" t="n">
        <f aca="false">IFERROR(IF(ISNUMBER(Z21),$C21*Z21,"n/a"),"n/a")</f>
        <v>0</v>
      </c>
      <c r="AB21" s="13" t="n">
        <f aca="false">IFERROR(AVERAGEIF('Pemetaan Variant'!$A$5:$A$32,$B21,'Pemetaan Variant'!$X$5:$X$32),"n/a")</f>
        <v>10500</v>
      </c>
      <c r="AC21" s="14" t="n">
        <f aca="false">IFERROR(IF(ISNUMBER(AB21),(AB21-AVERAGEIF('Pemetaan Variant'!$A$5:$A$32,$B21,'Pemetaan Variant'!$E$5:$E$32))/AVERAGEIF('Pemetaan Variant'!$A$5:$A$32,$B21,'Pemetaan Variant'!$E$5:$E$32)*100,"n/a"),"n/a")</f>
        <v>0</v>
      </c>
      <c r="AD21" s="4" t="n">
        <f aca="false">IFERROR(IF(ISNUMBER(AC21),$C21*AC21,"n/a"),"n/a")</f>
        <v>0</v>
      </c>
      <c r="AE21" s="13" t="n">
        <f aca="false">IFERROR(AVERAGEIF('Pemetaan Variant'!$A$5:$A$32,$B21,'Pemetaan Variant'!$Y$5:$Y$32),"n/a")</f>
        <v>10500</v>
      </c>
      <c r="AF21" s="14" t="n">
        <f aca="false">IFERROR(IF(ISNUMBER(AE21),(AE21-AVERAGEIF('Pemetaan Variant'!$A$5:$A$32,$B21,'Pemetaan Variant'!$F$5:$F$32))/AVERAGEIF('Pemetaan Variant'!$A$5:$A$32,$B21,'Pemetaan Variant'!$F$5:$F$32)*100,"n/a"),"n/a")</f>
        <v>0</v>
      </c>
      <c r="AG21" s="4" t="n">
        <f aca="false">IFERROR(IF(ISNUMBER(AF21),$C21*AF21,"n/a"),"n/a")</f>
        <v>0</v>
      </c>
      <c r="AH21" s="13" t="n">
        <f aca="false">IFERROR(AVERAGEIF('Pemetaan Variant'!$A$5:$A$32,$B21,'Pemetaan Variant'!$Z$5:$Z$32),"n/a")</f>
        <v>10500</v>
      </c>
      <c r="AI21" s="14" t="n">
        <f aca="false">IFERROR(IF(ISNUMBER(AH21),(AH21-AVERAGEIF('Pemetaan Variant'!$A$5:$A$32,$B21,'Pemetaan Variant'!$F$5:$F$32))/AVERAGEIF('Pemetaan Variant'!$A$5:$A$32,$B21,'Pemetaan Variant'!$F$5:$F$32)*100,"n/a"),"n/a")</f>
        <v>0</v>
      </c>
      <c r="AJ21" s="4" t="n">
        <f aca="false">IFERROR(IF(ISNUMBER(AI21),$C21*AI21,"n/a"),"n/a")</f>
        <v>0</v>
      </c>
      <c r="AK21" s="13" t="n">
        <f aca="false">IFERROR(AVERAGEIF('Pemetaan Variant'!$A$5:$A$32,$B21,'Pemetaan Variant'!$AA$5:$AA$32),"n/a")</f>
        <v>10500</v>
      </c>
      <c r="AL21" s="14" t="n">
        <f aca="false">IFERROR(IF(ISNUMBER(AK21),(AK21-AVERAGEIF('Pemetaan Variant'!$A$5:$A$32,$B21,'Pemetaan Variant'!$F$5:$F$32))/AVERAGEIF('Pemetaan Variant'!$A$5:$A$32,$B21,'Pemetaan Variant'!$F$5:$F$32)*100,"n/a"),"n/a")</f>
        <v>0</v>
      </c>
      <c r="AM21" s="4" t="n">
        <f aca="false">IFERROR(IF(ISNUMBER(AL21),$C21*AL21,"n/a"),"n/a")</f>
        <v>0</v>
      </c>
      <c r="AN21" s="13" t="n">
        <f aca="false">IFERROR(AVERAGEIF('Pemetaan Variant'!$A$5:$A$32,$B21,'Pemetaan Variant'!$AB$5:$AB$32),"n/a")</f>
        <v>10500</v>
      </c>
      <c r="AO21" s="14" t="n">
        <f aca="false">IFERROR(IF(ISNUMBER(AN21),(AN21-AVERAGEIF('Pemetaan Variant'!$A$5:$A$32,$B21,'Pemetaan Variant'!$F$5:$F$32))/AVERAGEIF('Pemetaan Variant'!$A$5:$A$32,$B21,'Pemetaan Variant'!$F$5:$F$32)*100,"n/a"),"n/a")</f>
        <v>0</v>
      </c>
      <c r="AP21" s="4" t="n">
        <f aca="false">IFERROR(IF(ISNUMBER(AO21),$C21*AO21,"n/a"),"n/a")</f>
        <v>0</v>
      </c>
      <c r="AQ21" s="13" t="str">
        <f aca="false">IFERROR(AVERAGEIF('Pemetaan Variant'!$A$5:$A$32,$B21,'Pemetaan Variant'!$AC$5:$AC$32),"n/a")</f>
        <v>n/a</v>
      </c>
      <c r="AR21" s="14" t="str">
        <f aca="false">IFERROR(IF(ISNUMBER(AQ21),(AQ21-AVERAGEIF('Pemetaan Variant'!$A$5:$A$32,$B21,'Pemetaan Variant'!$F$5:$F$32))/AVERAGEIF('Pemetaan Variant'!$A$5:$A$32,$B21,'Pemetaan Variant'!$F$5:$F$32)*100,"n/a"),"n/a")</f>
        <v>n/a</v>
      </c>
      <c r="AS21" s="4" t="str">
        <f aca="false">IFERROR(IF(ISNUMBER(AR21),$C21*AR21,"n/a"),"n/a")</f>
        <v>n/a</v>
      </c>
      <c r="AT21" s="13" t="str">
        <f aca="false">IFERROR(AVERAGEIF('Pemetaan Variant'!$A$5:$A$32,$B21,'Pemetaan Variant'!$AD$5:$AD$32),"n/a")</f>
        <v>n/a</v>
      </c>
      <c r="AU21" s="14" t="str">
        <f aca="false">IFERROR(IF(ISNUMBER(AT21),(AT21-AVERAGEIF('Pemetaan Variant'!$A$5:$A$32,$B21,'Pemetaan Variant'!$G$5:$G$32))/AVERAGEIF('Pemetaan Variant'!$A$5:$A$32,$B21,'Pemetaan Variant'!$G$5:$G$32)*100,"n/a"),"n/a")</f>
        <v>n/a</v>
      </c>
      <c r="AV21" s="4" t="str">
        <f aca="false">IFERROR(IF(ISNUMBER(AU21),$C21*AU21,"n/a"),"n/a")</f>
        <v>n/a</v>
      </c>
      <c r="AW21" s="13" t="n">
        <f aca="false">IFERROR(AVERAGEIF('Pemetaan Variant'!$A$5:$A$32,$B21,'Pemetaan Variant'!$AE$5:$AE$32),"n/a")</f>
        <v>10500</v>
      </c>
      <c r="AX21" s="14" t="n">
        <f aca="false">IFERROR(IF(ISNUMBER(AW21),(AW21-AVERAGEIF('Pemetaan Variant'!$A$5:$A$32,$B21,'Pemetaan Variant'!$G$5:$G$32))/AVERAGEIF('Pemetaan Variant'!$A$5:$A$32,$B21,'Pemetaan Variant'!$G$5:$G$32)*100,"n/a"),"n/a")</f>
        <v>0</v>
      </c>
      <c r="AY21" s="4" t="n">
        <f aca="false">IFERROR(IF(ISNUMBER(AX21),$C21*AX21,"n/a"),"n/a")</f>
        <v>0</v>
      </c>
      <c r="AZ21" s="13" t="n">
        <f aca="false">IFERROR(AVERAGEIF('Pemetaan Variant'!$A$5:$A$32,$B21,'Pemetaan Variant'!$AF$5:$AF$32),"n/a")</f>
        <v>10500</v>
      </c>
      <c r="BA21" s="14" t="n">
        <f aca="false">IFERROR(IF(ISNUMBER(AZ21),(AZ21-AVERAGEIF('Pemetaan Variant'!$A$5:$A$32,$B21,'Pemetaan Variant'!$G$5:$G$32))/AVERAGEIF('Pemetaan Variant'!$A$5:$A$32,$B21,'Pemetaan Variant'!$G$5:$G$32)*100,"n/a"),"n/a")</f>
        <v>0</v>
      </c>
      <c r="BB21" s="4" t="n">
        <f aca="false">IFERROR(IF(ISNUMBER(BA21),$C21*BA21,"n/a"),"n/a")</f>
        <v>0</v>
      </c>
      <c r="BC21" s="13" t="n">
        <f aca="false">IFERROR(AVERAGEIF('Pemetaan Variant'!$A$5:$A$32,$B21,'Pemetaan Variant'!$AG$5:$AG$32),"n/a")</f>
        <v>10500</v>
      </c>
      <c r="BD21" s="14" t="n">
        <f aca="false">IFERROR(IF(ISNUMBER(BC21),(BC21-AVERAGEIF('Pemetaan Variant'!$A$5:$A$32,$B21,'Pemetaan Variant'!$G$5:$G$32))/AVERAGEIF('Pemetaan Variant'!$A$5:$A$32,$B21,'Pemetaan Variant'!$G$5:$G$32)*100,"n/a"),"n/a")</f>
        <v>0</v>
      </c>
      <c r="BE21" s="4" t="n">
        <f aca="false">IFERROR(IF(ISNUMBER(BD21),$C21*BD21,"n/a"),"n/a")</f>
        <v>0</v>
      </c>
      <c r="BF21" s="13" t="n">
        <f aca="false">IFERROR(AVERAGEIF('Pemetaan Variant'!$A$5:$A$32,$B21,'Pemetaan Variant'!$AH$5:$AH$32),"n/a")</f>
        <v>10500</v>
      </c>
      <c r="BG21" s="14" t="n">
        <f aca="false">IFERROR(IF(ISNUMBER(BF21),(BF21-AVERAGEIF('Pemetaan Variant'!$A$5:$A$32,$B21,'Pemetaan Variant'!$G$5:$G$32))/AVERAGEIF('Pemetaan Variant'!$A$5:$A$32,$B21,'Pemetaan Variant'!$G$5:$G$32)*100,"n/a"),"n/a")</f>
        <v>0</v>
      </c>
      <c r="BH21" s="4" t="n">
        <f aca="false">IFERROR(IF(ISNUMBER(BG21),$C21*BG21,"n/a"),"n/a")</f>
        <v>0</v>
      </c>
      <c r="BI21" s="13" t="n">
        <f aca="false">IFERROR(AVERAGEIF('Pemetaan Variant'!$A$5:$A$32,$B21,'Pemetaan Variant'!$AI$5:$AI$32),"n/a")</f>
        <v>10500</v>
      </c>
      <c r="BJ21" s="14" t="n">
        <f aca="false">IFERROR(IF(ISNUMBER(BI21),(BI21-AVERAGEIF('Pemetaan Variant'!$A$5:$A$32,$B21,'Pemetaan Variant'!$H$5:$H$32))/AVERAGEIF('Pemetaan Variant'!$A$5:$A$32,$B21,'Pemetaan Variant'!$H$5:$H$32)*100,"n/a"),"n/a")</f>
        <v>0</v>
      </c>
      <c r="BK21" s="4" t="n">
        <f aca="false">IFERROR(IF(ISNUMBER(BJ21),$C21*BJ21,"n/a"),"n/a")</f>
        <v>0</v>
      </c>
      <c r="BL21" s="13" t="n">
        <f aca="false">IFERROR(AVERAGEIF('Pemetaan Variant'!$A$5:$A$32,$B21,'Pemetaan Variant'!$AJ$5:$AJ$32),"n/a")</f>
        <v>10500</v>
      </c>
      <c r="BM21" s="14" t="n">
        <f aca="false">IFERROR(IF(ISNUMBER(BL21),(BL21-AVERAGEIF('Pemetaan Variant'!$A$5:$A$32,$B21,'Pemetaan Variant'!$H$5:$H$32))/AVERAGEIF('Pemetaan Variant'!$A$5:$A$32,$B21,'Pemetaan Variant'!$H$5:$H$32)*100,"n/a"),"n/a")</f>
        <v>0</v>
      </c>
      <c r="BN21" s="4" t="n">
        <f aca="false">IFERROR(IF(ISNUMBER(BM21),$C21*BM21,"n/a"),"n/a")</f>
        <v>0</v>
      </c>
      <c r="BO21" s="13" t="n">
        <f aca="false">IFERROR(AVERAGEIF('Pemetaan Variant'!$A$5:$A$32,$B21,'Pemetaan Variant'!$AK$5:$AK$32),"n/a")</f>
        <v>10500</v>
      </c>
      <c r="BP21" s="14" t="n">
        <f aca="false">IFERROR(IF(ISNUMBER(BO21),(BO21-AVERAGEIF('Pemetaan Variant'!$A$5:$A$32,$B21,'Pemetaan Variant'!$H$5:$H$32))/AVERAGEIF('Pemetaan Variant'!$A$5:$A$32,$B21,'Pemetaan Variant'!$H$5:$H$32)*100,"n/a"),"n/a")</f>
        <v>0</v>
      </c>
      <c r="BQ21" s="4" t="n">
        <f aca="false">IFERROR(IF(ISNUMBER(BP21),$C21*BP21,"n/a"),"n/a")</f>
        <v>0</v>
      </c>
      <c r="BR21" s="13" t="n">
        <f aca="false">IFERROR(AVERAGEIF('Pemetaan Variant'!$A$5:$A$32,$B21,'Pemetaan Variant'!$AL$5:$AL$32),"n/a")</f>
        <v>10500</v>
      </c>
      <c r="BS21" s="14" t="n">
        <f aca="false">IFERROR(IF(ISNUMBER(BR21),(BR21-AVERAGEIF('Pemetaan Variant'!$A$5:$A$32,$B21,'Pemetaan Variant'!$H$5:$H$32))/AVERAGEIF('Pemetaan Variant'!$A$5:$A$32,$B21,'Pemetaan Variant'!$H$5:$H$32)*100,"n/a"),"n/a")</f>
        <v>0</v>
      </c>
      <c r="BT21" s="4" t="n">
        <f aca="false">IFERROR(IF(ISNUMBER(BS21),$C21*BS21,"n/a"),"n/a")</f>
        <v>0</v>
      </c>
      <c r="BU21" s="13" t="n">
        <f aca="false">IFERROR(AVERAGEIF('Pemetaan Variant'!$A$5:$A$32,$B21,'Pemetaan Variant'!$AM$5:$AM$32),"n/a")</f>
        <v>10500</v>
      </c>
      <c r="BV21" s="14" t="n">
        <f aca="false">IFERROR(IF(ISNUMBER(BU21),(BU21-AVERAGEIF('Pemetaan Variant'!$A$5:$A$32,$B21,'Pemetaan Variant'!$H$5:$H$32))/AVERAGEIF('Pemetaan Variant'!$A$5:$A$32,$B21,'Pemetaan Variant'!$H$5:$H$32)*100,"n/a"),"n/a")</f>
        <v>0</v>
      </c>
      <c r="BW21" s="4" t="n">
        <f aca="false">IFERROR(IF(ISNUMBER(BV21),$C21*BV21,"n/a"),"n/a")</f>
        <v>0</v>
      </c>
      <c r="BX21" s="13" t="n">
        <f aca="false">IFERROR(AVERAGEIF('Pemetaan Variant'!$A$5:$A$32,$B21,'Pemetaan Variant'!$AN$5:$AN$32),"n/a")</f>
        <v>10500</v>
      </c>
      <c r="BY21" s="14" t="n">
        <f aca="false">IFERROR(IF(ISNUMBER(BX21),(BX21-AVERAGEIF('Pemetaan Variant'!$A$5:$A$32,$B21,'Pemetaan Variant'!$I$5:$I$32))/AVERAGEIF('Pemetaan Variant'!$A$5:$A$32,$B21,'Pemetaan Variant'!$I$5:$I$32)*100,"n/a"),"n/a")</f>
        <v>0</v>
      </c>
      <c r="BZ21" s="4" t="n">
        <f aca="false">IFERROR(IF(ISNUMBER(BY21),$C21*BY21,"n/a"),"n/a")</f>
        <v>0</v>
      </c>
      <c r="CA21" s="13" t="n">
        <f aca="false">IFERROR(AVERAGEIF('Pemetaan Variant'!$A$5:$A$32,$B21,'Pemetaan Variant'!$AO$5:$AO$32),"n/a")</f>
        <v>10500</v>
      </c>
      <c r="CB21" s="14" t="n">
        <f aca="false">IFERROR(IF(ISNUMBER(CA21),(CA21-AVERAGEIF('Pemetaan Variant'!$A$5:$A$32,$B21,'Pemetaan Variant'!$I$5:$I$32))/AVERAGEIF('Pemetaan Variant'!$A$5:$A$32,$B21,'Pemetaan Variant'!$I$5:$I$32)*100,"n/a"),"n/a")</f>
        <v>0</v>
      </c>
      <c r="CC21" s="4" t="n">
        <f aca="false">IFERROR(IF(ISNUMBER(CB21),$C21*CB21,"n/a"),"n/a")</f>
        <v>0</v>
      </c>
      <c r="CD21" s="13" t="n">
        <f aca="false">IFERROR(AVERAGEIF('Pemetaan Variant'!$A$5:$A$32,$B21,'Pemetaan Variant'!$AP$5:$AP$32),"n/a")</f>
        <v>10500</v>
      </c>
      <c r="CE21" s="14" t="n">
        <f aca="false">IFERROR(IF(ISNUMBER(CD21),(CD21-AVERAGEIF('Pemetaan Variant'!$A$5:$A$32,$B21,'Pemetaan Variant'!$I$5:$I$32))/AVERAGEIF('Pemetaan Variant'!$A$5:$A$32,$B21,'Pemetaan Variant'!$I$5:$I$32)*100,"n/a"),"n/a")</f>
        <v>0</v>
      </c>
      <c r="CF21" s="4" t="n">
        <f aca="false">IFERROR(IF(ISNUMBER(CE21),$C21*CE21,"n/a"),"n/a")</f>
        <v>0</v>
      </c>
      <c r="CG21" s="13" t="n">
        <f aca="false">IFERROR(AVERAGEIF('Pemetaan Variant'!$A$5:$A$32,$B21,'Pemetaan Variant'!$AQ$5:$AQ$32),"n/a")</f>
        <v>10500</v>
      </c>
      <c r="CH21" s="14" t="n">
        <f aca="false">IFERROR(IF(ISNUMBER(CG21),(CG21-AVERAGEIF('Pemetaan Variant'!$A$5:$A$32,$B21,'Pemetaan Variant'!$I$5:$I$32))/AVERAGEIF('Pemetaan Variant'!$A$5:$A$32,$B21,'Pemetaan Variant'!$I$5:$I$32)*100,"n/a"),"n/a")</f>
        <v>0</v>
      </c>
      <c r="CI21" s="4" t="n">
        <f aca="false">IFERROR(IF(ISNUMBER(CH21),$C21*CH21,"n/a"),"n/a")</f>
        <v>0</v>
      </c>
      <c r="CJ21" s="13" t="n">
        <f aca="false">IFERROR(AVERAGEIF('Pemetaan Variant'!$A$5:$A$32,$B21,'Pemetaan Variant'!$AR$5:$AR$32),"n/a")</f>
        <v>10500</v>
      </c>
      <c r="CK21" s="14" t="n">
        <f aca="false">IFERROR(IF(ISNUMBER(CJ21),(CJ21-AVERAGEIF('Pemetaan Variant'!$A$5:$A$32,$B21,'Pemetaan Variant'!$J$5:$J$32))/AVERAGEIF('Pemetaan Variant'!$A$5:$A$32,$B21,'Pemetaan Variant'!$J$5:$J$32)*100,"n/a"),"n/a")</f>
        <v>0</v>
      </c>
      <c r="CL21" s="4" t="n">
        <f aca="false">IFERROR(IF(ISNUMBER(CK21),$C21*CK21,"n/a"),"n/a")</f>
        <v>0</v>
      </c>
      <c r="CM21" s="13" t="n">
        <f aca="false">IFERROR(AVERAGEIF('Pemetaan Variant'!$A$5:$A$32,$B21,'Pemetaan Variant'!$AS$5:$AS$32),"n/a")</f>
        <v>10500</v>
      </c>
      <c r="CN21" s="14" t="n">
        <f aca="false">IFERROR(IF(ISNUMBER(CM21),(CM21-AVERAGEIF('Pemetaan Variant'!$A$5:$A$32,$B21,'Pemetaan Variant'!$J$5:$J$32))/AVERAGEIF('Pemetaan Variant'!$A$5:$A$32,$B21,'Pemetaan Variant'!$J$5:$J$32)*100,"n/a"),"n/a")</f>
        <v>0</v>
      </c>
      <c r="CO21" s="4" t="n">
        <f aca="false">IFERROR(IF(ISNUMBER(CN21),$C21*CN21,"n/a"),"n/a")</f>
        <v>0</v>
      </c>
      <c r="CP21" s="13" t="n">
        <f aca="false">IFERROR(AVERAGEIF('Pemetaan Variant'!$A$5:$A$32,$B21,'Pemetaan Variant'!$AT$5:$AT$32),"n/a")</f>
        <v>10500</v>
      </c>
      <c r="CQ21" s="14" t="n">
        <f aca="false">IFERROR(IF(ISNUMBER(CP21),(CP21-AVERAGEIF('Pemetaan Variant'!$A$5:$A$32,$B21,'Pemetaan Variant'!$J$5:$J$32))/AVERAGEIF('Pemetaan Variant'!$A$5:$A$32,$B21,'Pemetaan Variant'!$J$5:$J$32)*100,"n/a"),"n/a")</f>
        <v>0</v>
      </c>
      <c r="CR21" s="4" t="n">
        <f aca="false">IFERROR(IF(ISNUMBER(CQ21),$C21*CQ21,"n/a"),"n/a")</f>
        <v>0</v>
      </c>
      <c r="CS21" s="13" t="n">
        <f aca="false">IFERROR(AVERAGEIF('Pemetaan Variant'!$A$5:$A$32,$B21,'Pemetaan Variant'!$AU$5:$AU$32),"n/a")</f>
        <v>10500</v>
      </c>
      <c r="CT21" s="14" t="n">
        <f aca="false">IFERROR(IF(ISNUMBER(CS21),(CS21-AVERAGEIF('Pemetaan Variant'!$A$5:$A$32,$B21,'Pemetaan Variant'!$J$5:$J$32))/AVERAGEIF('Pemetaan Variant'!$A$5:$A$32,$B21,'Pemetaan Variant'!$J$5:$J$32)*100,"n/a"),"n/a")</f>
        <v>0</v>
      </c>
      <c r="CU21" s="4" t="n">
        <f aca="false">IFERROR(IF(ISNUMBER(CT21),$C21*CT21,"n/a"),"n/a")</f>
        <v>0</v>
      </c>
      <c r="CV21" s="13" t="n">
        <f aca="false">IFERROR(AVERAGEIF('Pemetaan Variant'!$A$5:$A$32,$B21,'Pemetaan Variant'!$AV$5:$AV$32),"n/a")</f>
        <v>10500</v>
      </c>
      <c r="CW21" s="14" t="n">
        <f aca="false">IFERROR(IF(ISNUMBER(CV21),(CV21-AVERAGEIF('Pemetaan Variant'!$A$5:$A$32,$B21,'Pemetaan Variant'!$J$5:$J$32))/AVERAGEIF('Pemetaan Variant'!$A$5:$A$32,$B21,'Pemetaan Variant'!$J$5:$J$32)*100,"n/a"),"n/a")</f>
        <v>0</v>
      </c>
      <c r="CX21" s="4" t="n">
        <f aca="false">IFERROR(IF(ISNUMBER(CW21),$C21*CW21,"n/a"),"n/a")</f>
        <v>0</v>
      </c>
      <c r="CY21" s="13" t="n">
        <f aca="false">IFERROR(AVERAGEIF('Pemetaan Variant'!$A$5:$A$32,$B21,'Pemetaan Variant'!$AW$5:$AW$32),"n/a")</f>
        <v>10500</v>
      </c>
      <c r="CZ21" s="14" t="n">
        <f aca="false">IFERROR(IF(ISNUMBER(CY21),(CY21-AVERAGEIF('Pemetaan Variant'!$A$5:$A$32,$B21,'Pemetaan Variant'!$K$5:$K$32))/AVERAGEIF('Pemetaan Variant'!$A$5:$A$32,$B21,'Pemetaan Variant'!$K$5:$K$32)*100,"n/a"),"n/a")</f>
        <v>0</v>
      </c>
      <c r="DA21" s="4" t="n">
        <f aca="false">IFERROR(IF(ISNUMBER(CZ21),$C21*CZ21,"n/a"),"n/a")</f>
        <v>0</v>
      </c>
      <c r="DB21" s="13" t="n">
        <f aca="false">IFERROR(AVERAGEIF('Pemetaan Variant'!$A$5:$A$32,$B21,'Pemetaan Variant'!$AX$5:$AX$32),"n/a")</f>
        <v>10500</v>
      </c>
      <c r="DC21" s="14" t="n">
        <f aca="false">IFERROR(IF(ISNUMBER(DB21),(DB21-AVERAGEIF('Pemetaan Variant'!$A$5:$A$32,$B21,'Pemetaan Variant'!$K$5:$K$32))/AVERAGEIF('Pemetaan Variant'!$A$5:$A$32,$B21,'Pemetaan Variant'!$K$5:$K$32)*100,"n/a"),"n/a")</f>
        <v>0</v>
      </c>
      <c r="DD21" s="4" t="n">
        <f aca="false">IFERROR(IF(ISNUMBER(DC21),$C21*DC21,"n/a"),"n/a")</f>
        <v>0</v>
      </c>
      <c r="DE21" s="13" t="n">
        <f aca="false">IFERROR(AVERAGEIF('Pemetaan Variant'!$A$5:$A$32,$B21,'Pemetaan Variant'!$AY$5:$AY$32),"n/a")</f>
        <v>10500</v>
      </c>
      <c r="DF21" s="14" t="n">
        <f aca="false">IFERROR(IF(ISNUMBER(DE21),(DE21-AVERAGEIF('Pemetaan Variant'!$A$5:$A$32,$B21,'Pemetaan Variant'!$K$5:$K$32))/AVERAGEIF('Pemetaan Variant'!$A$5:$A$32,$B21,'Pemetaan Variant'!$K$5:$K$32)*100,"n/a"),"n/a")</f>
        <v>0</v>
      </c>
      <c r="DG21" s="4" t="n">
        <f aca="false">IFERROR(IF(ISNUMBER(DF21),$C21*DF21,"n/a"),"n/a")</f>
        <v>0</v>
      </c>
      <c r="DH21" s="13" t="n">
        <f aca="false">IFERROR(AVERAGEIF('Pemetaan Variant'!$A$5:$A$32,$B21,'Pemetaan Variant'!$AZ$5:$AZ$32),"n/a")</f>
        <v>10500</v>
      </c>
      <c r="DI21" s="14" t="n">
        <f aca="false">IFERROR(IF(ISNUMBER(DH21),(DH21-AVERAGEIF('Pemetaan Variant'!$A$5:$A$32,$B21,'Pemetaan Variant'!$K$5:$K$32))/AVERAGEIF('Pemetaan Variant'!$A$5:$A$32,$B21,'Pemetaan Variant'!$K$5:$K$32)*100,"n/a"),"n/a")</f>
        <v>0</v>
      </c>
      <c r="DJ21" s="4" t="n">
        <f aca="false">IFERROR(IF(ISNUMBER(DI21),$C21*DI21,"n/a"),"n/a")</f>
        <v>0</v>
      </c>
      <c r="DK21" s="13" t="n">
        <f aca="false">IFERROR(AVERAGEIF('Pemetaan Variant'!$A$5:$A$32,$B21,'Pemetaan Variant'!$BA$5:$BA$32),"n/a")</f>
        <v>10500</v>
      </c>
      <c r="DL21" s="14" t="n">
        <f aca="false">IFERROR(IF(ISNUMBER(DK21),(DK21-AVERAGEIF('Pemetaan Variant'!$A$5:$A$32,$B21,'Pemetaan Variant'!$L$5:$L$32))/AVERAGEIF('Pemetaan Variant'!$A$5:$A$32,$B21,'Pemetaan Variant'!$L$5:$L$32)*100,"n/a"),"n/a")</f>
        <v>0</v>
      </c>
      <c r="DM21" s="4" t="n">
        <f aca="false">IFERROR(IF(ISNUMBER(DL21),$C21*DL21,"n/a"),"n/a")</f>
        <v>0</v>
      </c>
      <c r="DN21" s="13" t="n">
        <f aca="false">IFERROR(AVERAGEIF('Pemetaan Variant'!$A$5:$A$32,$B21,'Pemetaan Variant'!$BB$5:$BB$32),"n/a")</f>
        <v>10500</v>
      </c>
      <c r="DO21" s="14" t="n">
        <f aca="false">IFERROR(IF(ISNUMBER(DN21),(DN21-AVERAGEIF('Pemetaan Variant'!$A$5:$A$32,$B21,'Pemetaan Variant'!$L$5:$L$32))/AVERAGEIF('Pemetaan Variant'!$A$5:$A$32,$B21,'Pemetaan Variant'!$L$5:$L$32)*100,"n/a"),"n/a")</f>
        <v>0</v>
      </c>
      <c r="DP21" s="4" t="n">
        <f aca="false">IFERROR(IF(ISNUMBER(DO21),$C21*DO21,"n/a"),"n/a")</f>
        <v>0</v>
      </c>
      <c r="DQ21" s="13" t="n">
        <f aca="false">IFERROR(AVERAGEIF('Pemetaan Variant'!$A$5:$A$32,$B21,'Pemetaan Variant'!$BC$5:$BC$32),"n/a")</f>
        <v>10500</v>
      </c>
      <c r="DR21" s="14" t="n">
        <f aca="false">IFERROR(IF(ISNUMBER(DQ21),(DQ21-AVERAGEIF('Pemetaan Variant'!$A$5:$A$32,$B21,'Pemetaan Variant'!$L$5:$L$32))/AVERAGEIF('Pemetaan Variant'!$A$5:$A$32,$B21,'Pemetaan Variant'!$L$5:$L$32)*100,"n/a"),"n/a")</f>
        <v>0</v>
      </c>
      <c r="DS21" s="4" t="n">
        <f aca="false">IFERROR(IF(ISNUMBER(DR21),$C21*DR21,"n/a"),"n/a")</f>
        <v>0</v>
      </c>
      <c r="DT21" s="13" t="n">
        <f aca="false">IFERROR(AVERAGEIF('Pemetaan Variant'!$A$5:$A$32,$B21,'Pemetaan Variant'!$BD$5:$BD$32),"n/a")</f>
        <v>10500</v>
      </c>
      <c r="DU21" s="14" t="n">
        <f aca="false">IFERROR(IF(ISNUMBER(DT21),(DT21-AVERAGEIF('Pemetaan Variant'!$A$5:$A$32,$B21,'Pemetaan Variant'!$L$5:$L$32))/AVERAGEIF('Pemetaan Variant'!$A$5:$A$32,$B21,'Pemetaan Variant'!$L$5:$L$32)*100,"n/a"),"n/a")</f>
        <v>0</v>
      </c>
      <c r="DV21" s="4" t="n">
        <f aca="false">IFERROR(IF(ISNUMBER(DU21),$C21*DU21,"n/a"),"n/a")</f>
        <v>0</v>
      </c>
      <c r="DW21" s="13" t="n">
        <f aca="false">IFERROR(AVERAGEIF('Pemetaan Variant'!$A$5:$A$32,$B21,'Pemetaan Variant'!$BE$5:$BE$32),"n/a")</f>
        <v>10500</v>
      </c>
      <c r="DX21" s="14" t="n">
        <f aca="false">IFERROR(IF(ISNUMBER(DW21),(DW21-AVERAGEIF('Pemetaan Variant'!$A$5:$A$32,$B21,'Pemetaan Variant'!$M$5:$M$32))/AVERAGEIF('Pemetaan Variant'!$A$5:$A$32,$B21,'Pemetaan Variant'!$M$5:$M$32)*100,"n/a"),"n/a")</f>
        <v>0</v>
      </c>
      <c r="DY21" s="4" t="n">
        <f aca="false">IFERROR(IF(ISNUMBER(DX21),$C21*DX21,"n/a"),"n/a")</f>
        <v>0</v>
      </c>
      <c r="DZ21" s="13" t="n">
        <f aca="false">IFERROR(AVERAGEIF('Pemetaan Variant'!$A$5:$A$32,$B21,'Pemetaan Variant'!$BF$5:$BF$32),"n/a")</f>
        <v>10500</v>
      </c>
      <c r="EA21" s="14" t="n">
        <f aca="false">IFERROR(IF(ISNUMBER(DZ21),(DZ21-AVERAGEIF('Pemetaan Variant'!$A$5:$A$32,$B21,'Pemetaan Variant'!$M$5:$M$32))/AVERAGEIF('Pemetaan Variant'!$A$5:$A$32,$B21,'Pemetaan Variant'!$M$5:$M$32)*100,"n/a"),"n/a")</f>
        <v>0</v>
      </c>
      <c r="EB21" s="4" t="n">
        <f aca="false">IFERROR(IF(ISNUMBER(EA21),$C21*EA21,"n/a"),"n/a")</f>
        <v>0</v>
      </c>
      <c r="EC21" s="13" t="n">
        <f aca="false">IFERROR(AVERAGEIF('Pemetaan Variant'!$A$5:$A$32,$B21,'Pemetaan Variant'!$BG$5:$BG$32),"n/a")</f>
        <v>10500</v>
      </c>
      <c r="ED21" s="14" t="n">
        <f aca="false">IFERROR(IF(ISNUMBER(EC21),(EC21-AVERAGEIF('Pemetaan Variant'!$A$5:$A$32,$B21,'Pemetaan Variant'!$M$5:$M$32))/AVERAGEIF('Pemetaan Variant'!$A$5:$A$32,$B21,'Pemetaan Variant'!$M$5:$M$32)*100,"n/a"),"n/a")</f>
        <v>0</v>
      </c>
      <c r="EE21" s="4" t="n">
        <f aca="false">IFERROR(IF(ISNUMBER(ED21),$C21*ED21,"n/a"),"n/a")</f>
        <v>0</v>
      </c>
      <c r="EF21" s="13" t="n">
        <f aca="false">IFERROR(AVERAGEIF('Pemetaan Variant'!$A$5:$A$32,$B21,'Pemetaan Variant'!$BH$5:$BH$32),"n/a")</f>
        <v>10500</v>
      </c>
      <c r="EG21" s="14" t="n">
        <f aca="false">IFERROR(IF(ISNUMBER(EF21),(EF21-AVERAGEIF('Pemetaan Variant'!$A$5:$A$32,$B21,'Pemetaan Variant'!$M$5:$M$32))/AVERAGEIF('Pemetaan Variant'!$A$5:$A$32,$B21,'Pemetaan Variant'!$M$5:$M$32)*100,"n/a"),"n/a")</f>
        <v>0</v>
      </c>
      <c r="EH21" s="4" t="n">
        <f aca="false">IFERROR(IF(ISNUMBER(EG21),$C21*EG21,"n/a"),"n/a")</f>
        <v>0</v>
      </c>
      <c r="EI21" s="13" t="n">
        <f aca="false">IFERROR(AVERAGEIF('Pemetaan Variant'!$A$5:$A$32,$B21,'Pemetaan Variant'!$BI$5:$BI$32),"n/a")</f>
        <v>10500</v>
      </c>
      <c r="EJ21" s="14" t="n">
        <f aca="false">IFERROR(IF(ISNUMBER(EI21),(EI21-AVERAGEIF('Pemetaan Variant'!$A$5:$A$32,$B21,'Pemetaan Variant'!$M$5:$M$32))/AVERAGEIF('Pemetaan Variant'!$A$5:$A$32,$B21,'Pemetaan Variant'!$M$5:$M$32)*100,"n/a"),"n/a")</f>
        <v>0</v>
      </c>
      <c r="EK21" s="4" t="n">
        <f aca="false">IFERROR(IF(ISNUMBER(EJ21),$C21*EJ21,"n/a"),"n/a")</f>
        <v>0</v>
      </c>
      <c r="EL21" s="13" t="n">
        <f aca="false">IFERROR(AVERAGEIF('Pemetaan Variant'!$A$5:$A$32,$B21,'Pemetaan Variant'!$BJ$5:$BJ$32),"n/a")</f>
        <v>10500</v>
      </c>
      <c r="EM21" s="14" t="n">
        <f aca="false">IFERROR(IF(ISNUMBER(EL21),(EL21-AVERAGEIF('Pemetaan Variant'!$A$5:$A$32,$B21,'Pemetaan Variant'!$N$5:$N$32))/AVERAGEIF('Pemetaan Variant'!$A$5:$A$32,$B21,'Pemetaan Variant'!$N$5:$N$32)*100,"n/a"),"n/a")</f>
        <v>0</v>
      </c>
      <c r="EN21" s="4" t="n">
        <f aca="false">IFERROR(IF(ISNUMBER(EM21),$C21*EM21,"n/a"),"n/a")</f>
        <v>0</v>
      </c>
      <c r="EO21" s="13" t="n">
        <f aca="false">IFERROR(AVERAGEIF('Pemetaan Variant'!$A$5:$A$32,$B21,'Pemetaan Variant'!$BK$5:$BK$32),"n/a")</f>
        <v>10500</v>
      </c>
      <c r="EP21" s="14" t="n">
        <f aca="false">IFERROR(IF(ISNUMBER(EO21),(EO21-AVERAGEIF('Pemetaan Variant'!$A$5:$A$32,$B21,'Pemetaan Variant'!$N$5:$N$32))/AVERAGEIF('Pemetaan Variant'!$A$5:$A$32,$B21,'Pemetaan Variant'!$N$5:$N$32)*100,"n/a"),"n/a")</f>
        <v>0</v>
      </c>
      <c r="EQ21" s="4" t="n">
        <f aca="false">IFERROR(IF(ISNUMBER(EP21),$C21*EP21,"n/a"),"n/a")</f>
        <v>0</v>
      </c>
      <c r="ER21" s="13" t="n">
        <f aca="false">IFERROR(AVERAGEIF('Pemetaan Variant'!$A$5:$A$32,$B21,'Pemetaan Variant'!$BL$5:$BL$32),"n/a")</f>
        <v>10500</v>
      </c>
      <c r="ES21" s="14" t="n">
        <f aca="false">IFERROR(IF(ISNUMBER(ER21),(ER21-AVERAGEIF('Pemetaan Variant'!$A$5:$A$32,$B21,'Pemetaan Variant'!$N$5:$N$32))/AVERAGEIF('Pemetaan Variant'!$A$5:$A$32,$B21,'Pemetaan Variant'!$N$5:$N$32)*100,"n/a"),"n/a")</f>
        <v>0</v>
      </c>
      <c r="ET21" s="4" t="n">
        <f aca="false">IFERROR(IF(ISNUMBER(ES21),$C21*ES21,"n/a"),"n/a")</f>
        <v>0</v>
      </c>
      <c r="EU21" s="13" t="n">
        <f aca="false">IFERROR(AVERAGEIF('Pemetaan Variant'!$A$5:$A$32,$B21,'Pemetaan Variant'!$BM$5:$BM$32),"n/a")</f>
        <v>10500</v>
      </c>
      <c r="EV21" s="14" t="n">
        <f aca="false">IFERROR(IF(ISNUMBER(EU21),(EU21-AVERAGEIF('Pemetaan Variant'!$A$5:$A$32,$B21,'Pemetaan Variant'!$N$5:$N$32))/AVERAGEIF('Pemetaan Variant'!$A$5:$A$32,$B21,'Pemetaan Variant'!$N$5:$N$32)*100,"n/a"),"n/a")</f>
        <v>0</v>
      </c>
      <c r="EW21" s="4" t="n">
        <f aca="false">IFERROR(IF(ISNUMBER(EV21),$C21*EV21,"n/a"),"n/a")</f>
        <v>0</v>
      </c>
      <c r="EX21" s="13" t="n">
        <f aca="false">IFERROR(AVERAGEIF('Pemetaan Variant'!$A$5:$A$32,$B21,'Pemetaan Variant'!$BN$5:$BN$32),"n/a")</f>
        <v>10500</v>
      </c>
      <c r="EY21" s="14" t="n">
        <f aca="false">IFERROR(IF(ISNUMBER(EX21),(EX21-AVERAGEIF('Pemetaan Variant'!$A$5:$A$32,$B21,'Pemetaan Variant'!$O$5:$O$32))/AVERAGEIF('Pemetaan Variant'!$A$5:$A$32,$B21,'Pemetaan Variant'!$O$5:$O$32)*100,"n/a"),"n/a")</f>
        <v>0</v>
      </c>
      <c r="EZ21" s="4" t="n">
        <f aca="false">IFERROR(IF(ISNUMBER(EY21),$C21*EY21,"n/a"),"n/a")</f>
        <v>0</v>
      </c>
      <c r="FA21" s="13" t="n">
        <f aca="false">IFERROR(AVERAGEIF('Pemetaan Variant'!$A$5:$A$32,$B21,'Pemetaan Variant'!$BO$5:$BO$32),"n/a")</f>
        <v>10500</v>
      </c>
      <c r="FB21" s="14" t="n">
        <f aca="false">IFERROR(IF(ISNUMBER(FA21),(FA21-AVERAGEIF('Pemetaan Variant'!$A$5:$A$32,$B21,'Pemetaan Variant'!$O$5:$O$32))/AVERAGEIF('Pemetaan Variant'!$A$5:$A$32,$B21,'Pemetaan Variant'!$O$5:$O$32)*100,"n/a"),"n/a")</f>
        <v>0</v>
      </c>
      <c r="FC21" s="4" t="n">
        <f aca="false">IFERROR(IF(ISNUMBER(FB21),$C21*FB21,"n/a"),"n/a")</f>
        <v>0</v>
      </c>
      <c r="FD21" s="13" t="n">
        <f aca="false">IFERROR(AVERAGEIF('Pemetaan Variant'!$A$5:$A$32,$B21,'Pemetaan Variant'!$BP$5:$BP$32),"n/a")</f>
        <v>10500</v>
      </c>
      <c r="FE21" s="14" t="n">
        <f aca="false">IFERROR(IF(ISNUMBER(FD21),(FD21-AVERAGEIF('Pemetaan Variant'!$A$5:$A$32,$B21,'Pemetaan Variant'!$O$5:$O$32))/AVERAGEIF('Pemetaan Variant'!$A$5:$A$32,$B21,'Pemetaan Variant'!$O$5:$O$32)*100,"n/a"),"n/a")</f>
        <v>0</v>
      </c>
      <c r="FF21" s="4" t="n">
        <f aca="false">IFERROR(IF(ISNUMBER(FE21),$C21*FE21,"n/a"),"n/a")</f>
        <v>0</v>
      </c>
      <c r="FG21" s="13" t="n">
        <f aca="false">IFERROR(AVERAGEIF('Pemetaan Variant'!$A$5:$A$32,$B21,'Pemetaan Variant'!$BQ$5:$BQ$32),"n/a")</f>
        <v>10500</v>
      </c>
      <c r="FH21" s="14" t="n">
        <f aca="false">IFERROR(IF(ISNUMBER(FG21),(FG21-AVERAGEIF('Pemetaan Variant'!$A$5:$A$32,$B21,'Pemetaan Variant'!$O$5:$O$32))/AVERAGEIF('Pemetaan Variant'!$A$5:$A$32,$B21,'Pemetaan Variant'!$O$5:$O$32)*100,"n/a"),"n/a")</f>
        <v>0</v>
      </c>
      <c r="FI21" s="4" t="n">
        <f aca="false">IFERROR(IF(ISNUMBER(FH21),$C21*FH21,"n/a"),"n/a")</f>
        <v>0</v>
      </c>
      <c r="FJ21" s="13" t="n">
        <f aca="false">IFERROR(AVERAGEIF('Pemetaan Variant'!$A$5:$A$32,$B21,'Pemetaan Variant'!$BR$5:$BR$32),"n/a")</f>
        <v>10500</v>
      </c>
      <c r="FK21" s="14" t="n">
        <f aca="false">IFERROR(IF(ISNUMBER(FJ21),(FJ21-AVERAGEIF('Pemetaan Variant'!$A$5:$A$32,$B21,'Pemetaan Variant'!$O$5:$O$32))/AVERAGEIF('Pemetaan Variant'!$A$5:$A$32,$B21,'Pemetaan Variant'!$O$5:$O$32)*100,"n/a"),"n/a")</f>
        <v>0</v>
      </c>
      <c r="FL21" s="4" t="n">
        <f aca="false">IFERROR(IF(ISNUMBER(FK21),$C21*FK21,"n/a"),"n/a")</f>
        <v>0</v>
      </c>
      <c r="FM21" s="15" t="s">
        <v>254</v>
      </c>
      <c r="FO21" s="11" t="n">
        <f aca="false">IFERROR(ABS(F21),0)</f>
        <v>0</v>
      </c>
      <c r="FP21" s="11" t="n">
        <f aca="false">IFERROR(ABS(I21),0)</f>
        <v>0</v>
      </c>
      <c r="FQ21" s="11" t="n">
        <f aca="false">IFERROR(ABS(L21),0)</f>
        <v>0</v>
      </c>
      <c r="FR21" s="11" t="n">
        <f aca="false">IFERROR(ABS(O21),0)</f>
        <v>0</v>
      </c>
      <c r="FS21" s="11" t="n">
        <f aca="false">IFERROR(ABS(R21),0)</f>
        <v>0</v>
      </c>
      <c r="FT21" s="11" t="n">
        <f aca="false">IFERROR(ABS(U21),0)</f>
        <v>0</v>
      </c>
      <c r="FU21" s="11" t="n">
        <f aca="false">IFERROR(ABS(X21),0)</f>
        <v>0</v>
      </c>
      <c r="FV21" s="11" t="n">
        <f aca="false">IFERROR(ABS(AA21),0)</f>
        <v>0</v>
      </c>
      <c r="FW21" s="11" t="n">
        <f aca="false">IFERROR(ABS(AD21),0)</f>
        <v>0</v>
      </c>
      <c r="FX21" s="11" t="n">
        <f aca="false">IFERROR(ABS(AG21),0)</f>
        <v>0</v>
      </c>
      <c r="FY21" s="11" t="n">
        <f aca="false">IFERROR(ABS(AJ21),0)</f>
        <v>0</v>
      </c>
      <c r="FZ21" s="11" t="n">
        <f aca="false">IFERROR(ABS(AM21),0)</f>
        <v>0</v>
      </c>
      <c r="GA21" s="11" t="n">
        <f aca="false">IFERROR(ABS(AP21),0)</f>
        <v>0</v>
      </c>
      <c r="GB21" s="11" t="n">
        <f aca="false">IFERROR(ABS(AS21),0)</f>
        <v>0</v>
      </c>
      <c r="GC21" s="11" t="n">
        <f aca="false">IFERROR(ABS(AV21),0)</f>
        <v>0</v>
      </c>
      <c r="GD21" s="11" t="n">
        <f aca="false">IFERROR(ABS(AY21),0)</f>
        <v>0</v>
      </c>
      <c r="GE21" s="11" t="n">
        <f aca="false">IFERROR(ABS(BB21),0)</f>
        <v>0</v>
      </c>
      <c r="GF21" s="11" t="n">
        <f aca="false">IFERROR(ABS(BE21),0)</f>
        <v>0</v>
      </c>
      <c r="GG21" s="11" t="n">
        <f aca="false">IFERROR(ABS(BH21),0)</f>
        <v>0</v>
      </c>
      <c r="GH21" s="11" t="n">
        <f aca="false">IFERROR(ABS(BK21),0)</f>
        <v>0</v>
      </c>
      <c r="GI21" s="11" t="n">
        <f aca="false">IFERROR(ABS(BN21),0)</f>
        <v>0</v>
      </c>
      <c r="GJ21" s="11" t="n">
        <f aca="false">IFERROR(ABS(BQ21),0)</f>
        <v>0</v>
      </c>
      <c r="GK21" s="11" t="n">
        <f aca="false">IFERROR(ABS(BT21),0)</f>
        <v>0</v>
      </c>
      <c r="GL21" s="11" t="n">
        <f aca="false">IFERROR(ABS(BW21),0)</f>
        <v>0</v>
      </c>
      <c r="GM21" s="11" t="n">
        <f aca="false">IFERROR(ABS(BZ21),0)</f>
        <v>0</v>
      </c>
      <c r="GN21" s="11" t="n">
        <f aca="false">IFERROR(ABS(CC21),0)</f>
        <v>0</v>
      </c>
      <c r="GO21" s="11" t="n">
        <f aca="false">IFERROR(ABS(CF21),0)</f>
        <v>0</v>
      </c>
      <c r="GP21" s="11" t="n">
        <f aca="false">IFERROR(ABS(CI21),0)</f>
        <v>0</v>
      </c>
      <c r="GQ21" s="11" t="n">
        <f aca="false">IFERROR(ABS(CL21),0)</f>
        <v>0</v>
      </c>
      <c r="GR21" s="11" t="n">
        <f aca="false">IFERROR(ABS(CO21),0)</f>
        <v>0</v>
      </c>
      <c r="GS21" s="11" t="n">
        <f aca="false">IFERROR(ABS(CR21),0)</f>
        <v>0</v>
      </c>
      <c r="GT21" s="11" t="n">
        <f aca="false">IFERROR(ABS(CU21),0)</f>
        <v>0</v>
      </c>
      <c r="GU21" s="11" t="n">
        <f aca="false">IFERROR(ABS(CX21),0)</f>
        <v>0</v>
      </c>
      <c r="GV21" s="11" t="n">
        <f aca="false">IFERROR(ABS(DA21),0)</f>
        <v>0</v>
      </c>
      <c r="GW21" s="11" t="n">
        <f aca="false">IFERROR(ABS(DD21),0)</f>
        <v>0</v>
      </c>
      <c r="GX21" s="11" t="n">
        <f aca="false">IFERROR(ABS(DG21),0)</f>
        <v>0</v>
      </c>
      <c r="GY21" s="11" t="n">
        <f aca="false">IFERROR(ABS(DJ21),0)</f>
        <v>0</v>
      </c>
      <c r="GZ21" s="11" t="n">
        <f aca="false">IFERROR(ABS(DM21),0)</f>
        <v>0</v>
      </c>
      <c r="HA21" s="11" t="n">
        <f aca="false">IFERROR(ABS(DP21),0)</f>
        <v>0</v>
      </c>
      <c r="HB21" s="11" t="n">
        <f aca="false">IFERROR(ABS(DS21),0)</f>
        <v>0</v>
      </c>
      <c r="HC21" s="11" t="n">
        <f aca="false">IFERROR(ABS(DV21),0)</f>
        <v>0</v>
      </c>
      <c r="HD21" s="11" t="n">
        <f aca="false">IFERROR(ABS(DY21),0)</f>
        <v>0</v>
      </c>
      <c r="HE21" s="11" t="n">
        <f aca="false">IFERROR(ABS(EB21),0)</f>
        <v>0</v>
      </c>
      <c r="HF21" s="11" t="n">
        <f aca="false">IFERROR(ABS(EE21),0)</f>
        <v>0</v>
      </c>
      <c r="HG21" s="11" t="n">
        <f aca="false">IFERROR(ABS(EH21),0)</f>
        <v>0</v>
      </c>
      <c r="HH21" s="11" t="n">
        <f aca="false">IFERROR(ABS(EK21),0)</f>
        <v>0</v>
      </c>
      <c r="HI21" s="11" t="n">
        <f aca="false">IFERROR(ABS(EN21),0)</f>
        <v>0</v>
      </c>
      <c r="HJ21" s="11" t="n">
        <f aca="false">IFERROR(ABS(EQ21),0)</f>
        <v>0</v>
      </c>
      <c r="HK21" s="11" t="n">
        <f aca="false">IFERROR(ABS(ET21),0)</f>
        <v>0</v>
      </c>
      <c r="HL21" s="11" t="n">
        <f aca="false">IFERROR(ABS(EW21),0)</f>
        <v>0</v>
      </c>
      <c r="HM21" s="11" t="n">
        <f aca="false">IFERROR(ABS(EZ21),0)</f>
        <v>0</v>
      </c>
      <c r="HN21" s="11" t="n">
        <f aca="false">IFERROR(ABS(FC21),0)</f>
        <v>0</v>
      </c>
      <c r="HO21" s="11" t="n">
        <f aca="false">IFERROR(ABS(FF21),0)</f>
        <v>0</v>
      </c>
      <c r="HP21" s="11" t="n">
        <f aca="false">IFERROR(ABS(FI21),0)</f>
        <v>0</v>
      </c>
      <c r="HQ21" s="11" t="n">
        <f aca="false">IFERROR(ABS(FL21),0)</f>
        <v>0</v>
      </c>
    </row>
    <row r="22" customFormat="false" ht="15" hidden="false" customHeight="false" outlineLevel="0" collapsed="false">
      <c r="A22" s="3" t="n">
        <v>17</v>
      </c>
      <c r="B22" s="3" t="s">
        <v>255</v>
      </c>
      <c r="C22" s="12" t="n">
        <f aca="false">'P0Q0 Dasar 2022'!F21</f>
        <v>0.0110208839376634</v>
      </c>
      <c r="D22" s="13" t="n">
        <f aca="false">IFERROR(AVERAGEIF('Pemetaan Variant'!$A$5:$A$32,$B22,'Pemetaan Variant'!$P$5:$P$32),"n/a")</f>
        <v>34000</v>
      </c>
      <c r="E22" s="14" t="n">
        <f aca="false">IFERROR(IF(ISNUMBER(D22),(D22-AVERAGEIF('Pemetaan Variant'!$A$5:$A$32,$B22,'Pemetaan Variant'!$D$5:$D$32))/AVERAGEIF('Pemetaan Variant'!$A$5:$A$32,$B22,'Pemetaan Variant'!$D$5:$D$32)*100,"n/a"),"n/a")</f>
        <v>42.8238039673279</v>
      </c>
      <c r="F22" s="4" t="n">
        <f aca="false">IFERROR(IF(ISNUMBER(E22),$C22*E22,"n/a"),"n/a")</f>
        <v>0.47195617329317</v>
      </c>
      <c r="G22" s="13" t="n">
        <f aca="false">IFERROR(AVERAGEIF('Pemetaan Variant'!$A$5:$A$32,$B22,'Pemetaan Variant'!$Q$5:$Q$32),"n/a")</f>
        <v>34000</v>
      </c>
      <c r="H22" s="14" t="n">
        <f aca="false">IFERROR(IF(ISNUMBER(G22),(G22-AVERAGEIF('Pemetaan Variant'!$A$5:$A$32,$B22,'Pemetaan Variant'!$D$5:$D$32))/AVERAGEIF('Pemetaan Variant'!$A$5:$A$32,$B22,'Pemetaan Variant'!$D$5:$D$32)*100,"n/a"),"n/a")</f>
        <v>42.8238039673279</v>
      </c>
      <c r="I22" s="4" t="n">
        <f aca="false">IFERROR(IF(ISNUMBER(H22),$C22*H22,"n/a"),"n/a")</f>
        <v>0.47195617329317</v>
      </c>
      <c r="J22" s="13" t="n">
        <f aca="false">IFERROR(AVERAGEIF('Pemetaan Variant'!$A$5:$A$32,$B22,'Pemetaan Variant'!$R$5:$R$32),"n/a")</f>
        <v>34000</v>
      </c>
      <c r="K22" s="14" t="n">
        <f aca="false">IFERROR(IF(ISNUMBER(J22),(J22-AVERAGEIF('Pemetaan Variant'!$A$5:$A$32,$B22,'Pemetaan Variant'!$D$5:$D$32))/AVERAGEIF('Pemetaan Variant'!$A$5:$A$32,$B22,'Pemetaan Variant'!$D$5:$D$32)*100,"n/a"),"n/a")</f>
        <v>42.8238039673279</v>
      </c>
      <c r="L22" s="4" t="n">
        <f aca="false">IFERROR(IF(ISNUMBER(K22),$C22*K22,"n/a"),"n/a")</f>
        <v>0.47195617329317</v>
      </c>
      <c r="M22" s="13" t="n">
        <f aca="false">IFERROR(AVERAGEIF('Pemetaan Variant'!$A$5:$A$32,$B22,'Pemetaan Variant'!$S$5:$S$32),"n/a")</f>
        <v>34100</v>
      </c>
      <c r="N22" s="14" t="n">
        <f aca="false">IFERROR(IF(ISNUMBER(M22),(M22-AVERAGEIF('Pemetaan Variant'!$A$5:$A$32,$B22,'Pemetaan Variant'!$D$5:$D$32))/AVERAGEIF('Pemetaan Variant'!$A$5:$A$32,$B22,'Pemetaan Variant'!$D$5:$D$32)*100,"n/a"),"n/a")</f>
        <v>43.2438739789965</v>
      </c>
      <c r="O22" s="4" t="n">
        <f aca="false">IFERROR(IF(ISNUMBER(N22),$C22*N22,"n/a"),"n/a")</f>
        <v>0.476585716137463</v>
      </c>
      <c r="P22" s="13" t="n">
        <f aca="false">IFERROR(AVERAGEIF('Pemetaan Variant'!$A$5:$A$32,$B22,'Pemetaan Variant'!$T$5:$T$32),"n/a")</f>
        <v>36000</v>
      </c>
      <c r="Q22" s="14" t="n">
        <f aca="false">IFERROR(IF(ISNUMBER(P22),(P22-AVERAGEIF('Pemetaan Variant'!$A$5:$A$32,$B22,'Pemetaan Variant'!$D$5:$D$32))/AVERAGEIF('Pemetaan Variant'!$A$5:$A$32,$B22,'Pemetaan Variant'!$D$5:$D$32)*100,"n/a"),"n/a")</f>
        <v>51.2252042007001</v>
      </c>
      <c r="R22" s="4" t="n">
        <f aca="false">IFERROR(IF(ISNUMBER(Q22),$C22*Q22,"n/a"),"n/a")</f>
        <v>0.564547030179024</v>
      </c>
      <c r="S22" s="13" t="n">
        <f aca="false">IFERROR(AVERAGEIF('Pemetaan Variant'!$A$5:$A$32,$B22,'Pemetaan Variant'!$U$5:$U$32),"n/a")</f>
        <v>36000</v>
      </c>
      <c r="T22" s="14" t="n">
        <f aca="false">IFERROR(IF(ISNUMBER(S22),(S22-AVERAGEIF('Pemetaan Variant'!$A$5:$A$32,$B22,'Pemetaan Variant'!$E$5:$E$32))/AVERAGEIF('Pemetaan Variant'!$A$5:$A$32,$B22,'Pemetaan Variant'!$E$5:$E$32)*100,"n/a"),"n/a")</f>
        <v>5.14988470407378</v>
      </c>
      <c r="U22" s="4" t="n">
        <f aca="false">IFERROR(IF(ISNUMBER(T22),$C22*T22,"n/a"),"n/a")</f>
        <v>0.0567562816159452</v>
      </c>
      <c r="V22" s="13" t="n">
        <f aca="false">IFERROR(AVERAGEIF('Pemetaan Variant'!$A$5:$A$32,$B22,'Pemetaan Variant'!$V$5:$V$32),"n/a")</f>
        <v>36000</v>
      </c>
      <c r="W22" s="14" t="n">
        <f aca="false">IFERROR(IF(ISNUMBER(V22),(V22-AVERAGEIF('Pemetaan Variant'!$A$5:$A$32,$B22,'Pemetaan Variant'!$E$5:$E$32))/AVERAGEIF('Pemetaan Variant'!$A$5:$A$32,$B22,'Pemetaan Variant'!$E$5:$E$32)*100,"n/a"),"n/a")</f>
        <v>5.14988470407378</v>
      </c>
      <c r="X22" s="4" t="n">
        <f aca="false">IFERROR(IF(ISNUMBER(W22),$C22*W22,"n/a"),"n/a")</f>
        <v>0.0567562816159452</v>
      </c>
      <c r="Y22" s="13" t="n">
        <f aca="false">IFERROR(AVERAGEIF('Pemetaan Variant'!$A$5:$A$32,$B22,'Pemetaan Variant'!$W$5:$W$32),"n/a")</f>
        <v>35800</v>
      </c>
      <c r="Z22" s="14" t="n">
        <f aca="false">IFERROR(IF(ISNUMBER(Y22),(Y22-AVERAGEIF('Pemetaan Variant'!$A$5:$A$32,$B22,'Pemetaan Variant'!$E$5:$E$32))/AVERAGEIF('Pemetaan Variant'!$A$5:$A$32,$B22,'Pemetaan Variant'!$E$5:$E$32)*100,"n/a"),"n/a")</f>
        <v>4.56571867794004</v>
      </c>
      <c r="AA22" s="4" t="n">
        <f aca="false">IFERROR(IF(ISNUMBER(Z22),$C22*Z22,"n/a"),"n/a")</f>
        <v>0.0503182556415992</v>
      </c>
      <c r="AB22" s="13" t="n">
        <f aca="false">IFERROR(AVERAGEIF('Pemetaan Variant'!$A$5:$A$32,$B22,'Pemetaan Variant'!$X$5:$X$32),"n/a")</f>
        <v>36000</v>
      </c>
      <c r="AC22" s="14" t="n">
        <f aca="false">IFERROR(IF(ISNUMBER(AB22),(AB22-AVERAGEIF('Pemetaan Variant'!$A$5:$A$32,$B22,'Pemetaan Variant'!$E$5:$E$32))/AVERAGEIF('Pemetaan Variant'!$A$5:$A$32,$B22,'Pemetaan Variant'!$E$5:$E$32)*100,"n/a"),"n/a")</f>
        <v>5.14988470407378</v>
      </c>
      <c r="AD22" s="4" t="n">
        <f aca="false">IFERROR(IF(ISNUMBER(AC22),$C22*AC22,"n/a"),"n/a")</f>
        <v>0.0567562816159452</v>
      </c>
      <c r="AE22" s="13" t="n">
        <f aca="false">IFERROR(AVERAGEIF('Pemetaan Variant'!$A$5:$A$32,$B22,'Pemetaan Variant'!$Y$5:$Y$32),"n/a")</f>
        <v>31200</v>
      </c>
      <c r="AF22" s="14" t="n">
        <f aca="false">IFERROR(IF(ISNUMBER(AE22),(AE22-AVERAGEIF('Pemetaan Variant'!$A$5:$A$32,$B22,'Pemetaan Variant'!$F$5:$F$32))/AVERAGEIF('Pemetaan Variant'!$A$5:$A$32,$B22,'Pemetaan Variant'!$F$5:$F$32)*100,"n/a"),"n/a")</f>
        <v>-13.2064421669107</v>
      </c>
      <c r="AG22" s="4" t="n">
        <f aca="false">IFERROR(IF(ISNUMBER(AF22),$C22*AF22,"n/a"),"n/a")</f>
        <v>-0.145546666350987</v>
      </c>
      <c r="AH22" s="13" t="n">
        <f aca="false">IFERROR(AVERAGEIF('Pemetaan Variant'!$A$5:$A$32,$B22,'Pemetaan Variant'!$Z$5:$Z$32),"n/a")</f>
        <v>30000</v>
      </c>
      <c r="AI22" s="14" t="n">
        <f aca="false">IFERROR(IF(ISNUMBER(AH22),(AH22-AVERAGEIF('Pemetaan Variant'!$A$5:$A$32,$B22,'Pemetaan Variant'!$F$5:$F$32))/AVERAGEIF('Pemetaan Variant'!$A$5:$A$32,$B22,'Pemetaan Variant'!$F$5:$F$32)*100,"n/a"),"n/a")</f>
        <v>-16.5446559297218</v>
      </c>
      <c r="AJ22" s="4" t="n">
        <f aca="false">IFERROR(IF(ISNUMBER(AI22),$C22*AI22,"n/a"),"n/a")</f>
        <v>-0.182336732790039</v>
      </c>
      <c r="AK22" s="13" t="n">
        <f aca="false">IFERROR(AVERAGEIF('Pemetaan Variant'!$A$5:$A$32,$B22,'Pemetaan Variant'!$AA$5:$AA$32),"n/a")</f>
        <v>31200</v>
      </c>
      <c r="AL22" s="14" t="n">
        <f aca="false">IFERROR(IF(ISNUMBER(AK22),(AK22-AVERAGEIF('Pemetaan Variant'!$A$5:$A$32,$B22,'Pemetaan Variant'!$F$5:$F$32))/AVERAGEIF('Pemetaan Variant'!$A$5:$A$32,$B22,'Pemetaan Variant'!$F$5:$F$32)*100,"n/a"),"n/a")</f>
        <v>-13.2064421669107</v>
      </c>
      <c r="AM22" s="4" t="n">
        <f aca="false">IFERROR(IF(ISNUMBER(AL22),$C22*AL22,"n/a"),"n/a")</f>
        <v>-0.145546666350987</v>
      </c>
      <c r="AN22" s="13" t="n">
        <f aca="false">IFERROR(AVERAGEIF('Pemetaan Variant'!$A$5:$A$32,$B22,'Pemetaan Variant'!$AB$5:$AB$32),"n/a")</f>
        <v>32750</v>
      </c>
      <c r="AO22" s="14" t="n">
        <f aca="false">IFERROR(IF(ISNUMBER(AN22),(AN22-AVERAGEIF('Pemetaan Variant'!$A$5:$A$32,$B22,'Pemetaan Variant'!$F$5:$F$32))/AVERAGEIF('Pemetaan Variant'!$A$5:$A$32,$B22,'Pemetaan Variant'!$F$5:$F$32)*100,"n/a"),"n/a")</f>
        <v>-8.89458272327966</v>
      </c>
      <c r="AP22" s="4" t="n">
        <f aca="false">IFERROR(IF(ISNUMBER(AO22),$C22*AO22,"n/a"),"n/a")</f>
        <v>-0.0980261638672111</v>
      </c>
      <c r="AQ22" s="13" t="str">
        <f aca="false">IFERROR(AVERAGEIF('Pemetaan Variant'!$A$5:$A$32,$B22,'Pemetaan Variant'!$AC$5:$AC$32),"n/a")</f>
        <v>n/a</v>
      </c>
      <c r="AR22" s="14" t="str">
        <f aca="false">IFERROR(IF(ISNUMBER(AQ22),(AQ22-AVERAGEIF('Pemetaan Variant'!$A$5:$A$32,$B22,'Pemetaan Variant'!$F$5:$F$32))/AVERAGEIF('Pemetaan Variant'!$A$5:$A$32,$B22,'Pemetaan Variant'!$F$5:$F$32)*100,"n/a"),"n/a")</f>
        <v>n/a</v>
      </c>
      <c r="AS22" s="4" t="str">
        <f aca="false">IFERROR(IF(ISNUMBER(AR22),$C22*AR22,"n/a"),"n/a")</f>
        <v>n/a</v>
      </c>
      <c r="AT22" s="13" t="str">
        <f aca="false">IFERROR(AVERAGEIF('Pemetaan Variant'!$A$5:$A$32,$B22,'Pemetaan Variant'!$AD$5:$AD$32),"n/a")</f>
        <v>n/a</v>
      </c>
      <c r="AU22" s="14" t="str">
        <f aca="false">IFERROR(IF(ISNUMBER(AT22),(AT22-AVERAGEIF('Pemetaan Variant'!$A$5:$A$32,$B22,'Pemetaan Variant'!$G$5:$G$32))/AVERAGEIF('Pemetaan Variant'!$A$5:$A$32,$B22,'Pemetaan Variant'!$G$5:$G$32)*100,"n/a"),"n/a")</f>
        <v>n/a</v>
      </c>
      <c r="AV22" s="4" t="str">
        <f aca="false">IFERROR(IF(ISNUMBER(AU22),$C22*AU22,"n/a"),"n/a")</f>
        <v>n/a</v>
      </c>
      <c r="AW22" s="13" t="n">
        <f aca="false">IFERROR(AVERAGEIF('Pemetaan Variant'!$A$5:$A$32,$B22,'Pemetaan Variant'!$AE$5:$AE$32),"n/a")</f>
        <v>40000</v>
      </c>
      <c r="AX22" s="14" t="n">
        <f aca="false">IFERROR(IF(ISNUMBER(AW22),(AW22-AVERAGEIF('Pemetaan Variant'!$A$5:$A$32,$B22,'Pemetaan Variant'!$G$5:$G$32))/AVERAGEIF('Pemetaan Variant'!$A$5:$A$32,$B22,'Pemetaan Variant'!$G$5:$G$32)*100,"n/a"),"n/a")</f>
        <v>28.1618887015177</v>
      </c>
      <c r="AY22" s="4" t="n">
        <f aca="false">IFERROR(IF(ISNUMBER(AX22),$C22*AX22,"n/a"),"n/a")</f>
        <v>0.310368906844821</v>
      </c>
      <c r="AZ22" s="13" t="n">
        <f aca="false">IFERROR(AVERAGEIF('Pemetaan Variant'!$A$5:$A$32,$B22,'Pemetaan Variant'!$AF$5:$AF$32),"n/a")</f>
        <v>36875</v>
      </c>
      <c r="BA22" s="14" t="n">
        <f aca="false">IFERROR(IF(ISNUMBER(AZ22),(AZ22-AVERAGEIF('Pemetaan Variant'!$A$5:$A$32,$B22,'Pemetaan Variant'!$G$5:$G$32))/AVERAGEIF('Pemetaan Variant'!$A$5:$A$32,$B22,'Pemetaan Variant'!$G$5:$G$32)*100,"n/a"),"n/a")</f>
        <v>18.1492411467116</v>
      </c>
      <c r="BB22" s="4" t="n">
        <f aca="false">IFERROR(IF(ISNUMBER(BA22),$C22*BA22,"n/a"),"n/a")</f>
        <v>0.200020680234574</v>
      </c>
      <c r="BC22" s="13" t="n">
        <f aca="false">IFERROR(AVERAGEIF('Pemetaan Variant'!$A$5:$A$32,$B22,'Pemetaan Variant'!$AG$5:$AG$32),"n/a")</f>
        <v>32500</v>
      </c>
      <c r="BD22" s="14" t="n">
        <f aca="false">IFERROR(IF(ISNUMBER(BC22),(BC22-AVERAGEIF('Pemetaan Variant'!$A$5:$A$32,$B22,'Pemetaan Variant'!$G$5:$G$32))/AVERAGEIF('Pemetaan Variant'!$A$5:$A$32,$B22,'Pemetaan Variant'!$G$5:$G$32)*100,"n/a"),"n/a")</f>
        <v>4.13153456998314</v>
      </c>
      <c r="BE22" s="4" t="n">
        <f aca="false">IFERROR(IF(ISNUMBER(BD22),$C22*BD22,"n/a"),"n/a")</f>
        <v>0.0455331629802282</v>
      </c>
      <c r="BF22" s="13" t="n">
        <f aca="false">IFERROR(AVERAGEIF('Pemetaan Variant'!$A$5:$A$32,$B22,'Pemetaan Variant'!$AH$5:$AH$32),"n/a")</f>
        <v>25166.6666666667</v>
      </c>
      <c r="BG22" s="14" t="n">
        <f aca="false">IFERROR(IF(ISNUMBER(BF22),(BF22-AVERAGEIF('Pemetaan Variant'!$A$5:$A$32,$B22,'Pemetaan Variant'!$G$5:$G$32))/AVERAGEIF('Pemetaan Variant'!$A$5:$A$32,$B22,'Pemetaan Variant'!$G$5:$G$32)*100,"n/a"),"n/a")</f>
        <v>-19.3648116919618</v>
      </c>
      <c r="BH22" s="4" t="n">
        <f aca="false">IFERROR(IF(ISNUMBER(BG22),$C22*BG22,"n/a"),"n/a")</f>
        <v>-0.213417342131818</v>
      </c>
      <c r="BI22" s="13" t="n">
        <f aca="false">IFERROR(AVERAGEIF('Pemetaan Variant'!$A$5:$A$32,$B22,'Pemetaan Variant'!$AI$5:$AI$32),"n/a")</f>
        <v>25000</v>
      </c>
      <c r="BJ22" s="14" t="n">
        <f aca="false">IFERROR(IF(ISNUMBER(BI22),(BI22-AVERAGEIF('Pemetaan Variant'!$A$5:$A$32,$B22,'Pemetaan Variant'!$H$5:$H$32))/AVERAGEIF('Pemetaan Variant'!$A$5:$A$32,$B22,'Pemetaan Variant'!$H$5:$H$32)*100,"n/a"),"n/a")</f>
        <v>-26.672777268561</v>
      </c>
      <c r="BK22" s="4" t="n">
        <f aca="false">IFERROR(IF(ISNUMBER(BJ22),$C22*BJ22,"n/a"),"n/a")</f>
        <v>-0.293957582571957</v>
      </c>
      <c r="BL22" s="13" t="n">
        <f aca="false">IFERROR(AVERAGEIF('Pemetaan Variant'!$A$5:$A$32,$B22,'Pemetaan Variant'!$AJ$5:$AJ$32),"n/a")</f>
        <v>26200</v>
      </c>
      <c r="BM22" s="14" t="n">
        <f aca="false">IFERROR(IF(ISNUMBER(BL22),(BL22-AVERAGEIF('Pemetaan Variant'!$A$5:$A$32,$B22,'Pemetaan Variant'!$H$5:$H$32))/AVERAGEIF('Pemetaan Variant'!$A$5:$A$32,$B22,'Pemetaan Variant'!$H$5:$H$32)*100,"n/a"),"n/a")</f>
        <v>-23.1530705774519</v>
      </c>
      <c r="BN22" s="4" t="n">
        <f aca="false">IFERROR(IF(ISNUMBER(BM22),$C22*BM22,"n/a"),"n/a")</f>
        <v>-0.255167303634627</v>
      </c>
      <c r="BO22" s="13" t="n">
        <f aca="false">IFERROR(AVERAGEIF('Pemetaan Variant'!$A$5:$A$32,$B22,'Pemetaan Variant'!$AK$5:$AK$32),"n/a")</f>
        <v>24000</v>
      </c>
      <c r="BP22" s="14" t="n">
        <f aca="false">IFERROR(IF(ISNUMBER(BO22),(BO22-AVERAGEIF('Pemetaan Variant'!$A$5:$A$32,$B22,'Pemetaan Variant'!$H$5:$H$32))/AVERAGEIF('Pemetaan Variant'!$A$5:$A$32,$B22,'Pemetaan Variant'!$H$5:$H$32)*100,"n/a"),"n/a")</f>
        <v>-29.6058661778185</v>
      </c>
      <c r="BQ22" s="4" t="n">
        <f aca="false">IFERROR(IF(ISNUMBER(BP22),$C22*BP22,"n/a"),"n/a")</f>
        <v>-0.326282815019732</v>
      </c>
      <c r="BR22" s="13" t="n">
        <f aca="false">IFERROR(AVERAGEIF('Pemetaan Variant'!$A$5:$A$32,$B22,'Pemetaan Variant'!$AL$5:$AL$32),"n/a")</f>
        <v>25400</v>
      </c>
      <c r="BS22" s="14" t="n">
        <f aca="false">IFERROR(IF(ISNUMBER(BR22),(BR22-AVERAGEIF('Pemetaan Variant'!$A$5:$A$32,$B22,'Pemetaan Variant'!$H$5:$H$32))/AVERAGEIF('Pemetaan Variant'!$A$5:$A$32,$B22,'Pemetaan Variant'!$H$5:$H$32)*100,"n/a"),"n/a")</f>
        <v>-25.4995417048579</v>
      </c>
      <c r="BT22" s="4" t="n">
        <f aca="false">IFERROR(IF(ISNUMBER(BS22),$C22*BS22,"n/a"),"n/a")</f>
        <v>-0.281027489592847</v>
      </c>
      <c r="BU22" s="13" t="n">
        <f aca="false">IFERROR(AVERAGEIF('Pemetaan Variant'!$A$5:$A$32,$B22,'Pemetaan Variant'!$AM$5:$AM$32),"n/a")</f>
        <v>26666.6666666667</v>
      </c>
      <c r="BV22" s="14" t="n">
        <f aca="false">IFERROR(IF(ISNUMBER(BU22),(BU22-AVERAGEIF('Pemetaan Variant'!$A$5:$A$32,$B22,'Pemetaan Variant'!$H$5:$H$32))/AVERAGEIF('Pemetaan Variant'!$A$5:$A$32,$B22,'Pemetaan Variant'!$H$5:$H$32)*100,"n/a"),"n/a")</f>
        <v>-21.7842957531317</v>
      </c>
      <c r="BW22" s="4" t="n">
        <f aca="false">IFERROR(IF(ISNUMBER(BV22),$C22*BV22,"n/a"),"n/a")</f>
        <v>-0.240082195158998</v>
      </c>
      <c r="BX22" s="13" t="n">
        <f aca="false">IFERROR(AVERAGEIF('Pemetaan Variant'!$A$5:$A$32,$B22,'Pemetaan Variant'!$AN$5:$AN$32),"n/a")</f>
        <v>34000</v>
      </c>
      <c r="BY22" s="14" t="n">
        <f aca="false">IFERROR(IF(ISNUMBER(BX22),(BX22-AVERAGEIF('Pemetaan Variant'!$A$5:$A$32,$B22,'Pemetaan Variant'!$I$5:$I$32))/AVERAGEIF('Pemetaan Variant'!$A$5:$A$32,$B22,'Pemetaan Variant'!$I$5:$I$32)*100,"n/a"),"n/a")</f>
        <v>32.8735632183908</v>
      </c>
      <c r="BZ22" s="4" t="n">
        <f aca="false">IFERROR(IF(ISNUMBER(BY22),$C22*BY22,"n/a"),"n/a")</f>
        <v>0.362295724847326</v>
      </c>
      <c r="CA22" s="13" t="n">
        <f aca="false">IFERROR(AVERAGEIF('Pemetaan Variant'!$A$5:$A$32,$B22,'Pemetaan Variant'!$AO$5:$AO$32),"n/a")</f>
        <v>28000</v>
      </c>
      <c r="CB22" s="14" t="n">
        <f aca="false">IFERROR(IF(ISNUMBER(CA22),(CA22-AVERAGEIF('Pemetaan Variant'!$A$5:$A$32,$B22,'Pemetaan Variant'!$I$5:$I$32))/AVERAGEIF('Pemetaan Variant'!$A$5:$A$32,$B22,'Pemetaan Variant'!$I$5:$I$32)*100,"n/a"),"n/a")</f>
        <v>9.42528735632184</v>
      </c>
      <c r="CC22" s="4" t="n">
        <f aca="false">IFERROR(IF(ISNUMBER(CB22),$C22*CB22,"n/a"),"n/a")</f>
        <v>0.103874998033149</v>
      </c>
      <c r="CD22" s="13" t="n">
        <f aca="false">IFERROR(AVERAGEIF('Pemetaan Variant'!$A$5:$A$32,$B22,'Pemetaan Variant'!$AP$5:$AP$32),"n/a")</f>
        <v>20200</v>
      </c>
      <c r="CE22" s="14" t="n">
        <f aca="false">IFERROR(IF(ISNUMBER(CD22),(CD22-AVERAGEIF('Pemetaan Variant'!$A$5:$A$32,$B22,'Pemetaan Variant'!$I$5:$I$32))/AVERAGEIF('Pemetaan Variant'!$A$5:$A$32,$B22,'Pemetaan Variant'!$I$5:$I$32)*100,"n/a"),"n/a")</f>
        <v>-21.0574712643678</v>
      </c>
      <c r="CF22" s="4" t="n">
        <f aca="false">IFERROR(IF(ISNUMBER(CE22),$C22*CE22,"n/a"),"n/a")</f>
        <v>-0.23207194682528</v>
      </c>
      <c r="CG22" s="13" t="n">
        <f aca="false">IFERROR(AVERAGEIF('Pemetaan Variant'!$A$5:$A$32,$B22,'Pemetaan Variant'!$AQ$5:$AQ$32),"n/a")</f>
        <v>21000</v>
      </c>
      <c r="CH22" s="14" t="n">
        <f aca="false">IFERROR(IF(ISNUMBER(CG22),(CG22-AVERAGEIF('Pemetaan Variant'!$A$5:$A$32,$B22,'Pemetaan Variant'!$I$5:$I$32))/AVERAGEIF('Pemetaan Variant'!$A$5:$A$32,$B22,'Pemetaan Variant'!$I$5:$I$32)*100,"n/a"),"n/a")</f>
        <v>-17.9310344827586</v>
      </c>
      <c r="CI22" s="4" t="n">
        <f aca="false">IFERROR(IF(ISNUMBER(CH22),$C22*CH22,"n/a"),"n/a")</f>
        <v>-0.197615849916723</v>
      </c>
      <c r="CJ22" s="13" t="n">
        <f aca="false">IFERROR(AVERAGEIF('Pemetaan Variant'!$A$5:$A$32,$B22,'Pemetaan Variant'!$AR$5:$AR$32),"n/a")</f>
        <v>22750</v>
      </c>
      <c r="CK22" s="14" t="n">
        <f aca="false">IFERROR(IF(ISNUMBER(CJ22),(CJ22-AVERAGEIF('Pemetaan Variant'!$A$5:$A$32,$B22,'Pemetaan Variant'!$J$5:$J$32))/AVERAGEIF('Pemetaan Variant'!$A$5:$A$32,$B22,'Pemetaan Variant'!$J$5:$J$32)*100,"n/a"),"n/a")</f>
        <v>-10.6812933025404</v>
      </c>
      <c r="CL22" s="4" t="n">
        <f aca="false">IFERROR(IF(ISNUMBER(CK22),$C22*CK22,"n/a"),"n/a")</f>
        <v>-0.117717293791439</v>
      </c>
      <c r="CM22" s="13" t="n">
        <f aca="false">IFERROR(AVERAGEIF('Pemetaan Variant'!$A$5:$A$32,$B22,'Pemetaan Variant'!$AS$5:$AS$32),"n/a")</f>
        <v>23900</v>
      </c>
      <c r="CN22" s="14" t="n">
        <f aca="false">IFERROR(IF(ISNUMBER(CM22),(CM22-AVERAGEIF('Pemetaan Variant'!$A$5:$A$32,$B22,'Pemetaan Variant'!$J$5:$J$32))/AVERAGEIF('Pemetaan Variant'!$A$5:$A$32,$B22,'Pemetaan Variant'!$J$5:$J$32)*100,"n/a"),"n/a")</f>
        <v>-6.16628175519631</v>
      </c>
      <c r="CO22" s="4" t="n">
        <f aca="false">IFERROR(IF(ISNUMBER(CN22),$C22*CN22,"n/a"),"n/a")</f>
        <v>-0.0679578755509499</v>
      </c>
      <c r="CP22" s="13" t="n">
        <f aca="false">IFERROR(AVERAGEIF('Pemetaan Variant'!$A$5:$A$32,$B22,'Pemetaan Variant'!$AT$5:$AT$32),"n/a")</f>
        <v>23100</v>
      </c>
      <c r="CQ22" s="14" t="n">
        <f aca="false">IFERROR(IF(ISNUMBER(CP22),(CP22-AVERAGEIF('Pemetaan Variant'!$A$5:$A$32,$B22,'Pemetaan Variant'!$J$5:$J$32))/AVERAGEIF('Pemetaan Variant'!$A$5:$A$32,$B22,'Pemetaan Variant'!$J$5:$J$32)*100,"n/a"),"n/a")</f>
        <v>-9.30715935334873</v>
      </c>
      <c r="CR22" s="4" t="n">
        <f aca="false">IFERROR(IF(ISNUMBER(CQ22),$C22*CQ22,"n/a"),"n/a")</f>
        <v>-0.102573123022595</v>
      </c>
      <c r="CS22" s="13" t="n">
        <f aca="false">IFERROR(AVERAGEIF('Pemetaan Variant'!$A$5:$A$32,$B22,'Pemetaan Variant'!$AU$5:$AU$32),"n/a")</f>
        <v>24500</v>
      </c>
      <c r="CT22" s="14" t="n">
        <f aca="false">IFERROR(IF(ISNUMBER(CS22),(CS22-AVERAGEIF('Pemetaan Variant'!$A$5:$A$32,$B22,'Pemetaan Variant'!$J$5:$J$32))/AVERAGEIF('Pemetaan Variant'!$A$5:$A$32,$B22,'Pemetaan Variant'!$J$5:$J$32)*100,"n/a"),"n/a")</f>
        <v>-3.81062355658199</v>
      </c>
      <c r="CU22" s="4" t="n">
        <f aca="false">IFERROR(IF(ISNUMBER(CT22),$C22*CT22,"n/a"),"n/a")</f>
        <v>-0.0419964399472162</v>
      </c>
      <c r="CV22" s="13" t="n">
        <f aca="false">IFERROR(AVERAGEIF('Pemetaan Variant'!$A$5:$A$32,$B22,'Pemetaan Variant'!$AV$5:$AV$32),"n/a")</f>
        <v>24500</v>
      </c>
      <c r="CW22" s="14" t="n">
        <f aca="false">IFERROR(IF(ISNUMBER(CV22),(CV22-AVERAGEIF('Pemetaan Variant'!$A$5:$A$32,$B22,'Pemetaan Variant'!$J$5:$J$32))/AVERAGEIF('Pemetaan Variant'!$A$5:$A$32,$B22,'Pemetaan Variant'!$J$5:$J$32)*100,"n/a"),"n/a")</f>
        <v>-3.81062355658199</v>
      </c>
      <c r="CX22" s="4" t="n">
        <f aca="false">IFERROR(IF(ISNUMBER(CW22),$C22*CW22,"n/a"),"n/a")</f>
        <v>-0.0419964399472162</v>
      </c>
      <c r="CY22" s="13" t="n">
        <f aca="false">IFERROR(AVERAGEIF('Pemetaan Variant'!$A$5:$A$32,$B22,'Pemetaan Variant'!$AW$5:$AW$32),"n/a")</f>
        <v>24000</v>
      </c>
      <c r="CZ22" s="14" t="n">
        <f aca="false">IFERROR(IF(ISNUMBER(CY22),(CY22-AVERAGEIF('Pemetaan Variant'!$A$5:$A$32,$B22,'Pemetaan Variant'!$K$5:$K$32))/AVERAGEIF('Pemetaan Variant'!$A$5:$A$32,$B22,'Pemetaan Variant'!$K$5:$K$32)*100,"n/a"),"n/a")</f>
        <v>1.0064043915828</v>
      </c>
      <c r="DA22" s="4" t="n">
        <f aca="false">IFERROR(IF(ISNUMBER(CZ22),$C22*CZ22,"n/a"),"n/a")</f>
        <v>0.0110914659939888</v>
      </c>
      <c r="DB22" s="13" t="n">
        <f aca="false">IFERROR(AVERAGEIF('Pemetaan Variant'!$A$5:$A$32,$B22,'Pemetaan Variant'!$AX$5:$AX$32),"n/a")</f>
        <v>24100</v>
      </c>
      <c r="DC22" s="14" t="n">
        <f aca="false">IFERROR(IF(ISNUMBER(DB22),(DB22-AVERAGEIF('Pemetaan Variant'!$A$5:$A$32,$B22,'Pemetaan Variant'!$K$5:$K$32))/AVERAGEIF('Pemetaan Variant'!$A$5:$A$32,$B22,'Pemetaan Variant'!$K$5:$K$32)*100,"n/a"),"n/a")</f>
        <v>1.42726440988106</v>
      </c>
      <c r="DD22" s="4" t="n">
        <f aca="false">IFERROR(IF(ISNUMBER(DC22),$C22*DC22,"n/a"),"n/a")</f>
        <v>0.0157297154096568</v>
      </c>
      <c r="DE22" s="13" t="n">
        <f aca="false">IFERROR(AVERAGEIF('Pemetaan Variant'!$A$5:$A$32,$B22,'Pemetaan Variant'!$AY$5:$AY$32),"n/a")</f>
        <v>24500</v>
      </c>
      <c r="DF22" s="14" t="n">
        <f aca="false">IFERROR(IF(ISNUMBER(DE22),(DE22-AVERAGEIF('Pemetaan Variant'!$A$5:$A$32,$B22,'Pemetaan Variant'!$K$5:$K$32))/AVERAGEIF('Pemetaan Variant'!$A$5:$A$32,$B22,'Pemetaan Variant'!$K$5:$K$32)*100,"n/a"),"n/a")</f>
        <v>3.11070448307411</v>
      </c>
      <c r="DG22" s="4" t="n">
        <f aca="false">IFERROR(IF(ISNUMBER(DF22),$C22*DF22,"n/a"),"n/a")</f>
        <v>0.0342827130723289</v>
      </c>
      <c r="DH22" s="13" t="n">
        <f aca="false">IFERROR(AVERAGEIF('Pemetaan Variant'!$A$5:$A$32,$B22,'Pemetaan Variant'!$AZ$5:$AZ$32),"n/a")</f>
        <v>24500</v>
      </c>
      <c r="DI22" s="14" t="n">
        <f aca="false">IFERROR(IF(ISNUMBER(DH22),(DH22-AVERAGEIF('Pemetaan Variant'!$A$5:$A$32,$B22,'Pemetaan Variant'!$K$5:$K$32))/AVERAGEIF('Pemetaan Variant'!$A$5:$A$32,$B22,'Pemetaan Variant'!$K$5:$K$32)*100,"n/a"),"n/a")</f>
        <v>3.11070448307411</v>
      </c>
      <c r="DJ22" s="4" t="n">
        <f aca="false">IFERROR(IF(ISNUMBER(DI22),$C22*DI22,"n/a"),"n/a")</f>
        <v>0.0342827130723289</v>
      </c>
      <c r="DK22" s="13" t="n">
        <f aca="false">IFERROR(AVERAGEIF('Pemetaan Variant'!$A$5:$A$32,$B22,'Pemetaan Variant'!$BA$5:$BA$32),"n/a")</f>
        <v>23875</v>
      </c>
      <c r="DL22" s="14" t="n">
        <f aca="false">IFERROR(IF(ISNUMBER(DK22),(DK22-AVERAGEIF('Pemetaan Variant'!$A$5:$A$32,$B22,'Pemetaan Variant'!$L$5:$L$32))/AVERAGEIF('Pemetaan Variant'!$A$5:$A$32,$B22,'Pemetaan Variant'!$L$5:$L$32)*100,"n/a"),"n/a")</f>
        <v>-1.59978308026029</v>
      </c>
      <c r="DM22" s="4" t="n">
        <f aca="false">IFERROR(IF(ISNUMBER(DL22),$C22*DL22,"n/a"),"n/a")</f>
        <v>-0.0176310236529864</v>
      </c>
      <c r="DN22" s="13" t="n">
        <f aca="false">IFERROR(AVERAGEIF('Pemetaan Variant'!$A$5:$A$32,$B22,'Pemetaan Variant'!$BB$5:$BB$32),"n/a")</f>
        <v>21300</v>
      </c>
      <c r="DO22" s="14" t="n">
        <f aca="false">IFERROR(IF(ISNUMBER(DN22),(DN22-AVERAGEIF('Pemetaan Variant'!$A$5:$A$32,$B22,'Pemetaan Variant'!$L$5:$L$32))/AVERAGEIF('Pemetaan Variant'!$A$5:$A$32,$B22,'Pemetaan Variant'!$L$5:$L$32)*100,"n/a"),"n/a")</f>
        <v>-12.2125813449024</v>
      </c>
      <c r="DP22" s="4" t="n">
        <f aca="false">IFERROR(IF(ISNUMBER(DO22),$C22*DO22,"n/a"),"n/a")</f>
        <v>-0.134593441581442</v>
      </c>
      <c r="DQ22" s="13" t="n">
        <f aca="false">IFERROR(AVERAGEIF('Pemetaan Variant'!$A$5:$A$32,$B22,'Pemetaan Variant'!$BC$5:$BC$32),"n/a")</f>
        <v>21400</v>
      </c>
      <c r="DR22" s="14" t="n">
        <f aca="false">IFERROR(IF(ISNUMBER(DQ22),(DQ22-AVERAGEIF('Pemetaan Variant'!$A$5:$A$32,$B22,'Pemetaan Variant'!$L$5:$L$32))/AVERAGEIF('Pemetaan Variant'!$A$5:$A$32,$B22,'Pemetaan Variant'!$L$5:$L$32)*100,"n/a"),"n/a")</f>
        <v>-11.8004338394794</v>
      </c>
      <c r="DS22" s="4" t="n">
        <f aca="false">IFERROR(IF(ISNUMBER(DR22),$C22*DR22,"n/a"),"n/a")</f>
        <v>-0.130051211758978</v>
      </c>
      <c r="DT22" s="13" t="n">
        <f aca="false">IFERROR(AVERAGEIF('Pemetaan Variant'!$A$5:$A$32,$B22,'Pemetaan Variant'!$BD$5:$BD$32),"n/a")</f>
        <v>22800</v>
      </c>
      <c r="DU22" s="14" t="n">
        <f aca="false">IFERROR(IF(ISNUMBER(DT22),(DT22-AVERAGEIF('Pemetaan Variant'!$A$5:$A$32,$B22,'Pemetaan Variant'!$L$5:$L$32))/AVERAGEIF('Pemetaan Variant'!$A$5:$A$32,$B22,'Pemetaan Variant'!$L$5:$L$32)*100,"n/a"),"n/a")</f>
        <v>-6.03036876355747</v>
      </c>
      <c r="DV22" s="4" t="n">
        <f aca="false">IFERROR(IF(ISNUMBER(DU22),$C22*DU22,"n/a"),"n/a")</f>
        <v>-0.0664599942444777</v>
      </c>
      <c r="DW22" s="13" t="n">
        <f aca="false">IFERROR(AVERAGEIF('Pemetaan Variant'!$A$5:$A$32,$B22,'Pemetaan Variant'!$BE$5:$BE$32),"n/a")</f>
        <v>24000</v>
      </c>
      <c r="DX22" s="14" t="n">
        <f aca="false">IFERROR(IF(ISNUMBER(DW22),(DW22-AVERAGEIF('Pemetaan Variant'!$A$5:$A$32,$B22,'Pemetaan Variant'!$M$5:$M$32))/AVERAGEIF('Pemetaan Variant'!$A$5:$A$32,$B22,'Pemetaan Variant'!$M$5:$M$32)*100,"n/a"),"n/a")</f>
        <v>7.80141843971632</v>
      </c>
      <c r="DY22" s="4" t="n">
        <f aca="false">IFERROR(IF(ISNUMBER(DX22),$C22*DX22,"n/a"),"n/a")</f>
        <v>0.0859785271732607</v>
      </c>
      <c r="DZ22" s="13" t="n">
        <f aca="false">IFERROR(AVERAGEIF('Pemetaan Variant'!$A$5:$A$32,$B22,'Pemetaan Variant'!$BF$5:$BF$32),"n/a")</f>
        <v>23500</v>
      </c>
      <c r="EA22" s="14" t="n">
        <f aca="false">IFERROR(IF(ISNUMBER(DZ22),(DZ22-AVERAGEIF('Pemetaan Variant'!$A$5:$A$32,$B22,'Pemetaan Variant'!$M$5:$M$32))/AVERAGEIF('Pemetaan Variant'!$A$5:$A$32,$B22,'Pemetaan Variant'!$M$5:$M$32)*100,"n/a"),"n/a")</f>
        <v>5.55555555555557</v>
      </c>
      <c r="EB22" s="4" t="n">
        <f aca="false">IFERROR(IF(ISNUMBER(EA22),$C22*EA22,"n/a"),"n/a")</f>
        <v>0.061227132987019</v>
      </c>
      <c r="EC22" s="13" t="n">
        <f aca="false">IFERROR(AVERAGEIF('Pemetaan Variant'!$A$5:$A$32,$B22,'Pemetaan Variant'!$BG$5:$BG$32),"n/a")</f>
        <v>21500</v>
      </c>
      <c r="ED22" s="14" t="n">
        <f aca="false">IFERROR(IF(ISNUMBER(EC22),(EC22-AVERAGEIF('Pemetaan Variant'!$A$5:$A$32,$B22,'Pemetaan Variant'!$M$5:$M$32))/AVERAGEIF('Pemetaan Variant'!$A$5:$A$32,$B22,'Pemetaan Variant'!$M$5:$M$32)*100,"n/a"),"n/a")</f>
        <v>-3.42789598108746</v>
      </c>
      <c r="EE22" s="4" t="n">
        <f aca="false">IFERROR(IF(ISNUMBER(ED22),$C22*ED22,"n/a"),"n/a")</f>
        <v>-0.0377784437579477</v>
      </c>
      <c r="EF22" s="13" t="n">
        <f aca="false">IFERROR(AVERAGEIF('Pemetaan Variant'!$A$5:$A$32,$B22,'Pemetaan Variant'!$BH$5:$BH$32),"n/a")</f>
        <v>22100</v>
      </c>
      <c r="EG22" s="14" t="n">
        <f aca="false">IFERROR(IF(ISNUMBER(EF22),(EF22-AVERAGEIF('Pemetaan Variant'!$A$5:$A$32,$B22,'Pemetaan Variant'!$M$5:$M$32))/AVERAGEIF('Pemetaan Variant'!$A$5:$A$32,$B22,'Pemetaan Variant'!$M$5:$M$32)*100,"n/a"),"n/a")</f>
        <v>-0.732860520094552</v>
      </c>
      <c r="EH22" s="4" t="n">
        <f aca="false">IFERROR(IF(ISNUMBER(EG22),$C22*EG22,"n/a"),"n/a")</f>
        <v>-0.0080767707344577</v>
      </c>
      <c r="EI22" s="13" t="n">
        <f aca="false">IFERROR(AVERAGEIF('Pemetaan Variant'!$A$5:$A$32,$B22,'Pemetaan Variant'!$BI$5:$BI$32),"n/a")</f>
        <v>24100</v>
      </c>
      <c r="EJ22" s="14" t="n">
        <f aca="false">IFERROR(IF(ISNUMBER(EI22),(EI22-AVERAGEIF('Pemetaan Variant'!$A$5:$A$32,$B22,'Pemetaan Variant'!$M$5:$M$32))/AVERAGEIF('Pemetaan Variant'!$A$5:$A$32,$B22,'Pemetaan Variant'!$M$5:$M$32)*100,"n/a"),"n/a")</f>
        <v>8.25059101654848</v>
      </c>
      <c r="EK22" s="4" t="n">
        <f aca="false">IFERROR(IF(ISNUMBER(EJ22),$C22*EJ22,"n/a"),"n/a")</f>
        <v>0.090928806010509</v>
      </c>
      <c r="EL22" s="13" t="n">
        <f aca="false">IFERROR(AVERAGEIF('Pemetaan Variant'!$A$5:$A$32,$B22,'Pemetaan Variant'!$BJ$5:$BJ$32),"n/a")</f>
        <v>24100</v>
      </c>
      <c r="EM22" s="14" t="n">
        <f aca="false">IFERROR(IF(ISNUMBER(EL22),(EL22-AVERAGEIF('Pemetaan Variant'!$A$5:$A$32,$B22,'Pemetaan Variant'!$N$5:$N$32))/AVERAGEIF('Pemetaan Variant'!$A$5:$A$32,$B22,'Pemetaan Variant'!$N$5:$N$32)*100,"n/a"),"n/a")</f>
        <v>4.9810606060606</v>
      </c>
      <c r="EN22" s="4" t="n">
        <f aca="false">IFERROR(IF(ISNUMBER(EM22),$C22*EM22,"n/a"),"n/a")</f>
        <v>0.0548956908258612</v>
      </c>
      <c r="EO22" s="13" t="n">
        <f aca="false">IFERROR(AVERAGEIF('Pemetaan Variant'!$A$5:$A$32,$B22,'Pemetaan Variant'!$BK$5:$BK$32),"n/a")</f>
        <v>23000</v>
      </c>
      <c r="EP22" s="14" t="n">
        <f aca="false">IFERROR(IF(ISNUMBER(EO22),(EO22-AVERAGEIF('Pemetaan Variant'!$A$5:$A$32,$B22,'Pemetaan Variant'!$N$5:$N$32))/AVERAGEIF('Pemetaan Variant'!$A$5:$A$32,$B22,'Pemetaan Variant'!$N$5:$N$32)*100,"n/a"),"n/a")</f>
        <v>0.189393939393935</v>
      </c>
      <c r="EQ22" s="4" t="n">
        <f aca="false">IFERROR(IF(ISNUMBER(EP22),$C22*EP22,"n/a"),"n/a")</f>
        <v>0.00208728862455741</v>
      </c>
      <c r="ER22" s="13" t="n">
        <f aca="false">IFERROR(AVERAGEIF('Pemetaan Variant'!$A$5:$A$32,$B22,'Pemetaan Variant'!$BL$5:$BL$32),"n/a")</f>
        <v>24600</v>
      </c>
      <c r="ES22" s="14" t="n">
        <f aca="false">IFERROR(IF(ISNUMBER(ER22),(ER22-AVERAGEIF('Pemetaan Variant'!$A$5:$A$32,$B22,'Pemetaan Variant'!$N$5:$N$32))/AVERAGEIF('Pemetaan Variant'!$A$5:$A$32,$B22,'Pemetaan Variant'!$N$5:$N$32)*100,"n/a"),"n/a")</f>
        <v>7.1590909090909</v>
      </c>
      <c r="ET22" s="4" t="n">
        <f aca="false">IFERROR(IF(ISNUMBER(ES22),$C22*ES22,"n/a"),"n/a")</f>
        <v>0.078899510008272</v>
      </c>
      <c r="EU22" s="13" t="n">
        <f aca="false">IFERROR(AVERAGEIF('Pemetaan Variant'!$A$5:$A$32,$B22,'Pemetaan Variant'!$BM$5:$BM$32),"n/a")</f>
        <v>25200</v>
      </c>
      <c r="EV22" s="14" t="n">
        <f aca="false">IFERROR(IF(ISNUMBER(EU22),(EU22-AVERAGEIF('Pemetaan Variant'!$A$5:$A$32,$B22,'Pemetaan Variant'!$N$5:$N$32))/AVERAGEIF('Pemetaan Variant'!$A$5:$A$32,$B22,'Pemetaan Variant'!$N$5:$N$32)*100,"n/a"),"n/a")</f>
        <v>9.77272727272727</v>
      </c>
      <c r="EW22" s="4" t="n">
        <f aca="false">IFERROR(IF(ISNUMBER(EV22),$C22*EV22,"n/a"),"n/a")</f>
        <v>0.107704093027165</v>
      </c>
      <c r="EX22" s="13" t="n">
        <f aca="false">IFERROR(AVERAGEIF('Pemetaan Variant'!$A$5:$A$32,$B22,'Pemetaan Variant'!$BN$5:$BN$32),"n/a")</f>
        <v>25800</v>
      </c>
      <c r="EY22" s="14" t="n">
        <f aca="false">IFERROR(IF(ISNUMBER(EX22),(EX22-AVERAGEIF('Pemetaan Variant'!$A$5:$A$32,$B22,'Pemetaan Variant'!$O$5:$O$32))/AVERAGEIF('Pemetaan Variant'!$A$5:$A$32,$B22,'Pemetaan Variant'!$O$5:$O$32)*100,"n/a"),"n/a")</f>
        <v>6.5015479876161</v>
      </c>
      <c r="EZ22" s="4" t="n">
        <f aca="false">IFERROR(IF(ISNUMBER(EY22),$C22*EY22,"n/a"),"n/a")</f>
        <v>0.0716528057866661</v>
      </c>
      <c r="FA22" s="13" t="n">
        <f aca="false">IFERROR(AVERAGEIF('Pemetaan Variant'!$A$5:$A$32,$B22,'Pemetaan Variant'!$BO$5:$BO$32),"n/a")</f>
        <v>25600</v>
      </c>
      <c r="FB22" s="14" t="n">
        <f aca="false">IFERROR(IF(ISNUMBER(FA22),(FA22-AVERAGEIF('Pemetaan Variant'!$A$5:$A$32,$B22,'Pemetaan Variant'!$O$5:$O$32))/AVERAGEIF('Pemetaan Variant'!$A$5:$A$32,$B22,'Pemetaan Variant'!$O$5:$O$32)*100,"n/a"),"n/a")</f>
        <v>5.67595459236326</v>
      </c>
      <c r="FC22" s="4" t="n">
        <f aca="false">IFERROR(IF(ISNUMBER(FB22),$C22*FB22,"n/a"),"n/a")</f>
        <v>0.0625540367978831</v>
      </c>
      <c r="FD22" s="13" t="n">
        <f aca="false">IFERROR(AVERAGEIF('Pemetaan Variant'!$A$5:$A$32,$B22,'Pemetaan Variant'!$BP$5:$BP$32),"n/a")</f>
        <v>25000</v>
      </c>
      <c r="FE22" s="14" t="n">
        <f aca="false">IFERROR(IF(ISNUMBER(FD22),(FD22-AVERAGEIF('Pemetaan Variant'!$A$5:$A$32,$B22,'Pemetaan Variant'!$O$5:$O$32))/AVERAGEIF('Pemetaan Variant'!$A$5:$A$32,$B22,'Pemetaan Variant'!$O$5:$O$32)*100,"n/a"),"n/a")</f>
        <v>3.19917440660475</v>
      </c>
      <c r="FF22" s="4" t="n">
        <f aca="false">IFERROR(IF(ISNUMBER(FE22),$C22*FE22,"n/a"),"n/a")</f>
        <v>0.0352577298315341</v>
      </c>
      <c r="FG22" s="13" t="n">
        <f aca="false">IFERROR(AVERAGEIF('Pemetaan Variant'!$A$5:$A$32,$B22,'Pemetaan Variant'!$BQ$5:$BQ$32),"n/a")</f>
        <v>25000</v>
      </c>
      <c r="FH22" s="14" t="n">
        <f aca="false">IFERROR(IF(ISNUMBER(FG22),(FG22-AVERAGEIF('Pemetaan Variant'!$A$5:$A$32,$B22,'Pemetaan Variant'!$O$5:$O$32))/AVERAGEIF('Pemetaan Variant'!$A$5:$A$32,$B22,'Pemetaan Variant'!$O$5:$O$32)*100,"n/a"),"n/a")</f>
        <v>3.19917440660475</v>
      </c>
      <c r="FI22" s="4" t="n">
        <f aca="false">IFERROR(IF(ISNUMBER(FH22),$C22*FH22,"n/a"),"n/a")</f>
        <v>0.0352577298315341</v>
      </c>
      <c r="FJ22" s="13" t="n">
        <f aca="false">IFERROR(AVERAGEIF('Pemetaan Variant'!$A$5:$A$32,$B22,'Pemetaan Variant'!$BR$5:$BR$32),"n/a")</f>
        <v>25000</v>
      </c>
      <c r="FK22" s="14" t="n">
        <f aca="false">IFERROR(IF(ISNUMBER(FJ22),(FJ22-AVERAGEIF('Pemetaan Variant'!$A$5:$A$32,$B22,'Pemetaan Variant'!$O$5:$O$32))/AVERAGEIF('Pemetaan Variant'!$A$5:$A$32,$B22,'Pemetaan Variant'!$O$5:$O$32)*100,"n/a"),"n/a")</f>
        <v>3.19917440660475</v>
      </c>
      <c r="FL22" s="4" t="n">
        <f aca="false">IFERROR(IF(ISNUMBER(FK22),$C22*FK22,"n/a"),"n/a")</f>
        <v>0.0352577298315341</v>
      </c>
      <c r="FM22" s="15"/>
      <c r="FO22" s="11" t="n">
        <f aca="false">IFERROR(ABS(F22),0)</f>
        <v>0.47195617329317</v>
      </c>
      <c r="FP22" s="11" t="n">
        <f aca="false">IFERROR(ABS(I22),0)</f>
        <v>0.47195617329317</v>
      </c>
      <c r="FQ22" s="11" t="n">
        <f aca="false">IFERROR(ABS(L22),0)</f>
        <v>0.47195617329317</v>
      </c>
      <c r="FR22" s="11" t="n">
        <f aca="false">IFERROR(ABS(O22),0)</f>
        <v>0.476585716137463</v>
      </c>
      <c r="FS22" s="11" t="n">
        <f aca="false">IFERROR(ABS(R22),0)</f>
        <v>0.564547030179024</v>
      </c>
      <c r="FT22" s="11" t="n">
        <f aca="false">IFERROR(ABS(U22),0)</f>
        <v>0.0567562816159452</v>
      </c>
      <c r="FU22" s="11" t="n">
        <f aca="false">IFERROR(ABS(X22),0)</f>
        <v>0.0567562816159452</v>
      </c>
      <c r="FV22" s="11" t="n">
        <f aca="false">IFERROR(ABS(AA22),0)</f>
        <v>0.0503182556415992</v>
      </c>
      <c r="FW22" s="11" t="n">
        <f aca="false">IFERROR(ABS(AD22),0)</f>
        <v>0.0567562816159452</v>
      </c>
      <c r="FX22" s="11" t="n">
        <f aca="false">IFERROR(ABS(AG22),0)</f>
        <v>0.145546666350987</v>
      </c>
      <c r="FY22" s="11" t="n">
        <f aca="false">IFERROR(ABS(AJ22),0)</f>
        <v>0.182336732790039</v>
      </c>
      <c r="FZ22" s="11" t="n">
        <f aca="false">IFERROR(ABS(AM22),0)</f>
        <v>0.145546666350987</v>
      </c>
      <c r="GA22" s="11" t="n">
        <f aca="false">IFERROR(ABS(AP22),0)</f>
        <v>0.0980261638672111</v>
      </c>
      <c r="GB22" s="11" t="n">
        <f aca="false">IFERROR(ABS(AS22),0)</f>
        <v>0</v>
      </c>
      <c r="GC22" s="11" t="n">
        <f aca="false">IFERROR(ABS(AV22),0)</f>
        <v>0</v>
      </c>
      <c r="GD22" s="11" t="n">
        <f aca="false">IFERROR(ABS(AY22),0)</f>
        <v>0.310368906844821</v>
      </c>
      <c r="GE22" s="11" t="n">
        <f aca="false">IFERROR(ABS(BB22),0)</f>
        <v>0.200020680234574</v>
      </c>
      <c r="GF22" s="11" t="n">
        <f aca="false">IFERROR(ABS(BE22),0)</f>
        <v>0.0455331629802282</v>
      </c>
      <c r="GG22" s="11" t="n">
        <f aca="false">IFERROR(ABS(BH22),0)</f>
        <v>0.213417342131818</v>
      </c>
      <c r="GH22" s="11" t="n">
        <f aca="false">IFERROR(ABS(BK22),0)</f>
        <v>0.293957582571957</v>
      </c>
      <c r="GI22" s="11" t="n">
        <f aca="false">IFERROR(ABS(BN22),0)</f>
        <v>0.255167303634627</v>
      </c>
      <c r="GJ22" s="11" t="n">
        <f aca="false">IFERROR(ABS(BQ22),0)</f>
        <v>0.326282815019732</v>
      </c>
      <c r="GK22" s="11" t="n">
        <f aca="false">IFERROR(ABS(BT22),0)</f>
        <v>0.281027489592847</v>
      </c>
      <c r="GL22" s="11" t="n">
        <f aca="false">IFERROR(ABS(BW22),0)</f>
        <v>0.240082195158998</v>
      </c>
      <c r="GM22" s="11" t="n">
        <f aca="false">IFERROR(ABS(BZ22),0)</f>
        <v>0.362295724847326</v>
      </c>
      <c r="GN22" s="11" t="n">
        <f aca="false">IFERROR(ABS(CC22),0)</f>
        <v>0.103874998033149</v>
      </c>
      <c r="GO22" s="11" t="n">
        <f aca="false">IFERROR(ABS(CF22),0)</f>
        <v>0.23207194682528</v>
      </c>
      <c r="GP22" s="11" t="n">
        <f aca="false">IFERROR(ABS(CI22),0)</f>
        <v>0.197615849916723</v>
      </c>
      <c r="GQ22" s="11" t="n">
        <f aca="false">IFERROR(ABS(CL22),0)</f>
        <v>0.117717293791439</v>
      </c>
      <c r="GR22" s="11" t="n">
        <f aca="false">IFERROR(ABS(CO22),0)</f>
        <v>0.0679578755509499</v>
      </c>
      <c r="GS22" s="11" t="n">
        <f aca="false">IFERROR(ABS(CR22),0)</f>
        <v>0.102573123022595</v>
      </c>
      <c r="GT22" s="11" t="n">
        <f aca="false">IFERROR(ABS(CU22),0)</f>
        <v>0.0419964399472162</v>
      </c>
      <c r="GU22" s="11" t="n">
        <f aca="false">IFERROR(ABS(CX22),0)</f>
        <v>0.0419964399472162</v>
      </c>
      <c r="GV22" s="11" t="n">
        <f aca="false">IFERROR(ABS(DA22),0)</f>
        <v>0.0110914659939888</v>
      </c>
      <c r="GW22" s="11" t="n">
        <f aca="false">IFERROR(ABS(DD22),0)</f>
        <v>0.0157297154096568</v>
      </c>
      <c r="GX22" s="11" t="n">
        <f aca="false">IFERROR(ABS(DG22),0)</f>
        <v>0.0342827130723289</v>
      </c>
      <c r="GY22" s="11" t="n">
        <f aca="false">IFERROR(ABS(DJ22),0)</f>
        <v>0.0342827130723289</v>
      </c>
      <c r="GZ22" s="11" t="n">
        <f aca="false">IFERROR(ABS(DM22),0)</f>
        <v>0.0176310236529864</v>
      </c>
      <c r="HA22" s="11" t="n">
        <f aca="false">IFERROR(ABS(DP22),0)</f>
        <v>0.134593441581442</v>
      </c>
      <c r="HB22" s="11" t="n">
        <f aca="false">IFERROR(ABS(DS22),0)</f>
        <v>0.130051211758978</v>
      </c>
      <c r="HC22" s="11" t="n">
        <f aca="false">IFERROR(ABS(DV22),0)</f>
        <v>0.0664599942444777</v>
      </c>
      <c r="HD22" s="11" t="n">
        <f aca="false">IFERROR(ABS(DY22),0)</f>
        <v>0.0859785271732607</v>
      </c>
      <c r="HE22" s="11" t="n">
        <f aca="false">IFERROR(ABS(EB22),0)</f>
        <v>0.061227132987019</v>
      </c>
      <c r="HF22" s="11" t="n">
        <f aca="false">IFERROR(ABS(EE22),0)</f>
        <v>0.0377784437579477</v>
      </c>
      <c r="HG22" s="11" t="n">
        <f aca="false">IFERROR(ABS(EH22),0)</f>
        <v>0.0080767707344577</v>
      </c>
      <c r="HH22" s="11" t="n">
        <f aca="false">IFERROR(ABS(EK22),0)</f>
        <v>0.090928806010509</v>
      </c>
      <c r="HI22" s="11" t="n">
        <f aca="false">IFERROR(ABS(EN22),0)</f>
        <v>0.0548956908258612</v>
      </c>
      <c r="HJ22" s="11" t="n">
        <f aca="false">IFERROR(ABS(EQ22),0)</f>
        <v>0.00208728862455741</v>
      </c>
      <c r="HK22" s="11" t="n">
        <f aca="false">IFERROR(ABS(ET22),0)</f>
        <v>0.078899510008272</v>
      </c>
      <c r="HL22" s="11" t="n">
        <f aca="false">IFERROR(ABS(EW22),0)</f>
        <v>0.107704093027165</v>
      </c>
      <c r="HM22" s="11" t="n">
        <f aca="false">IFERROR(ABS(EZ22),0)</f>
        <v>0.0716528057866661</v>
      </c>
      <c r="HN22" s="11" t="n">
        <f aca="false">IFERROR(ABS(FC22),0)</f>
        <v>0.0625540367978831</v>
      </c>
      <c r="HO22" s="11" t="n">
        <f aca="false">IFERROR(ABS(FF22),0)</f>
        <v>0.0352577298315341</v>
      </c>
      <c r="HP22" s="11" t="n">
        <f aca="false">IFERROR(ABS(FI22),0)</f>
        <v>0.0352577298315341</v>
      </c>
      <c r="HQ22" s="11" t="n">
        <f aca="false">IFERROR(ABS(FL22),0)</f>
        <v>0.0352577298315341</v>
      </c>
    </row>
    <row r="23" customFormat="false" ht="15" hidden="false" customHeight="false" outlineLevel="0" collapsed="false">
      <c r="A23" s="3" t="n">
        <v>18</v>
      </c>
      <c r="B23" s="3" t="s">
        <v>256</v>
      </c>
      <c r="C23" s="12" t="n">
        <f aca="false">'P0Q0 Dasar 2022'!F22</f>
        <v>0.0598704213474298</v>
      </c>
      <c r="D23" s="13" t="n">
        <f aca="false">IFERROR(AVERAGEIF('Pemetaan Variant'!$A$5:$A$32,$B23,'Pemetaan Variant'!$P$5:$P$32),"n/a")</f>
        <v>84333.3333333333</v>
      </c>
      <c r="E23" s="14" t="n">
        <f aca="false">IFERROR(IF(ISNUMBER(D23),(D23-AVERAGEIF('Pemetaan Variant'!$A$5:$A$32,$B23,'Pemetaan Variant'!$D$5:$D$32))/AVERAGEIF('Pemetaan Variant'!$A$5:$A$32,$B23,'Pemetaan Variant'!$D$5:$D$32)*100,"n/a"),"n/a")</f>
        <v>0</v>
      </c>
      <c r="F23" s="4" t="n">
        <f aca="false">IFERROR(IF(ISNUMBER(E23),$C23*E23,"n/a"),"n/a")</f>
        <v>0</v>
      </c>
      <c r="G23" s="13" t="n">
        <f aca="false">IFERROR(AVERAGEIF('Pemetaan Variant'!$A$5:$A$32,$B23,'Pemetaan Variant'!$Q$5:$Q$32),"n/a")</f>
        <v>77666.6666666667</v>
      </c>
      <c r="H23" s="14" t="n">
        <f aca="false">IFERROR(IF(ISNUMBER(G23),(G23-AVERAGEIF('Pemetaan Variant'!$A$5:$A$32,$B23,'Pemetaan Variant'!$D$5:$D$32))/AVERAGEIF('Pemetaan Variant'!$A$5:$A$32,$B23,'Pemetaan Variant'!$D$5:$D$32)*100,"n/a"),"n/a")</f>
        <v>-7.90513833992094</v>
      </c>
      <c r="I23" s="4" t="n">
        <f aca="false">IFERROR(IF(ISNUMBER(H23),$C23*H23,"n/a"),"n/a")</f>
        <v>-0.473283963220788</v>
      </c>
      <c r="J23" s="13" t="n">
        <f aca="false">IFERROR(AVERAGEIF('Pemetaan Variant'!$A$5:$A$32,$B23,'Pemetaan Variant'!$R$5:$R$32),"n/a")</f>
        <v>77666.6666666667</v>
      </c>
      <c r="K23" s="14" t="n">
        <f aca="false">IFERROR(IF(ISNUMBER(J23),(J23-AVERAGEIF('Pemetaan Variant'!$A$5:$A$32,$B23,'Pemetaan Variant'!$D$5:$D$32))/AVERAGEIF('Pemetaan Variant'!$A$5:$A$32,$B23,'Pemetaan Variant'!$D$5:$D$32)*100,"n/a"),"n/a")</f>
        <v>-7.90513833992094</v>
      </c>
      <c r="L23" s="4" t="n">
        <f aca="false">IFERROR(IF(ISNUMBER(K23),$C23*K23,"n/a"),"n/a")</f>
        <v>-0.473283963220788</v>
      </c>
      <c r="M23" s="13" t="n">
        <f aca="false">IFERROR(AVERAGEIF('Pemetaan Variant'!$A$5:$A$32,$B23,'Pemetaan Variant'!$S$5:$S$32),"n/a")</f>
        <v>77666.6666666667</v>
      </c>
      <c r="N23" s="14" t="n">
        <f aca="false">IFERROR(IF(ISNUMBER(M23),(M23-AVERAGEIF('Pemetaan Variant'!$A$5:$A$32,$B23,'Pemetaan Variant'!$D$5:$D$32))/AVERAGEIF('Pemetaan Variant'!$A$5:$A$32,$B23,'Pemetaan Variant'!$D$5:$D$32)*100,"n/a"),"n/a")</f>
        <v>-7.90513833992094</v>
      </c>
      <c r="O23" s="4" t="n">
        <f aca="false">IFERROR(IF(ISNUMBER(N23),$C23*N23,"n/a"),"n/a")</f>
        <v>-0.473283963220788</v>
      </c>
      <c r="P23" s="13" t="n">
        <f aca="false">IFERROR(AVERAGEIF('Pemetaan Variant'!$A$5:$A$32,$B23,'Pemetaan Variant'!$T$5:$T$32),"n/a")</f>
        <v>77666.6666666667</v>
      </c>
      <c r="Q23" s="14" t="n">
        <f aca="false">IFERROR(IF(ISNUMBER(P23),(P23-AVERAGEIF('Pemetaan Variant'!$A$5:$A$32,$B23,'Pemetaan Variant'!$D$5:$D$32))/AVERAGEIF('Pemetaan Variant'!$A$5:$A$32,$B23,'Pemetaan Variant'!$D$5:$D$32)*100,"n/a"),"n/a")</f>
        <v>-7.90513833992094</v>
      </c>
      <c r="R23" s="4" t="n">
        <f aca="false">IFERROR(IF(ISNUMBER(Q23),$C23*Q23,"n/a"),"n/a")</f>
        <v>-0.473283963220788</v>
      </c>
      <c r="S23" s="13" t="n">
        <f aca="false">IFERROR(AVERAGEIF('Pemetaan Variant'!$A$5:$A$32,$B23,'Pemetaan Variant'!$U$5:$U$32),"n/a")</f>
        <v>77666.6666666667</v>
      </c>
      <c r="T23" s="14" t="n">
        <f aca="false">IFERROR(IF(ISNUMBER(S23),(S23-AVERAGEIF('Pemetaan Variant'!$A$5:$A$32,$B23,'Pemetaan Variant'!$E$5:$E$32))/AVERAGEIF('Pemetaan Variant'!$A$5:$A$32,$B23,'Pemetaan Variant'!$E$5:$E$32)*100,"n/a"),"n/a")</f>
        <v>-0.89545556301769</v>
      </c>
      <c r="U23" s="4" t="n">
        <f aca="false">IFERROR(IF(ISNUMBER(T23),$C23*T23,"n/a"),"n/a")</f>
        <v>-0.0536113018557691</v>
      </c>
      <c r="V23" s="13" t="n">
        <f aca="false">IFERROR(AVERAGEIF('Pemetaan Variant'!$A$5:$A$32,$B23,'Pemetaan Variant'!$V$5:$V$32),"n/a")</f>
        <v>77666.6666666667</v>
      </c>
      <c r="W23" s="14" t="n">
        <f aca="false">IFERROR(IF(ISNUMBER(V23),(V23-AVERAGEIF('Pemetaan Variant'!$A$5:$A$32,$B23,'Pemetaan Variant'!$E$5:$E$32))/AVERAGEIF('Pemetaan Variant'!$A$5:$A$32,$B23,'Pemetaan Variant'!$E$5:$E$32)*100,"n/a"),"n/a")</f>
        <v>-0.89545556301769</v>
      </c>
      <c r="X23" s="4" t="n">
        <f aca="false">IFERROR(IF(ISNUMBER(W23),$C23*W23,"n/a"),"n/a")</f>
        <v>-0.0536113018557691</v>
      </c>
      <c r="Y23" s="13" t="n">
        <f aca="false">IFERROR(AVERAGEIF('Pemetaan Variant'!$A$5:$A$32,$B23,'Pemetaan Variant'!$W$5:$W$32),"n/a")</f>
        <v>77666.6666666667</v>
      </c>
      <c r="Z23" s="14" t="n">
        <f aca="false">IFERROR(IF(ISNUMBER(Y23),(Y23-AVERAGEIF('Pemetaan Variant'!$A$5:$A$32,$B23,'Pemetaan Variant'!$E$5:$E$32))/AVERAGEIF('Pemetaan Variant'!$A$5:$A$32,$B23,'Pemetaan Variant'!$E$5:$E$32)*100,"n/a"),"n/a")</f>
        <v>-0.89545556301769</v>
      </c>
      <c r="AA23" s="4" t="n">
        <f aca="false">IFERROR(IF(ISNUMBER(Z23),$C23*Z23,"n/a"),"n/a")</f>
        <v>-0.0536113018557691</v>
      </c>
      <c r="AB23" s="13" t="n">
        <f aca="false">IFERROR(AVERAGEIF('Pemetaan Variant'!$A$5:$A$32,$B23,'Pemetaan Variant'!$X$5:$X$32),"n/a")</f>
        <v>77666.6666666667</v>
      </c>
      <c r="AC23" s="14" t="n">
        <f aca="false">IFERROR(IF(ISNUMBER(AB23),(AB23-AVERAGEIF('Pemetaan Variant'!$A$5:$A$32,$B23,'Pemetaan Variant'!$E$5:$E$32))/AVERAGEIF('Pemetaan Variant'!$A$5:$A$32,$B23,'Pemetaan Variant'!$E$5:$E$32)*100,"n/a"),"n/a")</f>
        <v>-0.89545556301769</v>
      </c>
      <c r="AD23" s="4" t="n">
        <f aca="false">IFERROR(IF(ISNUMBER(AC23),$C23*AC23,"n/a"),"n/a")</f>
        <v>-0.0536113018557691</v>
      </c>
      <c r="AE23" s="13" t="n">
        <f aca="false">IFERROR(AVERAGEIF('Pemetaan Variant'!$A$5:$A$32,$B23,'Pemetaan Variant'!$Y$5:$Y$32),"n/a")</f>
        <v>77666.6666666667</v>
      </c>
      <c r="AF23" s="14" t="n">
        <f aca="false">IFERROR(IF(ISNUMBER(AE23),(AE23-AVERAGEIF('Pemetaan Variant'!$A$5:$A$32,$B23,'Pemetaan Variant'!$F$5:$F$32))/AVERAGEIF('Pemetaan Variant'!$A$5:$A$32,$B23,'Pemetaan Variant'!$F$5:$F$32)*100,"n/a"),"n/a")</f>
        <v>0</v>
      </c>
      <c r="AG23" s="4" t="n">
        <f aca="false">IFERROR(IF(ISNUMBER(AF23),$C23*AF23,"n/a"),"n/a")</f>
        <v>0</v>
      </c>
      <c r="AH23" s="13" t="n">
        <f aca="false">IFERROR(AVERAGEIF('Pemetaan Variant'!$A$5:$A$32,$B23,'Pemetaan Variant'!$Z$5:$Z$32),"n/a")</f>
        <v>77666.6666666667</v>
      </c>
      <c r="AI23" s="14" t="n">
        <f aca="false">IFERROR(IF(ISNUMBER(AH23),(AH23-AVERAGEIF('Pemetaan Variant'!$A$5:$A$32,$B23,'Pemetaan Variant'!$F$5:$F$32))/AVERAGEIF('Pemetaan Variant'!$A$5:$A$32,$B23,'Pemetaan Variant'!$F$5:$F$32)*100,"n/a"),"n/a")</f>
        <v>0</v>
      </c>
      <c r="AJ23" s="4" t="n">
        <f aca="false">IFERROR(IF(ISNUMBER(AI23),$C23*AI23,"n/a"),"n/a")</f>
        <v>0</v>
      </c>
      <c r="AK23" s="13" t="n">
        <f aca="false">IFERROR(AVERAGEIF('Pemetaan Variant'!$A$5:$A$32,$B23,'Pemetaan Variant'!$AA$5:$AA$32),"n/a")</f>
        <v>77666.6666666667</v>
      </c>
      <c r="AL23" s="14" t="n">
        <f aca="false">IFERROR(IF(ISNUMBER(AK23),(AK23-AVERAGEIF('Pemetaan Variant'!$A$5:$A$32,$B23,'Pemetaan Variant'!$F$5:$F$32))/AVERAGEIF('Pemetaan Variant'!$A$5:$A$32,$B23,'Pemetaan Variant'!$F$5:$F$32)*100,"n/a"),"n/a")</f>
        <v>0</v>
      </c>
      <c r="AM23" s="4" t="n">
        <f aca="false">IFERROR(IF(ISNUMBER(AL23),$C23*AL23,"n/a"),"n/a")</f>
        <v>0</v>
      </c>
      <c r="AN23" s="13" t="n">
        <f aca="false">IFERROR(AVERAGEIF('Pemetaan Variant'!$A$5:$A$32,$B23,'Pemetaan Variant'!$AB$5:$AB$32),"n/a")</f>
        <v>77583.3333333333</v>
      </c>
      <c r="AO23" s="14" t="n">
        <f aca="false">IFERROR(IF(ISNUMBER(AN23),(AN23-AVERAGEIF('Pemetaan Variant'!$A$5:$A$32,$B23,'Pemetaan Variant'!$F$5:$F$32))/AVERAGEIF('Pemetaan Variant'!$A$5:$A$32,$B23,'Pemetaan Variant'!$F$5:$F$32)*100,"n/a"),"n/a")</f>
        <v>-0.107296137339068</v>
      </c>
      <c r="AP23" s="4" t="n">
        <f aca="false">IFERROR(IF(ISNUMBER(AO23),$C23*AO23,"n/a"),"n/a")</f>
        <v>-0.00642386495144171</v>
      </c>
      <c r="AQ23" s="13" t="str">
        <f aca="false">IFERROR(AVERAGEIF('Pemetaan Variant'!$A$5:$A$32,$B23,'Pemetaan Variant'!$AC$5:$AC$32),"n/a")</f>
        <v>n/a</v>
      </c>
      <c r="AR23" s="14" t="str">
        <f aca="false">IFERROR(IF(ISNUMBER(AQ23),(AQ23-AVERAGEIF('Pemetaan Variant'!$A$5:$A$32,$B23,'Pemetaan Variant'!$F$5:$F$32))/AVERAGEIF('Pemetaan Variant'!$A$5:$A$32,$B23,'Pemetaan Variant'!$F$5:$F$32)*100,"n/a"),"n/a")</f>
        <v>n/a</v>
      </c>
      <c r="AS23" s="4" t="str">
        <f aca="false">IFERROR(IF(ISNUMBER(AR23),$C23*AR23,"n/a"),"n/a")</f>
        <v>n/a</v>
      </c>
      <c r="AT23" s="13" t="str">
        <f aca="false">IFERROR(AVERAGEIF('Pemetaan Variant'!$A$5:$A$32,$B23,'Pemetaan Variant'!$AD$5:$AD$32),"n/a")</f>
        <v>n/a</v>
      </c>
      <c r="AU23" s="14" t="str">
        <f aca="false">IFERROR(IF(ISNUMBER(AT23),(AT23-AVERAGEIF('Pemetaan Variant'!$A$5:$A$32,$B23,'Pemetaan Variant'!$G$5:$G$32))/AVERAGEIF('Pemetaan Variant'!$A$5:$A$32,$B23,'Pemetaan Variant'!$G$5:$G$32)*100,"n/a"),"n/a")</f>
        <v>n/a</v>
      </c>
      <c r="AV23" s="4" t="str">
        <f aca="false">IFERROR(IF(ISNUMBER(AU23),$C23*AU23,"n/a"),"n/a")</f>
        <v>n/a</v>
      </c>
      <c r="AW23" s="13" t="n">
        <f aca="false">IFERROR(AVERAGEIF('Pemetaan Variant'!$A$5:$A$32,$B23,'Pemetaan Variant'!$AE$5:$AE$32),"n/a")</f>
        <v>77333.3333333333</v>
      </c>
      <c r="AX23" s="14" t="n">
        <f aca="false">IFERROR(IF(ISNUMBER(AW23),(AW23-AVERAGEIF('Pemetaan Variant'!$A$5:$A$32,$B23,'Pemetaan Variant'!$G$5:$G$32))/AVERAGEIF('Pemetaan Variant'!$A$5:$A$32,$B23,'Pemetaan Variant'!$G$5:$G$32)*100,"n/a"),"n/a")</f>
        <v>-0.40668775417985</v>
      </c>
      <c r="AY23" s="4" t="n">
        <f aca="false">IFERROR(IF(ISNUMBER(AX23),$C23*AX23,"n/a"),"n/a")</f>
        <v>-0.0243485671995876</v>
      </c>
      <c r="AZ23" s="13" t="n">
        <f aca="false">IFERROR(AVERAGEIF('Pemetaan Variant'!$A$5:$A$32,$B23,'Pemetaan Variant'!$AF$5:$AF$32),"n/a")</f>
        <v>77333.3333333333</v>
      </c>
      <c r="BA23" s="14" t="n">
        <f aca="false">IFERROR(IF(ISNUMBER(AZ23),(AZ23-AVERAGEIF('Pemetaan Variant'!$A$5:$A$32,$B23,'Pemetaan Variant'!$G$5:$G$32))/AVERAGEIF('Pemetaan Variant'!$A$5:$A$32,$B23,'Pemetaan Variant'!$G$5:$G$32)*100,"n/a"),"n/a")</f>
        <v>-0.40668775417985</v>
      </c>
      <c r="BB23" s="4" t="n">
        <f aca="false">IFERROR(IF(ISNUMBER(BA23),$C23*BA23,"n/a"),"n/a")</f>
        <v>-0.0243485671995876</v>
      </c>
      <c r="BC23" s="13" t="n">
        <f aca="false">IFERROR(AVERAGEIF('Pemetaan Variant'!$A$5:$A$32,$B23,'Pemetaan Variant'!$AG$5:$AG$32),"n/a")</f>
        <v>77333.3333333333</v>
      </c>
      <c r="BD23" s="14" t="n">
        <f aca="false">IFERROR(IF(ISNUMBER(BC23),(BC23-AVERAGEIF('Pemetaan Variant'!$A$5:$A$32,$B23,'Pemetaan Variant'!$G$5:$G$32))/AVERAGEIF('Pemetaan Variant'!$A$5:$A$32,$B23,'Pemetaan Variant'!$G$5:$G$32)*100,"n/a"),"n/a")</f>
        <v>-0.40668775417985</v>
      </c>
      <c r="BE23" s="4" t="n">
        <f aca="false">IFERROR(IF(ISNUMBER(BD23),$C23*BD23,"n/a"),"n/a")</f>
        <v>-0.0243485671995876</v>
      </c>
      <c r="BF23" s="13" t="n">
        <f aca="false">IFERROR(AVERAGEIF('Pemetaan Variant'!$A$5:$A$32,$B23,'Pemetaan Variant'!$AH$5:$AH$32),"n/a")</f>
        <v>74333.3333333333</v>
      </c>
      <c r="BG23" s="14" t="n">
        <f aca="false">IFERROR(IF(ISNUMBER(BF23),(BF23-AVERAGEIF('Pemetaan Variant'!$A$5:$A$32,$B23,'Pemetaan Variant'!$G$5:$G$32))/AVERAGEIF('Pemetaan Variant'!$A$5:$A$32,$B23,'Pemetaan Variant'!$G$5:$G$32)*100,"n/a"),"n/a")</f>
        <v>-4.27022141888839</v>
      </c>
      <c r="BH23" s="4" t="n">
        <f aca="false">IFERROR(IF(ISNUMBER(BG23),$C23*BG23,"n/a"),"n/a")</f>
        <v>-0.255659955595668</v>
      </c>
      <c r="BI23" s="13" t="n">
        <f aca="false">IFERROR(AVERAGEIF('Pemetaan Variant'!$A$5:$A$32,$B23,'Pemetaan Variant'!$AI$5:$AI$32),"n/a")</f>
        <v>71666.6666666667</v>
      </c>
      <c r="BJ23" s="14" t="n">
        <f aca="false">IFERROR(IF(ISNUMBER(BI23),(BI23-AVERAGEIF('Pemetaan Variant'!$A$5:$A$32,$B23,'Pemetaan Variant'!$H$5:$H$32))/AVERAGEIF('Pemetaan Variant'!$A$5:$A$32,$B23,'Pemetaan Variant'!$H$5:$H$32)*100,"n/a"),"n/a")</f>
        <v>-6.64857530529171</v>
      </c>
      <c r="BK23" s="4" t="n">
        <f aca="false">IFERROR(IF(ISNUMBER(BJ23),$C23*BJ23,"n/a"),"n/a")</f>
        <v>-0.398053004887931</v>
      </c>
      <c r="BL23" s="13" t="n">
        <f aca="false">IFERROR(AVERAGEIF('Pemetaan Variant'!$A$5:$A$32,$B23,'Pemetaan Variant'!$AJ$5:$AJ$32),"n/a")</f>
        <v>71666.6666666667</v>
      </c>
      <c r="BM23" s="14" t="n">
        <f aca="false">IFERROR(IF(ISNUMBER(BL23),(BL23-AVERAGEIF('Pemetaan Variant'!$A$5:$A$32,$B23,'Pemetaan Variant'!$H$5:$H$32))/AVERAGEIF('Pemetaan Variant'!$A$5:$A$32,$B23,'Pemetaan Variant'!$H$5:$H$32)*100,"n/a"),"n/a")</f>
        <v>-6.64857530529171</v>
      </c>
      <c r="BN23" s="4" t="n">
        <f aca="false">IFERROR(IF(ISNUMBER(BM23),$C23*BM23,"n/a"),"n/a")</f>
        <v>-0.398053004887931</v>
      </c>
      <c r="BO23" s="13" t="n">
        <f aca="false">IFERROR(AVERAGEIF('Pemetaan Variant'!$A$5:$A$32,$B23,'Pemetaan Variant'!$AK$5:$AK$32),"n/a")</f>
        <v>71666.6666666667</v>
      </c>
      <c r="BP23" s="14" t="n">
        <f aca="false">IFERROR(IF(ISNUMBER(BO23),(BO23-AVERAGEIF('Pemetaan Variant'!$A$5:$A$32,$B23,'Pemetaan Variant'!$H$5:$H$32))/AVERAGEIF('Pemetaan Variant'!$A$5:$A$32,$B23,'Pemetaan Variant'!$H$5:$H$32)*100,"n/a"),"n/a")</f>
        <v>-6.64857530529171</v>
      </c>
      <c r="BQ23" s="4" t="n">
        <f aca="false">IFERROR(IF(ISNUMBER(BP23),$C23*BP23,"n/a"),"n/a")</f>
        <v>-0.398053004887931</v>
      </c>
      <c r="BR23" s="13" t="n">
        <f aca="false">IFERROR(AVERAGEIF('Pemetaan Variant'!$A$5:$A$32,$B23,'Pemetaan Variant'!$AL$5:$AL$32),"n/a")</f>
        <v>71666.6666666667</v>
      </c>
      <c r="BS23" s="14" t="n">
        <f aca="false">IFERROR(IF(ISNUMBER(BR23),(BR23-AVERAGEIF('Pemetaan Variant'!$A$5:$A$32,$B23,'Pemetaan Variant'!$H$5:$H$32))/AVERAGEIF('Pemetaan Variant'!$A$5:$A$32,$B23,'Pemetaan Variant'!$H$5:$H$32)*100,"n/a"),"n/a")</f>
        <v>-6.64857530529171</v>
      </c>
      <c r="BT23" s="4" t="n">
        <f aca="false">IFERROR(IF(ISNUMBER(BS23),$C23*BS23,"n/a"),"n/a")</f>
        <v>-0.398053004887931</v>
      </c>
      <c r="BU23" s="13" t="n">
        <f aca="false">IFERROR(AVERAGEIF('Pemetaan Variant'!$A$5:$A$32,$B23,'Pemetaan Variant'!$AM$5:$AM$32),"n/a")</f>
        <v>72777.7777777778</v>
      </c>
      <c r="BV23" s="14" t="n">
        <f aca="false">IFERROR(IF(ISNUMBER(BU23),(BU23-AVERAGEIF('Pemetaan Variant'!$A$5:$A$32,$B23,'Pemetaan Variant'!$H$5:$H$32))/AVERAGEIF('Pemetaan Variant'!$A$5:$A$32,$B23,'Pemetaan Variant'!$H$5:$H$32)*100,"n/a"),"n/a")</f>
        <v>-5.20126639529624</v>
      </c>
      <c r="BW23" s="4" t="n">
        <f aca="false">IFERROR(IF(ISNUMBER(BV23),$C23*BV23,"n/a"),"n/a")</f>
        <v>-0.311402010626613</v>
      </c>
      <c r="BX23" s="13" t="n">
        <f aca="false">IFERROR(AVERAGEIF('Pemetaan Variant'!$A$5:$A$32,$B23,'Pemetaan Variant'!$AN$5:$AN$32),"n/a")</f>
        <v>73333.3333333333</v>
      </c>
      <c r="BY23" s="14" t="n">
        <f aca="false">IFERROR(IF(ISNUMBER(BX23),(BX23-AVERAGEIF('Pemetaan Variant'!$A$5:$A$32,$B23,'Pemetaan Variant'!$I$5:$I$32))/AVERAGEIF('Pemetaan Variant'!$A$5:$A$32,$B23,'Pemetaan Variant'!$I$5:$I$32)*100,"n/a"),"n/a")</f>
        <v>2.04638472032741</v>
      </c>
      <c r="BZ23" s="4" t="n">
        <f aca="false">IFERROR(IF(ISNUMBER(BY23),$C23*BY23,"n/a"),"n/a")</f>
        <v>0.122517915444945</v>
      </c>
      <c r="CA23" s="13" t="n">
        <f aca="false">IFERROR(AVERAGEIF('Pemetaan Variant'!$A$5:$A$32,$B23,'Pemetaan Variant'!$AO$5:$AO$32),"n/a")</f>
        <v>70916.6666666667</v>
      </c>
      <c r="CB23" s="14" t="n">
        <f aca="false">IFERROR(IF(ISNUMBER(CA23),(CA23-AVERAGEIF('Pemetaan Variant'!$A$5:$A$32,$B23,'Pemetaan Variant'!$I$5:$I$32))/AVERAGEIF('Pemetaan Variant'!$A$5:$A$32,$B23,'Pemetaan Variant'!$I$5:$I$32)*100,"n/a"),"n/a")</f>
        <v>-1.31650750341064</v>
      </c>
      <c r="CC23" s="4" t="n">
        <f aca="false">IFERROR(IF(ISNUMBER(CB23),$C23*CB23,"n/a"),"n/a")</f>
        <v>-0.0788198589362476</v>
      </c>
      <c r="CD23" s="13" t="n">
        <f aca="false">IFERROR(AVERAGEIF('Pemetaan Variant'!$A$5:$A$32,$B23,'Pemetaan Variant'!$AP$5:$AP$32),"n/a")</f>
        <v>68333.3333333333</v>
      </c>
      <c r="CE23" s="14" t="n">
        <f aca="false">IFERROR(IF(ISNUMBER(CD23),(CD23-AVERAGEIF('Pemetaan Variant'!$A$5:$A$32,$B23,'Pemetaan Variant'!$I$5:$I$32))/AVERAGEIF('Pemetaan Variant'!$A$5:$A$32,$B23,'Pemetaan Variant'!$I$5:$I$32)*100,"n/a"),"n/a")</f>
        <v>-4.91132332878582</v>
      </c>
      <c r="CF23" s="4" t="n">
        <f aca="false">IFERROR(IF(ISNUMBER(CE23),$C23*CE23,"n/a"),"n/a")</f>
        <v>-0.294042997067869</v>
      </c>
      <c r="CG23" s="13" t="n">
        <f aca="false">IFERROR(AVERAGEIF('Pemetaan Variant'!$A$5:$A$32,$B23,'Pemetaan Variant'!$AQ$5:$AQ$32),"n/a")</f>
        <v>68333.3333333333</v>
      </c>
      <c r="CH23" s="14" t="n">
        <f aca="false">IFERROR(IF(ISNUMBER(CG23),(CG23-AVERAGEIF('Pemetaan Variant'!$A$5:$A$32,$B23,'Pemetaan Variant'!$I$5:$I$32))/AVERAGEIF('Pemetaan Variant'!$A$5:$A$32,$B23,'Pemetaan Variant'!$I$5:$I$32)*100,"n/a"),"n/a")</f>
        <v>-4.91132332878582</v>
      </c>
      <c r="CI23" s="4" t="n">
        <f aca="false">IFERROR(IF(ISNUMBER(CH23),$C23*CH23,"n/a"),"n/a")</f>
        <v>-0.294042997067869</v>
      </c>
      <c r="CJ23" s="13" t="n">
        <f aca="false">IFERROR(AVERAGEIF('Pemetaan Variant'!$A$5:$A$32,$B23,'Pemetaan Variant'!$AR$5:$AR$32),"n/a")</f>
        <v>69166.6666666667</v>
      </c>
      <c r="CK23" s="14" t="n">
        <f aca="false">IFERROR(IF(ISNUMBER(CJ23),(CJ23-AVERAGEIF('Pemetaan Variant'!$A$5:$A$32,$B23,'Pemetaan Variant'!$J$5:$J$32))/AVERAGEIF('Pemetaan Variant'!$A$5:$A$32,$B23,'Pemetaan Variant'!$J$5:$J$32)*100,"n/a"),"n/a")</f>
        <v>-1.35626398210291</v>
      </c>
      <c r="CL23" s="4" t="n">
        <f aca="false">IFERROR(IF(ISNUMBER(CK23),$C23*CK23,"n/a"),"n/a")</f>
        <v>-0.0812000960668445</v>
      </c>
      <c r="CM23" s="13" t="n">
        <f aca="false">IFERROR(AVERAGEIF('Pemetaan Variant'!$A$5:$A$32,$B23,'Pemetaan Variant'!$AS$5:$AS$32),"n/a")</f>
        <v>71666.6666666667</v>
      </c>
      <c r="CN23" s="14" t="n">
        <f aca="false">IFERROR(IF(ISNUMBER(CM23),(CM23-AVERAGEIF('Pemetaan Variant'!$A$5:$A$32,$B23,'Pemetaan Variant'!$J$5:$J$32))/AVERAGEIF('Pemetaan Variant'!$A$5:$A$32,$B23,'Pemetaan Variant'!$J$5:$J$32)*100,"n/a"),"n/a")</f>
        <v>2.20917225950782</v>
      </c>
      <c r="CO23" s="4" t="n">
        <f aca="false">IFERROR(IF(ISNUMBER(CN23),$C23*CN23,"n/a"),"n/a")</f>
        <v>0.132264074005787</v>
      </c>
      <c r="CP23" s="13" t="n">
        <f aca="false">IFERROR(AVERAGEIF('Pemetaan Variant'!$A$5:$A$32,$B23,'Pemetaan Variant'!$AT$5:$AT$32),"n/a")</f>
        <v>70333.3333333333</v>
      </c>
      <c r="CQ23" s="14" t="n">
        <f aca="false">IFERROR(IF(ISNUMBER(CP23),(CP23-AVERAGEIF('Pemetaan Variant'!$A$5:$A$32,$B23,'Pemetaan Variant'!$J$5:$J$32))/AVERAGEIF('Pemetaan Variant'!$A$5:$A$32,$B23,'Pemetaan Variant'!$J$5:$J$32)*100,"n/a"),"n/a")</f>
        <v>0.307606263982083</v>
      </c>
      <c r="CR23" s="4" t="n">
        <f aca="false">IFERROR(IF(ISNUMBER(CQ23),$C23*CQ23,"n/a"),"n/a")</f>
        <v>0.018416516633716</v>
      </c>
      <c r="CS23" s="13" t="n">
        <f aca="false">IFERROR(AVERAGEIF('Pemetaan Variant'!$A$5:$A$32,$B23,'Pemetaan Variant'!$AU$5:$AU$32),"n/a")</f>
        <v>70000</v>
      </c>
      <c r="CT23" s="14" t="n">
        <f aca="false">IFERROR(IF(ISNUMBER(CS23),(CS23-AVERAGEIF('Pemetaan Variant'!$A$5:$A$32,$B23,'Pemetaan Variant'!$J$5:$J$32))/AVERAGEIF('Pemetaan Variant'!$A$5:$A$32,$B23,'Pemetaan Variant'!$J$5:$J$32)*100,"n/a"),"n/a")</f>
        <v>-0.167785234899342</v>
      </c>
      <c r="CU23" s="4" t="n">
        <f aca="false">IFERROR(IF(ISNUMBER(CT23),$C23*CT23,"n/a"),"n/a")</f>
        <v>-0.0100453727093011</v>
      </c>
      <c r="CV23" s="13" t="n">
        <f aca="false">IFERROR(AVERAGEIF('Pemetaan Variant'!$A$5:$A$32,$B23,'Pemetaan Variant'!$AV$5:$AV$32),"n/a")</f>
        <v>69666.6666666667</v>
      </c>
      <c r="CW23" s="14" t="n">
        <f aca="false">IFERROR(IF(ISNUMBER(CV23),(CV23-AVERAGEIF('Pemetaan Variant'!$A$5:$A$32,$B23,'Pemetaan Variant'!$J$5:$J$32))/AVERAGEIF('Pemetaan Variant'!$A$5:$A$32,$B23,'Pemetaan Variant'!$J$5:$J$32)*100,"n/a"),"n/a")</f>
        <v>-0.643176733780767</v>
      </c>
      <c r="CX23" s="4" t="n">
        <f aca="false">IFERROR(IF(ISNUMBER(CW23),$C23*CW23,"n/a"),"n/a")</f>
        <v>-0.0385072620523182</v>
      </c>
      <c r="CY23" s="13" t="n">
        <f aca="false">IFERROR(AVERAGEIF('Pemetaan Variant'!$A$5:$A$32,$B23,'Pemetaan Variant'!$AW$5:$AW$32),"n/a")</f>
        <v>69333.3333333333</v>
      </c>
      <c r="CZ23" s="14" t="n">
        <f aca="false">IFERROR(IF(ISNUMBER(CY23),(CY23-AVERAGEIF('Pemetaan Variant'!$A$5:$A$32,$B23,'Pemetaan Variant'!$K$5:$K$32))/AVERAGEIF('Pemetaan Variant'!$A$5:$A$32,$B23,'Pemetaan Variant'!$K$5:$K$32)*100,"n/a"),"n/a")</f>
        <v>-1.2794056954189</v>
      </c>
      <c r="DA23" s="4" t="n">
        <f aca="false">IFERROR(IF(ISNUMBER(CZ23),$C23*CZ23,"n/a"),"n/a")</f>
        <v>-0.076598558059031</v>
      </c>
      <c r="DB23" s="13" t="n">
        <f aca="false">IFERROR(AVERAGEIF('Pemetaan Variant'!$A$5:$A$32,$B23,'Pemetaan Variant'!$AX$5:$AX$32),"n/a")</f>
        <v>69333.3333333333</v>
      </c>
      <c r="DC23" s="14" t="n">
        <f aca="false">IFERROR(IF(ISNUMBER(DB23),(DB23-AVERAGEIF('Pemetaan Variant'!$A$5:$A$32,$B23,'Pemetaan Variant'!$K$5:$K$32))/AVERAGEIF('Pemetaan Variant'!$A$5:$A$32,$B23,'Pemetaan Variant'!$K$5:$K$32)*100,"n/a"),"n/a")</f>
        <v>-1.2794056954189</v>
      </c>
      <c r="DD23" s="4" t="n">
        <f aca="false">IFERROR(IF(ISNUMBER(DC23),$C23*DC23,"n/a"),"n/a")</f>
        <v>-0.076598558059031</v>
      </c>
      <c r="DE23" s="13" t="n">
        <f aca="false">IFERROR(AVERAGEIF('Pemetaan Variant'!$A$5:$A$32,$B23,'Pemetaan Variant'!$AY$5:$AY$32),"n/a")</f>
        <v>69333.3333333333</v>
      </c>
      <c r="DF23" s="14" t="n">
        <f aca="false">IFERROR(IF(ISNUMBER(DE23),(DE23-AVERAGEIF('Pemetaan Variant'!$A$5:$A$32,$B23,'Pemetaan Variant'!$K$5:$K$32))/AVERAGEIF('Pemetaan Variant'!$A$5:$A$32,$B23,'Pemetaan Variant'!$K$5:$K$32)*100,"n/a"),"n/a")</f>
        <v>-1.2794056954189</v>
      </c>
      <c r="DG23" s="4" t="n">
        <f aca="false">IFERROR(IF(ISNUMBER(DF23),$C23*DF23,"n/a"),"n/a")</f>
        <v>-0.076598558059031</v>
      </c>
      <c r="DH23" s="13" t="n">
        <f aca="false">IFERROR(AVERAGEIF('Pemetaan Variant'!$A$5:$A$32,$B23,'Pemetaan Variant'!$AZ$5:$AZ$32),"n/a")</f>
        <v>69333.3333333333</v>
      </c>
      <c r="DI23" s="14" t="n">
        <f aca="false">IFERROR(IF(ISNUMBER(DH23),(DH23-AVERAGEIF('Pemetaan Variant'!$A$5:$A$32,$B23,'Pemetaan Variant'!$K$5:$K$32))/AVERAGEIF('Pemetaan Variant'!$A$5:$A$32,$B23,'Pemetaan Variant'!$K$5:$K$32)*100,"n/a"),"n/a")</f>
        <v>-1.2794056954189</v>
      </c>
      <c r="DJ23" s="4" t="n">
        <f aca="false">IFERROR(IF(ISNUMBER(DI23),$C23*DI23,"n/a"),"n/a")</f>
        <v>-0.076598558059031</v>
      </c>
      <c r="DK23" s="13" t="n">
        <f aca="false">IFERROR(AVERAGEIF('Pemetaan Variant'!$A$5:$A$32,$B23,'Pemetaan Variant'!$BA$5:$BA$32),"n/a")</f>
        <v>69333.3333333333</v>
      </c>
      <c r="DL23" s="14" t="n">
        <f aca="false">IFERROR(IF(ISNUMBER(DK23),(DK23-AVERAGEIF('Pemetaan Variant'!$A$5:$A$32,$B23,'Pemetaan Variant'!$L$5:$L$32))/AVERAGEIF('Pemetaan Variant'!$A$5:$A$32,$B23,'Pemetaan Variant'!$L$5:$L$32)*100,"n/a"),"n/a")</f>
        <v>0</v>
      </c>
      <c r="DM23" s="4" t="n">
        <f aca="false">IFERROR(IF(ISNUMBER(DL23),$C23*DL23,"n/a"),"n/a")</f>
        <v>0</v>
      </c>
      <c r="DN23" s="13" t="n">
        <f aca="false">IFERROR(AVERAGEIF('Pemetaan Variant'!$A$5:$A$32,$B23,'Pemetaan Variant'!$BB$5:$BB$32),"n/a")</f>
        <v>68933.3333333333</v>
      </c>
      <c r="DO23" s="14" t="n">
        <f aca="false">IFERROR(IF(ISNUMBER(DN23),(DN23-AVERAGEIF('Pemetaan Variant'!$A$5:$A$32,$B23,'Pemetaan Variant'!$L$5:$L$32))/AVERAGEIF('Pemetaan Variant'!$A$5:$A$32,$B23,'Pemetaan Variant'!$L$5:$L$32)*100,"n/a"),"n/a")</f>
        <v>-0.576923076923077</v>
      </c>
      <c r="DP23" s="4" t="n">
        <f aca="false">IFERROR(IF(ISNUMBER(DO23),$C23*DO23,"n/a"),"n/a")</f>
        <v>-0.0345406277004403</v>
      </c>
      <c r="DQ23" s="13" t="n">
        <f aca="false">IFERROR(AVERAGEIF('Pemetaan Variant'!$A$5:$A$32,$B23,'Pemetaan Variant'!$BC$5:$BC$32),"n/a")</f>
        <v>68333.3333333333</v>
      </c>
      <c r="DR23" s="14" t="n">
        <f aca="false">IFERROR(IF(ISNUMBER(DQ23),(DQ23-AVERAGEIF('Pemetaan Variant'!$A$5:$A$32,$B23,'Pemetaan Variant'!$L$5:$L$32))/AVERAGEIF('Pemetaan Variant'!$A$5:$A$32,$B23,'Pemetaan Variant'!$L$5:$L$32)*100,"n/a"),"n/a")</f>
        <v>-1.44230769230769</v>
      </c>
      <c r="DS23" s="4" t="n">
        <f aca="false">IFERROR(IF(ISNUMBER(DR23),$C23*DR23,"n/a"),"n/a")</f>
        <v>-0.0863515692511007</v>
      </c>
      <c r="DT23" s="13" t="n">
        <f aca="false">IFERROR(AVERAGEIF('Pemetaan Variant'!$A$5:$A$32,$B23,'Pemetaan Variant'!$BD$5:$BD$32),"n/a")</f>
        <v>68333.3333333333</v>
      </c>
      <c r="DU23" s="14" t="n">
        <f aca="false">IFERROR(IF(ISNUMBER(DT23),(DT23-AVERAGEIF('Pemetaan Variant'!$A$5:$A$32,$B23,'Pemetaan Variant'!$L$5:$L$32))/AVERAGEIF('Pemetaan Variant'!$A$5:$A$32,$B23,'Pemetaan Variant'!$L$5:$L$32)*100,"n/a"),"n/a")</f>
        <v>-1.44230769230769</v>
      </c>
      <c r="DV23" s="4" t="n">
        <f aca="false">IFERROR(IF(ISNUMBER(DU23),$C23*DU23,"n/a"),"n/a")</f>
        <v>-0.0863515692511007</v>
      </c>
      <c r="DW23" s="13" t="n">
        <f aca="false">IFERROR(AVERAGEIF('Pemetaan Variant'!$A$5:$A$32,$B23,'Pemetaan Variant'!$BE$5:$BE$32),"n/a")</f>
        <v>68333.3333333333</v>
      </c>
      <c r="DX23" s="14" t="n">
        <f aca="false">IFERROR(IF(ISNUMBER(DW23),(DW23-AVERAGEIF('Pemetaan Variant'!$A$5:$A$32,$B23,'Pemetaan Variant'!$M$5:$M$32))/AVERAGEIF('Pemetaan Variant'!$A$5:$A$32,$B23,'Pemetaan Variant'!$M$5:$M$32)*100,"n/a"),"n/a")</f>
        <v>-0.536261491317662</v>
      </c>
      <c r="DY23" s="4" t="n">
        <f aca="false">IFERROR(IF(ISNUMBER(DX23),$C23*DX23,"n/a"),"n/a")</f>
        <v>-0.0321062014375895</v>
      </c>
      <c r="DZ23" s="13" t="n">
        <f aca="false">IFERROR(AVERAGEIF('Pemetaan Variant'!$A$5:$A$32,$B23,'Pemetaan Variant'!$BF$5:$BF$32),"n/a")</f>
        <v>68333.3333333333</v>
      </c>
      <c r="EA23" s="14" t="n">
        <f aca="false">IFERROR(IF(ISNUMBER(DZ23),(DZ23-AVERAGEIF('Pemetaan Variant'!$A$5:$A$32,$B23,'Pemetaan Variant'!$M$5:$M$32))/AVERAGEIF('Pemetaan Variant'!$A$5:$A$32,$B23,'Pemetaan Variant'!$M$5:$M$32)*100,"n/a"),"n/a")</f>
        <v>-0.536261491317662</v>
      </c>
      <c r="EB23" s="4" t="n">
        <f aca="false">IFERROR(IF(ISNUMBER(EA23),$C23*EA23,"n/a"),"n/a")</f>
        <v>-0.0321062014375895</v>
      </c>
      <c r="EC23" s="13" t="n">
        <f aca="false">IFERROR(AVERAGEIF('Pemetaan Variant'!$A$5:$A$32,$B23,'Pemetaan Variant'!$BG$5:$BG$32),"n/a")</f>
        <v>68333.3333333333</v>
      </c>
      <c r="ED23" s="14" t="n">
        <f aca="false">IFERROR(IF(ISNUMBER(EC23),(EC23-AVERAGEIF('Pemetaan Variant'!$A$5:$A$32,$B23,'Pemetaan Variant'!$M$5:$M$32))/AVERAGEIF('Pemetaan Variant'!$A$5:$A$32,$B23,'Pemetaan Variant'!$M$5:$M$32)*100,"n/a"),"n/a")</f>
        <v>-0.536261491317662</v>
      </c>
      <c r="EE23" s="4" t="n">
        <f aca="false">IFERROR(IF(ISNUMBER(ED23),$C23*ED23,"n/a"),"n/a")</f>
        <v>-0.0321062014375895</v>
      </c>
      <c r="EF23" s="13" t="n">
        <f aca="false">IFERROR(AVERAGEIF('Pemetaan Variant'!$A$5:$A$32,$B23,'Pemetaan Variant'!$BH$5:$BH$32),"n/a")</f>
        <v>68333.3333333333</v>
      </c>
      <c r="EG23" s="14" t="n">
        <f aca="false">IFERROR(IF(ISNUMBER(EF23),(EF23-AVERAGEIF('Pemetaan Variant'!$A$5:$A$32,$B23,'Pemetaan Variant'!$M$5:$M$32))/AVERAGEIF('Pemetaan Variant'!$A$5:$A$32,$B23,'Pemetaan Variant'!$M$5:$M$32)*100,"n/a"),"n/a")</f>
        <v>-0.536261491317662</v>
      </c>
      <c r="EH23" s="4" t="n">
        <f aca="false">IFERROR(IF(ISNUMBER(EG23),$C23*EG23,"n/a"),"n/a")</f>
        <v>-0.0321062014375895</v>
      </c>
      <c r="EI23" s="13" t="n">
        <f aca="false">IFERROR(AVERAGEIF('Pemetaan Variant'!$A$5:$A$32,$B23,'Pemetaan Variant'!$BI$5:$BI$32),"n/a")</f>
        <v>68333.3333333333</v>
      </c>
      <c r="EJ23" s="14" t="n">
        <f aca="false">IFERROR(IF(ISNUMBER(EI23),(EI23-AVERAGEIF('Pemetaan Variant'!$A$5:$A$32,$B23,'Pemetaan Variant'!$M$5:$M$32))/AVERAGEIF('Pemetaan Variant'!$A$5:$A$32,$B23,'Pemetaan Variant'!$M$5:$M$32)*100,"n/a"),"n/a")</f>
        <v>-0.536261491317662</v>
      </c>
      <c r="EK23" s="4" t="n">
        <f aca="false">IFERROR(IF(ISNUMBER(EJ23),$C23*EJ23,"n/a"),"n/a")</f>
        <v>-0.0321062014375895</v>
      </c>
      <c r="EL23" s="13" t="n">
        <f aca="false">IFERROR(AVERAGEIF('Pemetaan Variant'!$A$5:$A$32,$B23,'Pemetaan Variant'!$BJ$5:$BJ$32),"n/a")</f>
        <v>75000</v>
      </c>
      <c r="EM23" s="14" t="n">
        <f aca="false">IFERROR(IF(ISNUMBER(EL23),(EL23-AVERAGEIF('Pemetaan Variant'!$A$5:$A$32,$B23,'Pemetaan Variant'!$N$5:$N$32))/AVERAGEIF('Pemetaan Variant'!$A$5:$A$32,$B23,'Pemetaan Variant'!$N$5:$N$32)*100,"n/a"),"n/a")</f>
        <v>9.75609756097562</v>
      </c>
      <c r="EN23" s="4" t="n">
        <f aca="false">IFERROR(IF(ISNUMBER(EM23),$C23*EM23,"n/a"),"n/a")</f>
        <v>0.584101671682242</v>
      </c>
      <c r="EO23" s="13" t="n">
        <f aca="false">IFERROR(AVERAGEIF('Pemetaan Variant'!$A$5:$A$32,$B23,'Pemetaan Variant'!$BK$5:$BK$32),"n/a")</f>
        <v>75000</v>
      </c>
      <c r="EP23" s="14" t="n">
        <f aca="false">IFERROR(IF(ISNUMBER(EO23),(EO23-AVERAGEIF('Pemetaan Variant'!$A$5:$A$32,$B23,'Pemetaan Variant'!$N$5:$N$32))/AVERAGEIF('Pemetaan Variant'!$A$5:$A$32,$B23,'Pemetaan Variant'!$N$5:$N$32)*100,"n/a"),"n/a")</f>
        <v>9.75609756097562</v>
      </c>
      <c r="EQ23" s="4" t="n">
        <f aca="false">IFERROR(IF(ISNUMBER(EP23),$C23*EP23,"n/a"),"n/a")</f>
        <v>0.584101671682242</v>
      </c>
      <c r="ER23" s="13" t="n">
        <f aca="false">IFERROR(AVERAGEIF('Pemetaan Variant'!$A$5:$A$32,$B23,'Pemetaan Variant'!$BL$5:$BL$32),"n/a")</f>
        <v>75000</v>
      </c>
      <c r="ES23" s="14" t="n">
        <f aca="false">IFERROR(IF(ISNUMBER(ER23),(ER23-AVERAGEIF('Pemetaan Variant'!$A$5:$A$32,$B23,'Pemetaan Variant'!$N$5:$N$32))/AVERAGEIF('Pemetaan Variant'!$A$5:$A$32,$B23,'Pemetaan Variant'!$N$5:$N$32)*100,"n/a"),"n/a")</f>
        <v>9.75609756097562</v>
      </c>
      <c r="ET23" s="4" t="n">
        <f aca="false">IFERROR(IF(ISNUMBER(ES23),$C23*ES23,"n/a"),"n/a")</f>
        <v>0.584101671682242</v>
      </c>
      <c r="EU23" s="13" t="n">
        <f aca="false">IFERROR(AVERAGEIF('Pemetaan Variant'!$A$5:$A$32,$B23,'Pemetaan Variant'!$BM$5:$BM$32),"n/a")</f>
        <v>75000</v>
      </c>
      <c r="EV23" s="14" t="n">
        <f aca="false">IFERROR(IF(ISNUMBER(EU23),(EU23-AVERAGEIF('Pemetaan Variant'!$A$5:$A$32,$B23,'Pemetaan Variant'!$N$5:$N$32))/AVERAGEIF('Pemetaan Variant'!$A$5:$A$32,$B23,'Pemetaan Variant'!$N$5:$N$32)*100,"n/a"),"n/a")</f>
        <v>9.75609756097562</v>
      </c>
      <c r="EW23" s="4" t="n">
        <f aca="false">IFERROR(IF(ISNUMBER(EV23),$C23*EV23,"n/a"),"n/a")</f>
        <v>0.584101671682242</v>
      </c>
      <c r="EX23" s="13" t="n">
        <f aca="false">IFERROR(AVERAGEIF('Pemetaan Variant'!$A$5:$A$32,$B23,'Pemetaan Variant'!$BN$5:$BN$32),"n/a")</f>
        <v>75000</v>
      </c>
      <c r="EY23" s="14" t="n">
        <f aca="false">IFERROR(IF(ISNUMBER(EX23),(EX23-AVERAGEIF('Pemetaan Variant'!$A$5:$A$32,$B23,'Pemetaan Variant'!$O$5:$O$32))/AVERAGEIF('Pemetaan Variant'!$A$5:$A$32,$B23,'Pemetaan Variant'!$O$5:$O$32)*100,"n/a"),"n/a")</f>
        <v>0</v>
      </c>
      <c r="EZ23" s="4" t="n">
        <f aca="false">IFERROR(IF(ISNUMBER(EY23),$C23*EY23,"n/a"),"n/a")</f>
        <v>0</v>
      </c>
      <c r="FA23" s="13" t="n">
        <f aca="false">IFERROR(AVERAGEIF('Pemetaan Variant'!$A$5:$A$32,$B23,'Pemetaan Variant'!$BO$5:$BO$32),"n/a")</f>
        <v>75000</v>
      </c>
      <c r="FB23" s="14" t="n">
        <f aca="false">IFERROR(IF(ISNUMBER(FA23),(FA23-AVERAGEIF('Pemetaan Variant'!$A$5:$A$32,$B23,'Pemetaan Variant'!$O$5:$O$32))/AVERAGEIF('Pemetaan Variant'!$A$5:$A$32,$B23,'Pemetaan Variant'!$O$5:$O$32)*100,"n/a"),"n/a")</f>
        <v>0</v>
      </c>
      <c r="FC23" s="4" t="n">
        <f aca="false">IFERROR(IF(ISNUMBER(FB23),$C23*FB23,"n/a"),"n/a")</f>
        <v>0</v>
      </c>
      <c r="FD23" s="13" t="n">
        <f aca="false">IFERROR(AVERAGEIF('Pemetaan Variant'!$A$5:$A$32,$B23,'Pemetaan Variant'!$BP$5:$BP$32),"n/a")</f>
        <v>75000</v>
      </c>
      <c r="FE23" s="14" t="n">
        <f aca="false">IFERROR(IF(ISNUMBER(FD23),(FD23-AVERAGEIF('Pemetaan Variant'!$A$5:$A$32,$B23,'Pemetaan Variant'!$O$5:$O$32))/AVERAGEIF('Pemetaan Variant'!$A$5:$A$32,$B23,'Pemetaan Variant'!$O$5:$O$32)*100,"n/a"),"n/a")</f>
        <v>0</v>
      </c>
      <c r="FF23" s="4" t="n">
        <f aca="false">IFERROR(IF(ISNUMBER(FE23),$C23*FE23,"n/a"),"n/a")</f>
        <v>0</v>
      </c>
      <c r="FG23" s="13" t="n">
        <f aca="false">IFERROR(AVERAGEIF('Pemetaan Variant'!$A$5:$A$32,$B23,'Pemetaan Variant'!$BQ$5:$BQ$32),"n/a")</f>
        <v>75000</v>
      </c>
      <c r="FH23" s="14" t="n">
        <f aca="false">IFERROR(IF(ISNUMBER(FG23),(FG23-AVERAGEIF('Pemetaan Variant'!$A$5:$A$32,$B23,'Pemetaan Variant'!$O$5:$O$32))/AVERAGEIF('Pemetaan Variant'!$A$5:$A$32,$B23,'Pemetaan Variant'!$O$5:$O$32)*100,"n/a"),"n/a")</f>
        <v>0</v>
      </c>
      <c r="FI23" s="4" t="n">
        <f aca="false">IFERROR(IF(ISNUMBER(FH23),$C23*FH23,"n/a"),"n/a")</f>
        <v>0</v>
      </c>
      <c r="FJ23" s="13" t="n">
        <f aca="false">IFERROR(AVERAGEIF('Pemetaan Variant'!$A$5:$A$32,$B23,'Pemetaan Variant'!$BR$5:$BR$32),"n/a")</f>
        <v>75000</v>
      </c>
      <c r="FK23" s="14" t="n">
        <f aca="false">IFERROR(IF(ISNUMBER(FJ23),(FJ23-AVERAGEIF('Pemetaan Variant'!$A$5:$A$32,$B23,'Pemetaan Variant'!$O$5:$O$32))/AVERAGEIF('Pemetaan Variant'!$A$5:$A$32,$B23,'Pemetaan Variant'!$O$5:$O$32)*100,"n/a"),"n/a")</f>
        <v>0</v>
      </c>
      <c r="FL23" s="4" t="n">
        <f aca="false">IFERROR(IF(ISNUMBER(FK23),$C23*FK23,"n/a"),"n/a")</f>
        <v>0</v>
      </c>
      <c r="FM23" s="15"/>
      <c r="FO23" s="11" t="n">
        <f aca="false">IFERROR(ABS(F23),0)</f>
        <v>0</v>
      </c>
      <c r="FP23" s="11" t="n">
        <f aca="false">IFERROR(ABS(I23),0)</f>
        <v>0.473283963220788</v>
      </c>
      <c r="FQ23" s="11" t="n">
        <f aca="false">IFERROR(ABS(L23),0)</f>
        <v>0.473283963220788</v>
      </c>
      <c r="FR23" s="11" t="n">
        <f aca="false">IFERROR(ABS(O23),0)</f>
        <v>0.473283963220788</v>
      </c>
      <c r="FS23" s="11" t="n">
        <f aca="false">IFERROR(ABS(R23),0)</f>
        <v>0.473283963220788</v>
      </c>
      <c r="FT23" s="11" t="n">
        <f aca="false">IFERROR(ABS(U23),0)</f>
        <v>0.0536113018557691</v>
      </c>
      <c r="FU23" s="11" t="n">
        <f aca="false">IFERROR(ABS(X23),0)</f>
        <v>0.0536113018557691</v>
      </c>
      <c r="FV23" s="11" t="n">
        <f aca="false">IFERROR(ABS(AA23),0)</f>
        <v>0.0536113018557691</v>
      </c>
      <c r="FW23" s="11" t="n">
        <f aca="false">IFERROR(ABS(AD23),0)</f>
        <v>0.0536113018557691</v>
      </c>
      <c r="FX23" s="11" t="n">
        <f aca="false">IFERROR(ABS(AG23),0)</f>
        <v>0</v>
      </c>
      <c r="FY23" s="11" t="n">
        <f aca="false">IFERROR(ABS(AJ23),0)</f>
        <v>0</v>
      </c>
      <c r="FZ23" s="11" t="n">
        <f aca="false">IFERROR(ABS(AM23),0)</f>
        <v>0</v>
      </c>
      <c r="GA23" s="11" t="n">
        <f aca="false">IFERROR(ABS(AP23),0)</f>
        <v>0.00642386495144171</v>
      </c>
      <c r="GB23" s="11" t="n">
        <f aca="false">IFERROR(ABS(AS23),0)</f>
        <v>0</v>
      </c>
      <c r="GC23" s="11" t="n">
        <f aca="false">IFERROR(ABS(AV23),0)</f>
        <v>0</v>
      </c>
      <c r="GD23" s="11" t="n">
        <f aca="false">IFERROR(ABS(AY23),0)</f>
        <v>0.0243485671995876</v>
      </c>
      <c r="GE23" s="11" t="n">
        <f aca="false">IFERROR(ABS(BB23),0)</f>
        <v>0.0243485671995876</v>
      </c>
      <c r="GF23" s="11" t="n">
        <f aca="false">IFERROR(ABS(BE23),0)</f>
        <v>0.0243485671995876</v>
      </c>
      <c r="GG23" s="11" t="n">
        <f aca="false">IFERROR(ABS(BH23),0)</f>
        <v>0.255659955595668</v>
      </c>
      <c r="GH23" s="11" t="n">
        <f aca="false">IFERROR(ABS(BK23),0)</f>
        <v>0.398053004887931</v>
      </c>
      <c r="GI23" s="11" t="n">
        <f aca="false">IFERROR(ABS(BN23),0)</f>
        <v>0.398053004887931</v>
      </c>
      <c r="GJ23" s="11" t="n">
        <f aca="false">IFERROR(ABS(BQ23),0)</f>
        <v>0.398053004887931</v>
      </c>
      <c r="GK23" s="11" t="n">
        <f aca="false">IFERROR(ABS(BT23),0)</f>
        <v>0.398053004887931</v>
      </c>
      <c r="GL23" s="11" t="n">
        <f aca="false">IFERROR(ABS(BW23),0)</f>
        <v>0.311402010626613</v>
      </c>
      <c r="GM23" s="11" t="n">
        <f aca="false">IFERROR(ABS(BZ23),0)</f>
        <v>0.122517915444945</v>
      </c>
      <c r="GN23" s="11" t="n">
        <f aca="false">IFERROR(ABS(CC23),0)</f>
        <v>0.0788198589362476</v>
      </c>
      <c r="GO23" s="11" t="n">
        <f aca="false">IFERROR(ABS(CF23),0)</f>
        <v>0.294042997067869</v>
      </c>
      <c r="GP23" s="11" t="n">
        <f aca="false">IFERROR(ABS(CI23),0)</f>
        <v>0.294042997067869</v>
      </c>
      <c r="GQ23" s="11" t="n">
        <f aca="false">IFERROR(ABS(CL23),0)</f>
        <v>0.0812000960668445</v>
      </c>
      <c r="GR23" s="11" t="n">
        <f aca="false">IFERROR(ABS(CO23),0)</f>
        <v>0.132264074005787</v>
      </c>
      <c r="GS23" s="11" t="n">
        <f aca="false">IFERROR(ABS(CR23),0)</f>
        <v>0.018416516633716</v>
      </c>
      <c r="GT23" s="11" t="n">
        <f aca="false">IFERROR(ABS(CU23),0)</f>
        <v>0.0100453727093011</v>
      </c>
      <c r="GU23" s="11" t="n">
        <f aca="false">IFERROR(ABS(CX23),0)</f>
        <v>0.0385072620523182</v>
      </c>
      <c r="GV23" s="11" t="n">
        <f aca="false">IFERROR(ABS(DA23),0)</f>
        <v>0.076598558059031</v>
      </c>
      <c r="GW23" s="11" t="n">
        <f aca="false">IFERROR(ABS(DD23),0)</f>
        <v>0.076598558059031</v>
      </c>
      <c r="GX23" s="11" t="n">
        <f aca="false">IFERROR(ABS(DG23),0)</f>
        <v>0.076598558059031</v>
      </c>
      <c r="GY23" s="11" t="n">
        <f aca="false">IFERROR(ABS(DJ23),0)</f>
        <v>0.076598558059031</v>
      </c>
      <c r="GZ23" s="11" t="n">
        <f aca="false">IFERROR(ABS(DM23),0)</f>
        <v>0</v>
      </c>
      <c r="HA23" s="11" t="n">
        <f aca="false">IFERROR(ABS(DP23),0)</f>
        <v>0.0345406277004403</v>
      </c>
      <c r="HB23" s="11" t="n">
        <f aca="false">IFERROR(ABS(DS23),0)</f>
        <v>0.0863515692511007</v>
      </c>
      <c r="HC23" s="11" t="n">
        <f aca="false">IFERROR(ABS(DV23),0)</f>
        <v>0.0863515692511007</v>
      </c>
      <c r="HD23" s="11" t="n">
        <f aca="false">IFERROR(ABS(DY23),0)</f>
        <v>0.0321062014375895</v>
      </c>
      <c r="HE23" s="11" t="n">
        <f aca="false">IFERROR(ABS(EB23),0)</f>
        <v>0.0321062014375895</v>
      </c>
      <c r="HF23" s="11" t="n">
        <f aca="false">IFERROR(ABS(EE23),0)</f>
        <v>0.0321062014375895</v>
      </c>
      <c r="HG23" s="11" t="n">
        <f aca="false">IFERROR(ABS(EH23),0)</f>
        <v>0.0321062014375895</v>
      </c>
      <c r="HH23" s="11" t="n">
        <f aca="false">IFERROR(ABS(EK23),0)</f>
        <v>0.0321062014375895</v>
      </c>
      <c r="HI23" s="11" t="n">
        <f aca="false">IFERROR(ABS(EN23),0)</f>
        <v>0.584101671682242</v>
      </c>
      <c r="HJ23" s="11" t="n">
        <f aca="false">IFERROR(ABS(EQ23),0)</f>
        <v>0.584101671682242</v>
      </c>
      <c r="HK23" s="11" t="n">
        <f aca="false">IFERROR(ABS(ET23),0)</f>
        <v>0.584101671682242</v>
      </c>
      <c r="HL23" s="11" t="n">
        <f aca="false">IFERROR(ABS(EW23),0)</f>
        <v>0.584101671682242</v>
      </c>
      <c r="HM23" s="11" t="n">
        <f aca="false">IFERROR(ABS(EZ23),0)</f>
        <v>0</v>
      </c>
      <c r="HN23" s="11" t="n">
        <f aca="false">IFERROR(ABS(FC23),0)</f>
        <v>0</v>
      </c>
      <c r="HO23" s="11" t="n">
        <f aca="false">IFERROR(ABS(FF23),0)</f>
        <v>0</v>
      </c>
      <c r="HP23" s="11" t="n">
        <f aca="false">IFERROR(ABS(FI23),0)</f>
        <v>0</v>
      </c>
      <c r="HQ23" s="11" t="n">
        <f aca="false">IFERROR(ABS(FL23),0)</f>
        <v>0</v>
      </c>
    </row>
    <row r="24" customFormat="false" ht="15" hidden="false" customHeight="false" outlineLevel="0" collapsed="false">
      <c r="A24" s="3" t="n">
        <v>19</v>
      </c>
      <c r="B24" s="3" t="s">
        <v>257</v>
      </c>
      <c r="C24" s="12" t="n">
        <f aca="false">'P0Q0 Dasar 2022'!F23</f>
        <v>0.0202825952223294</v>
      </c>
      <c r="D24" s="13" t="n">
        <f aca="false">IFERROR(AVERAGEIF('Pemetaan Variant'!$A$5:$A$32,$B24,'Pemetaan Variant'!$P$5:$P$32),"n/a")</f>
        <v>9000</v>
      </c>
      <c r="E24" s="14" t="n">
        <f aca="false">IFERROR(IF(ISNUMBER(D24),(D24-AVERAGEIF('Pemetaan Variant'!$A$5:$A$32,$B24,'Pemetaan Variant'!$D$5:$D$32))/AVERAGEIF('Pemetaan Variant'!$A$5:$A$32,$B24,'Pemetaan Variant'!$D$5:$D$32)*100,"n/a"),"n/a")</f>
        <v>0</v>
      </c>
      <c r="F24" s="4" t="n">
        <f aca="false">IFERROR(IF(ISNUMBER(E24),$C24*E24,"n/a"),"n/a")</f>
        <v>0</v>
      </c>
      <c r="G24" s="13" t="n">
        <f aca="false">IFERROR(AVERAGEIF('Pemetaan Variant'!$A$5:$A$32,$B24,'Pemetaan Variant'!$Q$5:$Q$32),"n/a")</f>
        <v>9000</v>
      </c>
      <c r="H24" s="14" t="n">
        <f aca="false">IFERROR(IF(ISNUMBER(G24),(G24-AVERAGEIF('Pemetaan Variant'!$A$5:$A$32,$B24,'Pemetaan Variant'!$D$5:$D$32))/AVERAGEIF('Pemetaan Variant'!$A$5:$A$32,$B24,'Pemetaan Variant'!$D$5:$D$32)*100,"n/a"),"n/a")</f>
        <v>0</v>
      </c>
      <c r="I24" s="4" t="n">
        <f aca="false">IFERROR(IF(ISNUMBER(H24),$C24*H24,"n/a"),"n/a")</f>
        <v>0</v>
      </c>
      <c r="J24" s="13" t="n">
        <f aca="false">IFERROR(AVERAGEIF('Pemetaan Variant'!$A$5:$A$32,$B24,'Pemetaan Variant'!$R$5:$R$32),"n/a")</f>
        <v>9000</v>
      </c>
      <c r="K24" s="14" t="n">
        <f aca="false">IFERROR(IF(ISNUMBER(J24),(J24-AVERAGEIF('Pemetaan Variant'!$A$5:$A$32,$B24,'Pemetaan Variant'!$D$5:$D$32))/AVERAGEIF('Pemetaan Variant'!$A$5:$A$32,$B24,'Pemetaan Variant'!$D$5:$D$32)*100,"n/a"),"n/a")</f>
        <v>0</v>
      </c>
      <c r="L24" s="4" t="n">
        <f aca="false">IFERROR(IF(ISNUMBER(K24),$C24*K24,"n/a"),"n/a")</f>
        <v>0</v>
      </c>
      <c r="M24" s="13" t="n">
        <f aca="false">IFERROR(AVERAGEIF('Pemetaan Variant'!$A$5:$A$32,$B24,'Pemetaan Variant'!$S$5:$S$32),"n/a")</f>
        <v>9000</v>
      </c>
      <c r="N24" s="14" t="n">
        <f aca="false">IFERROR(IF(ISNUMBER(M24),(M24-AVERAGEIF('Pemetaan Variant'!$A$5:$A$32,$B24,'Pemetaan Variant'!$D$5:$D$32))/AVERAGEIF('Pemetaan Variant'!$A$5:$A$32,$B24,'Pemetaan Variant'!$D$5:$D$32)*100,"n/a"),"n/a")</f>
        <v>0</v>
      </c>
      <c r="O24" s="4" t="n">
        <f aca="false">IFERROR(IF(ISNUMBER(N24),$C24*N24,"n/a"),"n/a")</f>
        <v>0</v>
      </c>
      <c r="P24" s="13" t="n">
        <f aca="false">IFERROR(AVERAGEIF('Pemetaan Variant'!$A$5:$A$32,$B24,'Pemetaan Variant'!$T$5:$T$32),"n/a")</f>
        <v>9000</v>
      </c>
      <c r="Q24" s="14" t="n">
        <f aca="false">IFERROR(IF(ISNUMBER(P24),(P24-AVERAGEIF('Pemetaan Variant'!$A$5:$A$32,$B24,'Pemetaan Variant'!$D$5:$D$32))/AVERAGEIF('Pemetaan Variant'!$A$5:$A$32,$B24,'Pemetaan Variant'!$D$5:$D$32)*100,"n/a"),"n/a")</f>
        <v>0</v>
      </c>
      <c r="R24" s="4" t="n">
        <f aca="false">IFERROR(IF(ISNUMBER(Q24),$C24*Q24,"n/a"),"n/a")</f>
        <v>0</v>
      </c>
      <c r="S24" s="13" t="n">
        <f aca="false">IFERROR(AVERAGEIF('Pemetaan Variant'!$A$5:$A$32,$B24,'Pemetaan Variant'!$U$5:$U$32),"n/a")</f>
        <v>9000</v>
      </c>
      <c r="T24" s="14" t="n">
        <f aca="false">IFERROR(IF(ISNUMBER(S24),(S24-AVERAGEIF('Pemetaan Variant'!$A$5:$A$32,$B24,'Pemetaan Variant'!$E$5:$E$32))/AVERAGEIF('Pemetaan Variant'!$A$5:$A$32,$B24,'Pemetaan Variant'!$E$5:$E$32)*100,"n/a"),"n/a")</f>
        <v>0</v>
      </c>
      <c r="U24" s="4" t="n">
        <f aca="false">IFERROR(IF(ISNUMBER(T24),$C24*T24,"n/a"),"n/a")</f>
        <v>0</v>
      </c>
      <c r="V24" s="13" t="n">
        <f aca="false">IFERROR(AVERAGEIF('Pemetaan Variant'!$A$5:$A$32,$B24,'Pemetaan Variant'!$V$5:$V$32),"n/a")</f>
        <v>9000</v>
      </c>
      <c r="W24" s="14" t="n">
        <f aca="false">IFERROR(IF(ISNUMBER(V24),(V24-AVERAGEIF('Pemetaan Variant'!$A$5:$A$32,$B24,'Pemetaan Variant'!$E$5:$E$32))/AVERAGEIF('Pemetaan Variant'!$A$5:$A$32,$B24,'Pemetaan Variant'!$E$5:$E$32)*100,"n/a"),"n/a")</f>
        <v>0</v>
      </c>
      <c r="X24" s="4" t="n">
        <f aca="false">IFERROR(IF(ISNUMBER(W24),$C24*W24,"n/a"),"n/a")</f>
        <v>0</v>
      </c>
      <c r="Y24" s="13" t="n">
        <f aca="false">IFERROR(AVERAGEIF('Pemetaan Variant'!$A$5:$A$32,$B24,'Pemetaan Variant'!$W$5:$W$32),"n/a")</f>
        <v>9000</v>
      </c>
      <c r="Z24" s="14" t="n">
        <f aca="false">IFERROR(IF(ISNUMBER(Y24),(Y24-AVERAGEIF('Pemetaan Variant'!$A$5:$A$32,$B24,'Pemetaan Variant'!$E$5:$E$32))/AVERAGEIF('Pemetaan Variant'!$A$5:$A$32,$B24,'Pemetaan Variant'!$E$5:$E$32)*100,"n/a"),"n/a")</f>
        <v>0</v>
      </c>
      <c r="AA24" s="4" t="n">
        <f aca="false">IFERROR(IF(ISNUMBER(Z24),$C24*Z24,"n/a"),"n/a")</f>
        <v>0</v>
      </c>
      <c r="AB24" s="13" t="n">
        <f aca="false">IFERROR(AVERAGEIF('Pemetaan Variant'!$A$5:$A$32,$B24,'Pemetaan Variant'!$X$5:$X$32),"n/a")</f>
        <v>9000</v>
      </c>
      <c r="AC24" s="14" t="n">
        <f aca="false">IFERROR(IF(ISNUMBER(AB24),(AB24-AVERAGEIF('Pemetaan Variant'!$A$5:$A$32,$B24,'Pemetaan Variant'!$E$5:$E$32))/AVERAGEIF('Pemetaan Variant'!$A$5:$A$32,$B24,'Pemetaan Variant'!$E$5:$E$32)*100,"n/a"),"n/a")</f>
        <v>0</v>
      </c>
      <c r="AD24" s="4" t="n">
        <f aca="false">IFERROR(IF(ISNUMBER(AC24),$C24*AC24,"n/a"),"n/a")</f>
        <v>0</v>
      </c>
      <c r="AE24" s="13" t="n">
        <f aca="false">IFERROR(AVERAGEIF('Pemetaan Variant'!$A$5:$A$32,$B24,'Pemetaan Variant'!$Y$5:$Y$32),"n/a")</f>
        <v>9000</v>
      </c>
      <c r="AF24" s="14" t="n">
        <f aca="false">IFERROR(IF(ISNUMBER(AE24),(AE24-AVERAGEIF('Pemetaan Variant'!$A$5:$A$32,$B24,'Pemetaan Variant'!$F$5:$F$32))/AVERAGEIF('Pemetaan Variant'!$A$5:$A$32,$B24,'Pemetaan Variant'!$F$5:$F$32)*100,"n/a"),"n/a")</f>
        <v>0</v>
      </c>
      <c r="AG24" s="4" t="n">
        <f aca="false">IFERROR(IF(ISNUMBER(AF24),$C24*AF24,"n/a"),"n/a")</f>
        <v>0</v>
      </c>
      <c r="AH24" s="13" t="n">
        <f aca="false">IFERROR(AVERAGEIF('Pemetaan Variant'!$A$5:$A$32,$B24,'Pemetaan Variant'!$Z$5:$Z$32),"n/a")</f>
        <v>9000</v>
      </c>
      <c r="AI24" s="14" t="n">
        <f aca="false">IFERROR(IF(ISNUMBER(AH24),(AH24-AVERAGEIF('Pemetaan Variant'!$A$5:$A$32,$B24,'Pemetaan Variant'!$F$5:$F$32))/AVERAGEIF('Pemetaan Variant'!$A$5:$A$32,$B24,'Pemetaan Variant'!$F$5:$F$32)*100,"n/a"),"n/a")</f>
        <v>0</v>
      </c>
      <c r="AJ24" s="4" t="n">
        <f aca="false">IFERROR(IF(ISNUMBER(AI24),$C24*AI24,"n/a"),"n/a")</f>
        <v>0</v>
      </c>
      <c r="AK24" s="13" t="n">
        <f aca="false">IFERROR(AVERAGEIF('Pemetaan Variant'!$A$5:$A$32,$B24,'Pemetaan Variant'!$AA$5:$AA$32),"n/a")</f>
        <v>9000</v>
      </c>
      <c r="AL24" s="14" t="n">
        <f aca="false">IFERROR(IF(ISNUMBER(AK24),(AK24-AVERAGEIF('Pemetaan Variant'!$A$5:$A$32,$B24,'Pemetaan Variant'!$F$5:$F$32))/AVERAGEIF('Pemetaan Variant'!$A$5:$A$32,$B24,'Pemetaan Variant'!$F$5:$F$32)*100,"n/a"),"n/a")</f>
        <v>0</v>
      </c>
      <c r="AM24" s="4" t="n">
        <f aca="false">IFERROR(IF(ISNUMBER(AL24),$C24*AL24,"n/a"),"n/a")</f>
        <v>0</v>
      </c>
      <c r="AN24" s="13" t="n">
        <f aca="false">IFERROR(AVERAGEIF('Pemetaan Variant'!$A$5:$A$32,$B24,'Pemetaan Variant'!$AB$5:$AB$32),"n/a")</f>
        <v>9000</v>
      </c>
      <c r="AO24" s="14" t="n">
        <f aca="false">IFERROR(IF(ISNUMBER(AN24),(AN24-AVERAGEIF('Pemetaan Variant'!$A$5:$A$32,$B24,'Pemetaan Variant'!$F$5:$F$32))/AVERAGEIF('Pemetaan Variant'!$A$5:$A$32,$B24,'Pemetaan Variant'!$F$5:$F$32)*100,"n/a"),"n/a")</f>
        <v>0</v>
      </c>
      <c r="AP24" s="4" t="n">
        <f aca="false">IFERROR(IF(ISNUMBER(AO24),$C24*AO24,"n/a"),"n/a")</f>
        <v>0</v>
      </c>
      <c r="AQ24" s="13" t="str">
        <f aca="false">IFERROR(AVERAGEIF('Pemetaan Variant'!$A$5:$A$32,$B24,'Pemetaan Variant'!$AC$5:$AC$32),"n/a")</f>
        <v>n/a</v>
      </c>
      <c r="AR24" s="14" t="str">
        <f aca="false">IFERROR(IF(ISNUMBER(AQ24),(AQ24-AVERAGEIF('Pemetaan Variant'!$A$5:$A$32,$B24,'Pemetaan Variant'!$F$5:$F$32))/AVERAGEIF('Pemetaan Variant'!$A$5:$A$32,$B24,'Pemetaan Variant'!$F$5:$F$32)*100,"n/a"),"n/a")</f>
        <v>n/a</v>
      </c>
      <c r="AS24" s="4" t="str">
        <f aca="false">IFERROR(IF(ISNUMBER(AR24),$C24*AR24,"n/a"),"n/a")</f>
        <v>n/a</v>
      </c>
      <c r="AT24" s="13" t="str">
        <f aca="false">IFERROR(AVERAGEIF('Pemetaan Variant'!$A$5:$A$32,$B24,'Pemetaan Variant'!$AD$5:$AD$32),"n/a")</f>
        <v>n/a</v>
      </c>
      <c r="AU24" s="14" t="str">
        <f aca="false">IFERROR(IF(ISNUMBER(AT24),(AT24-AVERAGEIF('Pemetaan Variant'!$A$5:$A$32,$B24,'Pemetaan Variant'!$G$5:$G$32))/AVERAGEIF('Pemetaan Variant'!$A$5:$A$32,$B24,'Pemetaan Variant'!$G$5:$G$32)*100,"n/a"),"n/a")</f>
        <v>n/a</v>
      </c>
      <c r="AV24" s="4" t="str">
        <f aca="false">IFERROR(IF(ISNUMBER(AU24),$C24*AU24,"n/a"),"n/a")</f>
        <v>n/a</v>
      </c>
      <c r="AW24" s="13" t="n">
        <f aca="false">IFERROR(AVERAGEIF('Pemetaan Variant'!$A$5:$A$32,$B24,'Pemetaan Variant'!$AE$5:$AE$32),"n/a")</f>
        <v>9000</v>
      </c>
      <c r="AX24" s="14" t="n">
        <f aca="false">IFERROR(IF(ISNUMBER(AW24),(AW24-AVERAGEIF('Pemetaan Variant'!$A$5:$A$32,$B24,'Pemetaan Variant'!$G$5:$G$32))/AVERAGEIF('Pemetaan Variant'!$A$5:$A$32,$B24,'Pemetaan Variant'!$G$5:$G$32)*100,"n/a"),"n/a")</f>
        <v>0</v>
      </c>
      <c r="AY24" s="4" t="n">
        <f aca="false">IFERROR(IF(ISNUMBER(AX24),$C24*AX24,"n/a"),"n/a")</f>
        <v>0</v>
      </c>
      <c r="AZ24" s="13" t="n">
        <f aca="false">IFERROR(AVERAGEIF('Pemetaan Variant'!$A$5:$A$32,$B24,'Pemetaan Variant'!$AF$5:$AF$32),"n/a")</f>
        <v>9000</v>
      </c>
      <c r="BA24" s="14" t="n">
        <f aca="false">IFERROR(IF(ISNUMBER(AZ24),(AZ24-AVERAGEIF('Pemetaan Variant'!$A$5:$A$32,$B24,'Pemetaan Variant'!$G$5:$G$32))/AVERAGEIF('Pemetaan Variant'!$A$5:$A$32,$B24,'Pemetaan Variant'!$G$5:$G$32)*100,"n/a"),"n/a")</f>
        <v>0</v>
      </c>
      <c r="BB24" s="4" t="n">
        <f aca="false">IFERROR(IF(ISNUMBER(BA24),$C24*BA24,"n/a"),"n/a")</f>
        <v>0</v>
      </c>
      <c r="BC24" s="13" t="n">
        <f aca="false">IFERROR(AVERAGEIF('Pemetaan Variant'!$A$5:$A$32,$B24,'Pemetaan Variant'!$AG$5:$AG$32),"n/a")</f>
        <v>9000</v>
      </c>
      <c r="BD24" s="14" t="n">
        <f aca="false">IFERROR(IF(ISNUMBER(BC24),(BC24-AVERAGEIF('Pemetaan Variant'!$A$5:$A$32,$B24,'Pemetaan Variant'!$G$5:$G$32))/AVERAGEIF('Pemetaan Variant'!$A$5:$A$32,$B24,'Pemetaan Variant'!$G$5:$G$32)*100,"n/a"),"n/a")</f>
        <v>0</v>
      </c>
      <c r="BE24" s="4" t="n">
        <f aca="false">IFERROR(IF(ISNUMBER(BD24),$C24*BD24,"n/a"),"n/a")</f>
        <v>0</v>
      </c>
      <c r="BF24" s="13" t="n">
        <f aca="false">IFERROR(AVERAGEIF('Pemetaan Variant'!$A$5:$A$32,$B24,'Pemetaan Variant'!$AH$5:$AH$32),"n/a")</f>
        <v>9000</v>
      </c>
      <c r="BG24" s="14" t="n">
        <f aca="false">IFERROR(IF(ISNUMBER(BF24),(BF24-AVERAGEIF('Pemetaan Variant'!$A$5:$A$32,$B24,'Pemetaan Variant'!$G$5:$G$32))/AVERAGEIF('Pemetaan Variant'!$A$5:$A$32,$B24,'Pemetaan Variant'!$G$5:$G$32)*100,"n/a"),"n/a")</f>
        <v>0</v>
      </c>
      <c r="BH24" s="4" t="n">
        <f aca="false">IFERROR(IF(ISNUMBER(BG24),$C24*BG24,"n/a"),"n/a")</f>
        <v>0</v>
      </c>
      <c r="BI24" s="13" t="n">
        <f aca="false">IFERROR(AVERAGEIF('Pemetaan Variant'!$A$5:$A$32,$B24,'Pemetaan Variant'!$AI$5:$AI$32),"n/a")</f>
        <v>9000</v>
      </c>
      <c r="BJ24" s="14" t="n">
        <f aca="false">IFERROR(IF(ISNUMBER(BI24),(BI24-AVERAGEIF('Pemetaan Variant'!$A$5:$A$32,$B24,'Pemetaan Variant'!$H$5:$H$32))/AVERAGEIF('Pemetaan Variant'!$A$5:$A$32,$B24,'Pemetaan Variant'!$H$5:$H$32)*100,"n/a"),"n/a")</f>
        <v>0</v>
      </c>
      <c r="BK24" s="4" t="n">
        <f aca="false">IFERROR(IF(ISNUMBER(BJ24),$C24*BJ24,"n/a"),"n/a")</f>
        <v>0</v>
      </c>
      <c r="BL24" s="13" t="n">
        <f aca="false">IFERROR(AVERAGEIF('Pemetaan Variant'!$A$5:$A$32,$B24,'Pemetaan Variant'!$AJ$5:$AJ$32),"n/a")</f>
        <v>9000</v>
      </c>
      <c r="BM24" s="14" t="n">
        <f aca="false">IFERROR(IF(ISNUMBER(BL24),(BL24-AVERAGEIF('Pemetaan Variant'!$A$5:$A$32,$B24,'Pemetaan Variant'!$H$5:$H$32))/AVERAGEIF('Pemetaan Variant'!$A$5:$A$32,$B24,'Pemetaan Variant'!$H$5:$H$32)*100,"n/a"),"n/a")</f>
        <v>0</v>
      </c>
      <c r="BN24" s="4" t="n">
        <f aca="false">IFERROR(IF(ISNUMBER(BM24),$C24*BM24,"n/a"),"n/a")</f>
        <v>0</v>
      </c>
      <c r="BO24" s="13" t="n">
        <f aca="false">IFERROR(AVERAGEIF('Pemetaan Variant'!$A$5:$A$32,$B24,'Pemetaan Variant'!$AK$5:$AK$32),"n/a")</f>
        <v>9000</v>
      </c>
      <c r="BP24" s="14" t="n">
        <f aca="false">IFERROR(IF(ISNUMBER(BO24),(BO24-AVERAGEIF('Pemetaan Variant'!$A$5:$A$32,$B24,'Pemetaan Variant'!$H$5:$H$32))/AVERAGEIF('Pemetaan Variant'!$A$5:$A$32,$B24,'Pemetaan Variant'!$H$5:$H$32)*100,"n/a"),"n/a")</f>
        <v>0</v>
      </c>
      <c r="BQ24" s="4" t="n">
        <f aca="false">IFERROR(IF(ISNUMBER(BP24),$C24*BP24,"n/a"),"n/a")</f>
        <v>0</v>
      </c>
      <c r="BR24" s="13" t="n">
        <f aca="false">IFERROR(AVERAGEIF('Pemetaan Variant'!$A$5:$A$32,$B24,'Pemetaan Variant'!$AL$5:$AL$32),"n/a")</f>
        <v>9000</v>
      </c>
      <c r="BS24" s="14" t="n">
        <f aca="false">IFERROR(IF(ISNUMBER(BR24),(BR24-AVERAGEIF('Pemetaan Variant'!$A$5:$A$32,$B24,'Pemetaan Variant'!$H$5:$H$32))/AVERAGEIF('Pemetaan Variant'!$A$5:$A$32,$B24,'Pemetaan Variant'!$H$5:$H$32)*100,"n/a"),"n/a")</f>
        <v>0</v>
      </c>
      <c r="BT24" s="4" t="n">
        <f aca="false">IFERROR(IF(ISNUMBER(BS24),$C24*BS24,"n/a"),"n/a")</f>
        <v>0</v>
      </c>
      <c r="BU24" s="13" t="n">
        <f aca="false">IFERROR(AVERAGEIF('Pemetaan Variant'!$A$5:$A$32,$B24,'Pemetaan Variant'!$AM$5:$AM$32),"n/a")</f>
        <v>9000</v>
      </c>
      <c r="BV24" s="14" t="n">
        <f aca="false">IFERROR(IF(ISNUMBER(BU24),(BU24-AVERAGEIF('Pemetaan Variant'!$A$5:$A$32,$B24,'Pemetaan Variant'!$H$5:$H$32))/AVERAGEIF('Pemetaan Variant'!$A$5:$A$32,$B24,'Pemetaan Variant'!$H$5:$H$32)*100,"n/a"),"n/a")</f>
        <v>0</v>
      </c>
      <c r="BW24" s="4" t="n">
        <f aca="false">IFERROR(IF(ISNUMBER(BV24),$C24*BV24,"n/a"),"n/a")</f>
        <v>0</v>
      </c>
      <c r="BX24" s="13" t="n">
        <f aca="false">IFERROR(AVERAGEIF('Pemetaan Variant'!$A$5:$A$32,$B24,'Pemetaan Variant'!$AN$5:$AN$32),"n/a")</f>
        <v>9000</v>
      </c>
      <c r="BY24" s="14" t="n">
        <f aca="false">IFERROR(IF(ISNUMBER(BX24),(BX24-AVERAGEIF('Pemetaan Variant'!$A$5:$A$32,$B24,'Pemetaan Variant'!$I$5:$I$32))/AVERAGEIF('Pemetaan Variant'!$A$5:$A$32,$B24,'Pemetaan Variant'!$I$5:$I$32)*100,"n/a"),"n/a")</f>
        <v>0</v>
      </c>
      <c r="BZ24" s="4" t="n">
        <f aca="false">IFERROR(IF(ISNUMBER(BY24),$C24*BY24,"n/a"),"n/a")</f>
        <v>0</v>
      </c>
      <c r="CA24" s="13" t="n">
        <f aca="false">IFERROR(AVERAGEIF('Pemetaan Variant'!$A$5:$A$32,$B24,'Pemetaan Variant'!$AO$5:$AO$32),"n/a")</f>
        <v>8250</v>
      </c>
      <c r="CB24" s="14" t="n">
        <f aca="false">IFERROR(IF(ISNUMBER(CA24),(CA24-AVERAGEIF('Pemetaan Variant'!$A$5:$A$32,$B24,'Pemetaan Variant'!$I$5:$I$32))/AVERAGEIF('Pemetaan Variant'!$A$5:$A$32,$B24,'Pemetaan Variant'!$I$5:$I$32)*100,"n/a"),"n/a")</f>
        <v>-8.33333333333333</v>
      </c>
      <c r="CC24" s="4" t="n">
        <f aca="false">IFERROR(IF(ISNUMBER(CB24),$C24*CB24,"n/a"),"n/a")</f>
        <v>-0.169021626852745</v>
      </c>
      <c r="CD24" s="13" t="n">
        <f aca="false">IFERROR(AVERAGEIF('Pemetaan Variant'!$A$5:$A$32,$B24,'Pemetaan Variant'!$AP$5:$AP$32),"n/a")</f>
        <v>8000</v>
      </c>
      <c r="CE24" s="14" t="n">
        <f aca="false">IFERROR(IF(ISNUMBER(CD24),(CD24-AVERAGEIF('Pemetaan Variant'!$A$5:$A$32,$B24,'Pemetaan Variant'!$I$5:$I$32))/AVERAGEIF('Pemetaan Variant'!$A$5:$A$32,$B24,'Pemetaan Variant'!$I$5:$I$32)*100,"n/a"),"n/a")</f>
        <v>-11.1111111111111</v>
      </c>
      <c r="CF24" s="4" t="n">
        <f aca="false">IFERROR(IF(ISNUMBER(CE24),$C24*CE24,"n/a"),"n/a")</f>
        <v>-0.225362169136993</v>
      </c>
      <c r="CG24" s="13" t="n">
        <f aca="false">IFERROR(AVERAGEIF('Pemetaan Variant'!$A$5:$A$32,$B24,'Pemetaan Variant'!$AQ$5:$AQ$32),"n/a")</f>
        <v>8000</v>
      </c>
      <c r="CH24" s="14" t="n">
        <f aca="false">IFERROR(IF(ISNUMBER(CG24),(CG24-AVERAGEIF('Pemetaan Variant'!$A$5:$A$32,$B24,'Pemetaan Variant'!$I$5:$I$32))/AVERAGEIF('Pemetaan Variant'!$A$5:$A$32,$B24,'Pemetaan Variant'!$I$5:$I$32)*100,"n/a"),"n/a")</f>
        <v>-11.1111111111111</v>
      </c>
      <c r="CI24" s="4" t="n">
        <f aca="false">IFERROR(IF(ISNUMBER(CH24),$C24*CH24,"n/a"),"n/a")</f>
        <v>-0.225362169136993</v>
      </c>
      <c r="CJ24" s="13" t="n">
        <f aca="false">IFERROR(AVERAGEIF('Pemetaan Variant'!$A$5:$A$32,$B24,'Pemetaan Variant'!$AR$5:$AR$32),"n/a")</f>
        <v>8000</v>
      </c>
      <c r="CK24" s="14" t="n">
        <f aca="false">IFERROR(IF(ISNUMBER(CJ24),(CJ24-AVERAGEIF('Pemetaan Variant'!$A$5:$A$32,$B24,'Pemetaan Variant'!$J$5:$J$32))/AVERAGEIF('Pemetaan Variant'!$A$5:$A$32,$B24,'Pemetaan Variant'!$J$5:$J$32)*100,"n/a"),"n/a")</f>
        <v>-3.54609929078014</v>
      </c>
      <c r="CL24" s="4" t="n">
        <f aca="false">IFERROR(IF(ISNUMBER(CK24),$C24*CK24,"n/a"),"n/a")</f>
        <v>-0.071924096533083</v>
      </c>
      <c r="CM24" s="13" t="n">
        <f aca="false">IFERROR(AVERAGEIF('Pemetaan Variant'!$A$5:$A$32,$B24,'Pemetaan Variant'!$AS$5:$AS$32),"n/a")</f>
        <v>8000</v>
      </c>
      <c r="CN24" s="14" t="n">
        <f aca="false">IFERROR(IF(ISNUMBER(CM24),(CM24-AVERAGEIF('Pemetaan Variant'!$A$5:$A$32,$B24,'Pemetaan Variant'!$J$5:$J$32))/AVERAGEIF('Pemetaan Variant'!$A$5:$A$32,$B24,'Pemetaan Variant'!$J$5:$J$32)*100,"n/a"),"n/a")</f>
        <v>-3.54609929078014</v>
      </c>
      <c r="CO24" s="4" t="n">
        <f aca="false">IFERROR(IF(ISNUMBER(CN24),$C24*CN24,"n/a"),"n/a")</f>
        <v>-0.071924096533083</v>
      </c>
      <c r="CP24" s="13" t="n">
        <f aca="false">IFERROR(AVERAGEIF('Pemetaan Variant'!$A$5:$A$32,$B24,'Pemetaan Variant'!$AT$5:$AT$32),"n/a")</f>
        <v>8000</v>
      </c>
      <c r="CQ24" s="14" t="n">
        <f aca="false">IFERROR(IF(ISNUMBER(CP24),(CP24-AVERAGEIF('Pemetaan Variant'!$A$5:$A$32,$B24,'Pemetaan Variant'!$J$5:$J$32))/AVERAGEIF('Pemetaan Variant'!$A$5:$A$32,$B24,'Pemetaan Variant'!$J$5:$J$32)*100,"n/a"),"n/a")</f>
        <v>-3.54609929078014</v>
      </c>
      <c r="CR24" s="4" t="n">
        <f aca="false">IFERROR(IF(ISNUMBER(CQ24),$C24*CQ24,"n/a"),"n/a")</f>
        <v>-0.071924096533083</v>
      </c>
      <c r="CS24" s="13" t="n">
        <f aca="false">IFERROR(AVERAGEIF('Pemetaan Variant'!$A$5:$A$32,$B24,'Pemetaan Variant'!$AU$5:$AU$32),"n/a")</f>
        <v>8000</v>
      </c>
      <c r="CT24" s="14" t="n">
        <f aca="false">IFERROR(IF(ISNUMBER(CS24),(CS24-AVERAGEIF('Pemetaan Variant'!$A$5:$A$32,$B24,'Pemetaan Variant'!$J$5:$J$32))/AVERAGEIF('Pemetaan Variant'!$A$5:$A$32,$B24,'Pemetaan Variant'!$J$5:$J$32)*100,"n/a"),"n/a")</f>
        <v>-3.54609929078014</v>
      </c>
      <c r="CU24" s="4" t="n">
        <f aca="false">IFERROR(IF(ISNUMBER(CT24),$C24*CT24,"n/a"),"n/a")</f>
        <v>-0.071924096533083</v>
      </c>
      <c r="CV24" s="13" t="n">
        <f aca="false">IFERROR(AVERAGEIF('Pemetaan Variant'!$A$5:$A$32,$B24,'Pemetaan Variant'!$AV$5:$AV$32),"n/a")</f>
        <v>8000</v>
      </c>
      <c r="CW24" s="14" t="n">
        <f aca="false">IFERROR(IF(ISNUMBER(CV24),(CV24-AVERAGEIF('Pemetaan Variant'!$A$5:$A$32,$B24,'Pemetaan Variant'!$J$5:$J$32))/AVERAGEIF('Pemetaan Variant'!$A$5:$A$32,$B24,'Pemetaan Variant'!$J$5:$J$32)*100,"n/a"),"n/a")</f>
        <v>-3.54609929078014</v>
      </c>
      <c r="CX24" s="4" t="n">
        <f aca="false">IFERROR(IF(ISNUMBER(CW24),$C24*CW24,"n/a"),"n/a")</f>
        <v>-0.071924096533083</v>
      </c>
      <c r="CY24" s="13" t="n">
        <f aca="false">IFERROR(AVERAGEIF('Pemetaan Variant'!$A$5:$A$32,$B24,'Pemetaan Variant'!$AW$5:$AW$32),"n/a")</f>
        <v>8000</v>
      </c>
      <c r="CZ24" s="14" t="n">
        <f aca="false">IFERROR(IF(ISNUMBER(CY24),(CY24-AVERAGEIF('Pemetaan Variant'!$A$5:$A$32,$B24,'Pemetaan Variant'!$K$5:$K$32))/AVERAGEIF('Pemetaan Variant'!$A$5:$A$32,$B24,'Pemetaan Variant'!$K$5:$K$32)*100,"n/a"),"n/a")</f>
        <v>0</v>
      </c>
      <c r="DA24" s="4" t="n">
        <f aca="false">IFERROR(IF(ISNUMBER(CZ24),$C24*CZ24,"n/a"),"n/a")</f>
        <v>0</v>
      </c>
      <c r="DB24" s="13" t="n">
        <f aca="false">IFERROR(AVERAGEIF('Pemetaan Variant'!$A$5:$A$32,$B24,'Pemetaan Variant'!$AX$5:$AX$32),"n/a")</f>
        <v>8000</v>
      </c>
      <c r="DC24" s="14" t="n">
        <f aca="false">IFERROR(IF(ISNUMBER(DB24),(DB24-AVERAGEIF('Pemetaan Variant'!$A$5:$A$32,$B24,'Pemetaan Variant'!$K$5:$K$32))/AVERAGEIF('Pemetaan Variant'!$A$5:$A$32,$B24,'Pemetaan Variant'!$K$5:$K$32)*100,"n/a"),"n/a")</f>
        <v>0</v>
      </c>
      <c r="DD24" s="4" t="n">
        <f aca="false">IFERROR(IF(ISNUMBER(DC24),$C24*DC24,"n/a"),"n/a")</f>
        <v>0</v>
      </c>
      <c r="DE24" s="13" t="n">
        <f aca="false">IFERROR(AVERAGEIF('Pemetaan Variant'!$A$5:$A$32,$B24,'Pemetaan Variant'!$AY$5:$AY$32),"n/a")</f>
        <v>8000</v>
      </c>
      <c r="DF24" s="14" t="n">
        <f aca="false">IFERROR(IF(ISNUMBER(DE24),(DE24-AVERAGEIF('Pemetaan Variant'!$A$5:$A$32,$B24,'Pemetaan Variant'!$K$5:$K$32))/AVERAGEIF('Pemetaan Variant'!$A$5:$A$32,$B24,'Pemetaan Variant'!$K$5:$K$32)*100,"n/a"),"n/a")</f>
        <v>0</v>
      </c>
      <c r="DG24" s="4" t="n">
        <f aca="false">IFERROR(IF(ISNUMBER(DF24),$C24*DF24,"n/a"),"n/a")</f>
        <v>0</v>
      </c>
      <c r="DH24" s="13" t="n">
        <f aca="false">IFERROR(AVERAGEIF('Pemetaan Variant'!$A$5:$A$32,$B24,'Pemetaan Variant'!$AZ$5:$AZ$32),"n/a")</f>
        <v>8000</v>
      </c>
      <c r="DI24" s="14" t="n">
        <f aca="false">IFERROR(IF(ISNUMBER(DH24),(DH24-AVERAGEIF('Pemetaan Variant'!$A$5:$A$32,$B24,'Pemetaan Variant'!$K$5:$K$32))/AVERAGEIF('Pemetaan Variant'!$A$5:$A$32,$B24,'Pemetaan Variant'!$K$5:$K$32)*100,"n/a"),"n/a")</f>
        <v>0</v>
      </c>
      <c r="DJ24" s="4" t="n">
        <f aca="false">IFERROR(IF(ISNUMBER(DI24),$C24*DI24,"n/a"),"n/a")</f>
        <v>0</v>
      </c>
      <c r="DK24" s="13" t="n">
        <f aca="false">IFERROR(AVERAGEIF('Pemetaan Variant'!$A$5:$A$32,$B24,'Pemetaan Variant'!$BA$5:$BA$32),"n/a")</f>
        <v>8000</v>
      </c>
      <c r="DL24" s="14" t="n">
        <f aca="false">IFERROR(IF(ISNUMBER(DK24),(DK24-AVERAGEIF('Pemetaan Variant'!$A$5:$A$32,$B24,'Pemetaan Variant'!$L$5:$L$32))/AVERAGEIF('Pemetaan Variant'!$A$5:$A$32,$B24,'Pemetaan Variant'!$L$5:$L$32)*100,"n/a"),"n/a")</f>
        <v>0</v>
      </c>
      <c r="DM24" s="4" t="n">
        <f aca="false">IFERROR(IF(ISNUMBER(DL24),$C24*DL24,"n/a"),"n/a")</f>
        <v>0</v>
      </c>
      <c r="DN24" s="13" t="n">
        <f aca="false">IFERROR(AVERAGEIF('Pemetaan Variant'!$A$5:$A$32,$B24,'Pemetaan Variant'!$BB$5:$BB$32),"n/a")</f>
        <v>8000</v>
      </c>
      <c r="DO24" s="14" t="n">
        <f aca="false">IFERROR(IF(ISNUMBER(DN24),(DN24-AVERAGEIF('Pemetaan Variant'!$A$5:$A$32,$B24,'Pemetaan Variant'!$L$5:$L$32))/AVERAGEIF('Pemetaan Variant'!$A$5:$A$32,$B24,'Pemetaan Variant'!$L$5:$L$32)*100,"n/a"),"n/a")</f>
        <v>0</v>
      </c>
      <c r="DP24" s="4" t="n">
        <f aca="false">IFERROR(IF(ISNUMBER(DO24),$C24*DO24,"n/a"),"n/a")</f>
        <v>0</v>
      </c>
      <c r="DQ24" s="13" t="n">
        <f aca="false">IFERROR(AVERAGEIF('Pemetaan Variant'!$A$5:$A$32,$B24,'Pemetaan Variant'!$BC$5:$BC$32),"n/a")</f>
        <v>8000</v>
      </c>
      <c r="DR24" s="14" t="n">
        <f aca="false">IFERROR(IF(ISNUMBER(DQ24),(DQ24-AVERAGEIF('Pemetaan Variant'!$A$5:$A$32,$B24,'Pemetaan Variant'!$L$5:$L$32))/AVERAGEIF('Pemetaan Variant'!$A$5:$A$32,$B24,'Pemetaan Variant'!$L$5:$L$32)*100,"n/a"),"n/a")</f>
        <v>0</v>
      </c>
      <c r="DS24" s="4" t="n">
        <f aca="false">IFERROR(IF(ISNUMBER(DR24),$C24*DR24,"n/a"),"n/a")</f>
        <v>0</v>
      </c>
      <c r="DT24" s="13" t="n">
        <f aca="false">IFERROR(AVERAGEIF('Pemetaan Variant'!$A$5:$A$32,$B24,'Pemetaan Variant'!$BD$5:$BD$32),"n/a")</f>
        <v>8000</v>
      </c>
      <c r="DU24" s="14" t="n">
        <f aca="false">IFERROR(IF(ISNUMBER(DT24),(DT24-AVERAGEIF('Pemetaan Variant'!$A$5:$A$32,$B24,'Pemetaan Variant'!$L$5:$L$32))/AVERAGEIF('Pemetaan Variant'!$A$5:$A$32,$B24,'Pemetaan Variant'!$L$5:$L$32)*100,"n/a"),"n/a")</f>
        <v>0</v>
      </c>
      <c r="DV24" s="4" t="n">
        <f aca="false">IFERROR(IF(ISNUMBER(DU24),$C24*DU24,"n/a"),"n/a")</f>
        <v>0</v>
      </c>
      <c r="DW24" s="13" t="n">
        <f aca="false">IFERROR(AVERAGEIF('Pemetaan Variant'!$A$5:$A$32,$B24,'Pemetaan Variant'!$BE$5:$BE$32),"n/a")</f>
        <v>8000</v>
      </c>
      <c r="DX24" s="14" t="n">
        <f aca="false">IFERROR(IF(ISNUMBER(DW24),(DW24-AVERAGEIF('Pemetaan Variant'!$A$5:$A$32,$B24,'Pemetaan Variant'!$M$5:$M$32))/AVERAGEIF('Pemetaan Variant'!$A$5:$A$32,$B24,'Pemetaan Variant'!$M$5:$M$32)*100,"n/a"),"n/a")</f>
        <v>0</v>
      </c>
      <c r="DY24" s="4" t="n">
        <f aca="false">IFERROR(IF(ISNUMBER(DX24),$C24*DX24,"n/a"),"n/a")</f>
        <v>0</v>
      </c>
      <c r="DZ24" s="13" t="n">
        <f aca="false">IFERROR(AVERAGEIF('Pemetaan Variant'!$A$5:$A$32,$B24,'Pemetaan Variant'!$BF$5:$BF$32),"n/a")</f>
        <v>8000</v>
      </c>
      <c r="EA24" s="14" t="n">
        <f aca="false">IFERROR(IF(ISNUMBER(DZ24),(DZ24-AVERAGEIF('Pemetaan Variant'!$A$5:$A$32,$B24,'Pemetaan Variant'!$M$5:$M$32))/AVERAGEIF('Pemetaan Variant'!$A$5:$A$32,$B24,'Pemetaan Variant'!$M$5:$M$32)*100,"n/a"),"n/a")</f>
        <v>0</v>
      </c>
      <c r="EB24" s="4" t="n">
        <f aca="false">IFERROR(IF(ISNUMBER(EA24),$C24*EA24,"n/a"),"n/a")</f>
        <v>0</v>
      </c>
      <c r="EC24" s="13" t="n">
        <f aca="false">IFERROR(AVERAGEIF('Pemetaan Variant'!$A$5:$A$32,$B24,'Pemetaan Variant'!$BG$5:$BG$32),"n/a")</f>
        <v>8000</v>
      </c>
      <c r="ED24" s="14" t="n">
        <f aca="false">IFERROR(IF(ISNUMBER(EC24),(EC24-AVERAGEIF('Pemetaan Variant'!$A$5:$A$32,$B24,'Pemetaan Variant'!$M$5:$M$32))/AVERAGEIF('Pemetaan Variant'!$A$5:$A$32,$B24,'Pemetaan Variant'!$M$5:$M$32)*100,"n/a"),"n/a")</f>
        <v>0</v>
      </c>
      <c r="EE24" s="4" t="n">
        <f aca="false">IFERROR(IF(ISNUMBER(ED24),$C24*ED24,"n/a"),"n/a")</f>
        <v>0</v>
      </c>
      <c r="EF24" s="13" t="n">
        <f aca="false">IFERROR(AVERAGEIF('Pemetaan Variant'!$A$5:$A$32,$B24,'Pemetaan Variant'!$BH$5:$BH$32),"n/a")</f>
        <v>8000</v>
      </c>
      <c r="EG24" s="14" t="n">
        <f aca="false">IFERROR(IF(ISNUMBER(EF24),(EF24-AVERAGEIF('Pemetaan Variant'!$A$5:$A$32,$B24,'Pemetaan Variant'!$M$5:$M$32))/AVERAGEIF('Pemetaan Variant'!$A$5:$A$32,$B24,'Pemetaan Variant'!$M$5:$M$32)*100,"n/a"),"n/a")</f>
        <v>0</v>
      </c>
      <c r="EH24" s="4" t="n">
        <f aca="false">IFERROR(IF(ISNUMBER(EG24),$C24*EG24,"n/a"),"n/a")</f>
        <v>0</v>
      </c>
      <c r="EI24" s="13" t="n">
        <f aca="false">IFERROR(AVERAGEIF('Pemetaan Variant'!$A$5:$A$32,$B24,'Pemetaan Variant'!$BI$5:$BI$32),"n/a")</f>
        <v>8000</v>
      </c>
      <c r="EJ24" s="14" t="n">
        <f aca="false">IFERROR(IF(ISNUMBER(EI24),(EI24-AVERAGEIF('Pemetaan Variant'!$A$5:$A$32,$B24,'Pemetaan Variant'!$M$5:$M$32))/AVERAGEIF('Pemetaan Variant'!$A$5:$A$32,$B24,'Pemetaan Variant'!$M$5:$M$32)*100,"n/a"),"n/a")</f>
        <v>0</v>
      </c>
      <c r="EK24" s="4" t="n">
        <f aca="false">IFERROR(IF(ISNUMBER(EJ24),$C24*EJ24,"n/a"),"n/a")</f>
        <v>0</v>
      </c>
      <c r="EL24" s="13" t="n">
        <f aca="false">IFERROR(AVERAGEIF('Pemetaan Variant'!$A$5:$A$32,$B24,'Pemetaan Variant'!$BJ$5:$BJ$32),"n/a")</f>
        <v>8000</v>
      </c>
      <c r="EM24" s="14" t="n">
        <f aca="false">IFERROR(IF(ISNUMBER(EL24),(EL24-AVERAGEIF('Pemetaan Variant'!$A$5:$A$32,$B24,'Pemetaan Variant'!$N$5:$N$32))/AVERAGEIF('Pemetaan Variant'!$A$5:$A$32,$B24,'Pemetaan Variant'!$N$5:$N$32)*100,"n/a"),"n/a")</f>
        <v>0</v>
      </c>
      <c r="EN24" s="4" t="n">
        <f aca="false">IFERROR(IF(ISNUMBER(EM24),$C24*EM24,"n/a"),"n/a")</f>
        <v>0</v>
      </c>
      <c r="EO24" s="13" t="n">
        <f aca="false">IFERROR(AVERAGEIF('Pemetaan Variant'!$A$5:$A$32,$B24,'Pemetaan Variant'!$BK$5:$BK$32),"n/a")</f>
        <v>8000</v>
      </c>
      <c r="EP24" s="14" t="n">
        <f aca="false">IFERROR(IF(ISNUMBER(EO24),(EO24-AVERAGEIF('Pemetaan Variant'!$A$5:$A$32,$B24,'Pemetaan Variant'!$N$5:$N$32))/AVERAGEIF('Pemetaan Variant'!$A$5:$A$32,$B24,'Pemetaan Variant'!$N$5:$N$32)*100,"n/a"),"n/a")</f>
        <v>0</v>
      </c>
      <c r="EQ24" s="4" t="n">
        <f aca="false">IFERROR(IF(ISNUMBER(EP24),$C24*EP24,"n/a"),"n/a")</f>
        <v>0</v>
      </c>
      <c r="ER24" s="13" t="n">
        <f aca="false">IFERROR(AVERAGEIF('Pemetaan Variant'!$A$5:$A$32,$B24,'Pemetaan Variant'!$BL$5:$BL$32),"n/a")</f>
        <v>8000</v>
      </c>
      <c r="ES24" s="14" t="n">
        <f aca="false">IFERROR(IF(ISNUMBER(ER24),(ER24-AVERAGEIF('Pemetaan Variant'!$A$5:$A$32,$B24,'Pemetaan Variant'!$N$5:$N$32))/AVERAGEIF('Pemetaan Variant'!$A$5:$A$32,$B24,'Pemetaan Variant'!$N$5:$N$32)*100,"n/a"),"n/a")</f>
        <v>0</v>
      </c>
      <c r="ET24" s="4" t="n">
        <f aca="false">IFERROR(IF(ISNUMBER(ES24),$C24*ES24,"n/a"),"n/a")</f>
        <v>0</v>
      </c>
      <c r="EU24" s="13" t="n">
        <f aca="false">IFERROR(AVERAGEIF('Pemetaan Variant'!$A$5:$A$32,$B24,'Pemetaan Variant'!$BM$5:$BM$32),"n/a")</f>
        <v>8000</v>
      </c>
      <c r="EV24" s="14" t="n">
        <f aca="false">IFERROR(IF(ISNUMBER(EU24),(EU24-AVERAGEIF('Pemetaan Variant'!$A$5:$A$32,$B24,'Pemetaan Variant'!$N$5:$N$32))/AVERAGEIF('Pemetaan Variant'!$A$5:$A$32,$B24,'Pemetaan Variant'!$N$5:$N$32)*100,"n/a"),"n/a")</f>
        <v>0</v>
      </c>
      <c r="EW24" s="4" t="n">
        <f aca="false">IFERROR(IF(ISNUMBER(EV24),$C24*EV24,"n/a"),"n/a")</f>
        <v>0</v>
      </c>
      <c r="EX24" s="13" t="n">
        <f aca="false">IFERROR(AVERAGEIF('Pemetaan Variant'!$A$5:$A$32,$B24,'Pemetaan Variant'!$BN$5:$BN$32),"n/a")</f>
        <v>8000</v>
      </c>
      <c r="EY24" s="14" t="n">
        <f aca="false">IFERROR(IF(ISNUMBER(EX24),(EX24-AVERAGEIF('Pemetaan Variant'!$A$5:$A$32,$B24,'Pemetaan Variant'!$O$5:$O$32))/AVERAGEIF('Pemetaan Variant'!$A$5:$A$32,$B24,'Pemetaan Variant'!$O$5:$O$32)*100,"n/a"),"n/a")</f>
        <v>0</v>
      </c>
      <c r="EZ24" s="4" t="n">
        <f aca="false">IFERROR(IF(ISNUMBER(EY24),$C24*EY24,"n/a"),"n/a")</f>
        <v>0</v>
      </c>
      <c r="FA24" s="13" t="n">
        <f aca="false">IFERROR(AVERAGEIF('Pemetaan Variant'!$A$5:$A$32,$B24,'Pemetaan Variant'!$BO$5:$BO$32),"n/a")</f>
        <v>8000</v>
      </c>
      <c r="FB24" s="14" t="n">
        <f aca="false">IFERROR(IF(ISNUMBER(FA24),(FA24-AVERAGEIF('Pemetaan Variant'!$A$5:$A$32,$B24,'Pemetaan Variant'!$O$5:$O$32))/AVERAGEIF('Pemetaan Variant'!$A$5:$A$32,$B24,'Pemetaan Variant'!$O$5:$O$32)*100,"n/a"),"n/a")</f>
        <v>0</v>
      </c>
      <c r="FC24" s="4" t="n">
        <f aca="false">IFERROR(IF(ISNUMBER(FB24),$C24*FB24,"n/a"),"n/a")</f>
        <v>0</v>
      </c>
      <c r="FD24" s="13" t="n">
        <f aca="false">IFERROR(AVERAGEIF('Pemetaan Variant'!$A$5:$A$32,$B24,'Pemetaan Variant'!$BP$5:$BP$32),"n/a")</f>
        <v>8000</v>
      </c>
      <c r="FE24" s="14" t="n">
        <f aca="false">IFERROR(IF(ISNUMBER(FD24),(FD24-AVERAGEIF('Pemetaan Variant'!$A$5:$A$32,$B24,'Pemetaan Variant'!$O$5:$O$32))/AVERAGEIF('Pemetaan Variant'!$A$5:$A$32,$B24,'Pemetaan Variant'!$O$5:$O$32)*100,"n/a"),"n/a")</f>
        <v>0</v>
      </c>
      <c r="FF24" s="4" t="n">
        <f aca="false">IFERROR(IF(ISNUMBER(FE24),$C24*FE24,"n/a"),"n/a")</f>
        <v>0</v>
      </c>
      <c r="FG24" s="13" t="n">
        <f aca="false">IFERROR(AVERAGEIF('Pemetaan Variant'!$A$5:$A$32,$B24,'Pemetaan Variant'!$BQ$5:$BQ$32),"n/a")</f>
        <v>8000</v>
      </c>
      <c r="FH24" s="14" t="n">
        <f aca="false">IFERROR(IF(ISNUMBER(FG24),(FG24-AVERAGEIF('Pemetaan Variant'!$A$5:$A$32,$B24,'Pemetaan Variant'!$O$5:$O$32))/AVERAGEIF('Pemetaan Variant'!$A$5:$A$32,$B24,'Pemetaan Variant'!$O$5:$O$32)*100,"n/a"),"n/a")</f>
        <v>0</v>
      </c>
      <c r="FI24" s="4" t="n">
        <f aca="false">IFERROR(IF(ISNUMBER(FH24),$C24*FH24,"n/a"),"n/a")</f>
        <v>0</v>
      </c>
      <c r="FJ24" s="13" t="n">
        <f aca="false">IFERROR(AVERAGEIF('Pemetaan Variant'!$A$5:$A$32,$B24,'Pemetaan Variant'!$BR$5:$BR$32),"n/a")</f>
        <v>8000</v>
      </c>
      <c r="FK24" s="14" t="n">
        <f aca="false">IFERROR(IF(ISNUMBER(FJ24),(FJ24-AVERAGEIF('Pemetaan Variant'!$A$5:$A$32,$B24,'Pemetaan Variant'!$O$5:$O$32))/AVERAGEIF('Pemetaan Variant'!$A$5:$A$32,$B24,'Pemetaan Variant'!$O$5:$O$32)*100,"n/a"),"n/a")</f>
        <v>0</v>
      </c>
      <c r="FL24" s="4" t="n">
        <f aca="false">IFERROR(IF(ISNUMBER(FK24),$C24*FK24,"n/a"),"n/a")</f>
        <v>0</v>
      </c>
      <c r="FM24" s="15"/>
      <c r="FO24" s="11" t="n">
        <f aca="false">IFERROR(ABS(F24),0)</f>
        <v>0</v>
      </c>
      <c r="FP24" s="11" t="n">
        <f aca="false">IFERROR(ABS(I24),0)</f>
        <v>0</v>
      </c>
      <c r="FQ24" s="11" t="n">
        <f aca="false">IFERROR(ABS(L24),0)</f>
        <v>0</v>
      </c>
      <c r="FR24" s="11" t="n">
        <f aca="false">IFERROR(ABS(O24),0)</f>
        <v>0</v>
      </c>
      <c r="FS24" s="11" t="n">
        <f aca="false">IFERROR(ABS(R24),0)</f>
        <v>0</v>
      </c>
      <c r="FT24" s="11" t="n">
        <f aca="false">IFERROR(ABS(U24),0)</f>
        <v>0</v>
      </c>
      <c r="FU24" s="11" t="n">
        <f aca="false">IFERROR(ABS(X24),0)</f>
        <v>0</v>
      </c>
      <c r="FV24" s="11" t="n">
        <f aca="false">IFERROR(ABS(AA24),0)</f>
        <v>0</v>
      </c>
      <c r="FW24" s="11" t="n">
        <f aca="false">IFERROR(ABS(AD24),0)</f>
        <v>0</v>
      </c>
      <c r="FX24" s="11" t="n">
        <f aca="false">IFERROR(ABS(AG24),0)</f>
        <v>0</v>
      </c>
      <c r="FY24" s="11" t="n">
        <f aca="false">IFERROR(ABS(AJ24),0)</f>
        <v>0</v>
      </c>
      <c r="FZ24" s="11" t="n">
        <f aca="false">IFERROR(ABS(AM24),0)</f>
        <v>0</v>
      </c>
      <c r="GA24" s="11" t="n">
        <f aca="false">IFERROR(ABS(AP24),0)</f>
        <v>0</v>
      </c>
      <c r="GB24" s="11" t="n">
        <f aca="false">IFERROR(ABS(AS24),0)</f>
        <v>0</v>
      </c>
      <c r="GC24" s="11" t="n">
        <f aca="false">IFERROR(ABS(AV24),0)</f>
        <v>0</v>
      </c>
      <c r="GD24" s="11" t="n">
        <f aca="false">IFERROR(ABS(AY24),0)</f>
        <v>0</v>
      </c>
      <c r="GE24" s="11" t="n">
        <f aca="false">IFERROR(ABS(BB24),0)</f>
        <v>0</v>
      </c>
      <c r="GF24" s="11" t="n">
        <f aca="false">IFERROR(ABS(BE24),0)</f>
        <v>0</v>
      </c>
      <c r="GG24" s="11" t="n">
        <f aca="false">IFERROR(ABS(BH24),0)</f>
        <v>0</v>
      </c>
      <c r="GH24" s="11" t="n">
        <f aca="false">IFERROR(ABS(BK24),0)</f>
        <v>0</v>
      </c>
      <c r="GI24" s="11" t="n">
        <f aca="false">IFERROR(ABS(BN24),0)</f>
        <v>0</v>
      </c>
      <c r="GJ24" s="11" t="n">
        <f aca="false">IFERROR(ABS(BQ24),0)</f>
        <v>0</v>
      </c>
      <c r="GK24" s="11" t="n">
        <f aca="false">IFERROR(ABS(BT24),0)</f>
        <v>0</v>
      </c>
      <c r="GL24" s="11" t="n">
        <f aca="false">IFERROR(ABS(BW24),0)</f>
        <v>0</v>
      </c>
      <c r="GM24" s="11" t="n">
        <f aca="false">IFERROR(ABS(BZ24),0)</f>
        <v>0</v>
      </c>
      <c r="GN24" s="11" t="n">
        <f aca="false">IFERROR(ABS(CC24),0)</f>
        <v>0.169021626852745</v>
      </c>
      <c r="GO24" s="11" t="n">
        <f aca="false">IFERROR(ABS(CF24),0)</f>
        <v>0.225362169136993</v>
      </c>
      <c r="GP24" s="11" t="n">
        <f aca="false">IFERROR(ABS(CI24),0)</f>
        <v>0.225362169136993</v>
      </c>
      <c r="GQ24" s="11" t="n">
        <f aca="false">IFERROR(ABS(CL24),0)</f>
        <v>0.071924096533083</v>
      </c>
      <c r="GR24" s="11" t="n">
        <f aca="false">IFERROR(ABS(CO24),0)</f>
        <v>0.071924096533083</v>
      </c>
      <c r="GS24" s="11" t="n">
        <f aca="false">IFERROR(ABS(CR24),0)</f>
        <v>0.071924096533083</v>
      </c>
      <c r="GT24" s="11" t="n">
        <f aca="false">IFERROR(ABS(CU24),0)</f>
        <v>0.071924096533083</v>
      </c>
      <c r="GU24" s="11" t="n">
        <f aca="false">IFERROR(ABS(CX24),0)</f>
        <v>0.071924096533083</v>
      </c>
      <c r="GV24" s="11" t="n">
        <f aca="false">IFERROR(ABS(DA24),0)</f>
        <v>0</v>
      </c>
      <c r="GW24" s="11" t="n">
        <f aca="false">IFERROR(ABS(DD24),0)</f>
        <v>0</v>
      </c>
      <c r="GX24" s="11" t="n">
        <f aca="false">IFERROR(ABS(DG24),0)</f>
        <v>0</v>
      </c>
      <c r="GY24" s="11" t="n">
        <f aca="false">IFERROR(ABS(DJ24),0)</f>
        <v>0</v>
      </c>
      <c r="GZ24" s="11" t="n">
        <f aca="false">IFERROR(ABS(DM24),0)</f>
        <v>0</v>
      </c>
      <c r="HA24" s="11" t="n">
        <f aca="false">IFERROR(ABS(DP24),0)</f>
        <v>0</v>
      </c>
      <c r="HB24" s="11" t="n">
        <f aca="false">IFERROR(ABS(DS24),0)</f>
        <v>0</v>
      </c>
      <c r="HC24" s="11" t="n">
        <f aca="false">IFERROR(ABS(DV24),0)</f>
        <v>0</v>
      </c>
      <c r="HD24" s="11" t="n">
        <f aca="false">IFERROR(ABS(DY24),0)</f>
        <v>0</v>
      </c>
      <c r="HE24" s="11" t="n">
        <f aca="false">IFERROR(ABS(EB24),0)</f>
        <v>0</v>
      </c>
      <c r="HF24" s="11" t="n">
        <f aca="false">IFERROR(ABS(EE24),0)</f>
        <v>0</v>
      </c>
      <c r="HG24" s="11" t="n">
        <f aca="false">IFERROR(ABS(EH24),0)</f>
        <v>0</v>
      </c>
      <c r="HH24" s="11" t="n">
        <f aca="false">IFERROR(ABS(EK24),0)</f>
        <v>0</v>
      </c>
      <c r="HI24" s="11" t="n">
        <f aca="false">IFERROR(ABS(EN24),0)</f>
        <v>0</v>
      </c>
      <c r="HJ24" s="11" t="n">
        <f aca="false">IFERROR(ABS(EQ24),0)</f>
        <v>0</v>
      </c>
      <c r="HK24" s="11" t="n">
        <f aca="false">IFERROR(ABS(ET24),0)</f>
        <v>0</v>
      </c>
      <c r="HL24" s="11" t="n">
        <f aca="false">IFERROR(ABS(EW24),0)</f>
        <v>0</v>
      </c>
      <c r="HM24" s="11" t="n">
        <f aca="false">IFERROR(ABS(EZ24),0)</f>
        <v>0</v>
      </c>
      <c r="HN24" s="11" t="n">
        <f aca="false">IFERROR(ABS(FC24),0)</f>
        <v>0</v>
      </c>
      <c r="HO24" s="11" t="n">
        <f aca="false">IFERROR(ABS(FF24),0)</f>
        <v>0</v>
      </c>
      <c r="HP24" s="11" t="n">
        <f aca="false">IFERROR(ABS(FI24),0)</f>
        <v>0</v>
      </c>
      <c r="HQ24" s="11" t="n">
        <f aca="false">IFERROR(ABS(FL24),0)</f>
        <v>0</v>
      </c>
    </row>
    <row r="25" customFormat="false" ht="15" hidden="false" customHeight="false" outlineLevel="0" collapsed="false">
      <c r="A25" s="3" t="n">
        <v>20</v>
      </c>
      <c r="B25" s="3" t="s">
        <v>258</v>
      </c>
      <c r="C25" s="12" t="n">
        <f aca="false">'P0Q0 Dasar 2022'!F24</f>
        <v>0.0341776157179401</v>
      </c>
      <c r="D25" s="13" t="n">
        <f aca="false">IFERROR(AVERAGEIF('Pemetaan Variant'!$A$5:$A$32,$B25,'Pemetaan Variant'!$P$5:$P$32),"n/a")</f>
        <v>9000</v>
      </c>
      <c r="E25" s="14" t="n">
        <f aca="false">IFERROR(IF(ISNUMBER(D25),(D25-AVERAGEIF('Pemetaan Variant'!$A$5:$A$32,$B25,'Pemetaan Variant'!$D$5:$D$32))/AVERAGEIF('Pemetaan Variant'!$A$5:$A$32,$B25,'Pemetaan Variant'!$D$5:$D$32)*100,"n/a"),"n/a")</f>
        <v>0</v>
      </c>
      <c r="F25" s="4" t="n">
        <f aca="false">IFERROR(IF(ISNUMBER(E25),$C25*E25,"n/a"),"n/a")</f>
        <v>0</v>
      </c>
      <c r="G25" s="13" t="n">
        <f aca="false">IFERROR(AVERAGEIF('Pemetaan Variant'!$A$5:$A$32,$B25,'Pemetaan Variant'!$Q$5:$Q$32),"n/a")</f>
        <v>9000</v>
      </c>
      <c r="H25" s="14" t="n">
        <f aca="false">IFERROR(IF(ISNUMBER(G25),(G25-AVERAGEIF('Pemetaan Variant'!$A$5:$A$32,$B25,'Pemetaan Variant'!$D$5:$D$32))/AVERAGEIF('Pemetaan Variant'!$A$5:$A$32,$B25,'Pemetaan Variant'!$D$5:$D$32)*100,"n/a"),"n/a")</f>
        <v>0</v>
      </c>
      <c r="I25" s="4" t="n">
        <f aca="false">IFERROR(IF(ISNUMBER(H25),$C25*H25,"n/a"),"n/a")</f>
        <v>0</v>
      </c>
      <c r="J25" s="13" t="n">
        <f aca="false">IFERROR(AVERAGEIF('Pemetaan Variant'!$A$5:$A$32,$B25,'Pemetaan Variant'!$R$5:$R$32),"n/a")</f>
        <v>9000</v>
      </c>
      <c r="K25" s="14" t="n">
        <f aca="false">IFERROR(IF(ISNUMBER(J25),(J25-AVERAGEIF('Pemetaan Variant'!$A$5:$A$32,$B25,'Pemetaan Variant'!$D$5:$D$32))/AVERAGEIF('Pemetaan Variant'!$A$5:$A$32,$B25,'Pemetaan Variant'!$D$5:$D$32)*100,"n/a"),"n/a")</f>
        <v>0</v>
      </c>
      <c r="L25" s="4" t="n">
        <f aca="false">IFERROR(IF(ISNUMBER(K25),$C25*K25,"n/a"),"n/a")</f>
        <v>0</v>
      </c>
      <c r="M25" s="13" t="n">
        <f aca="false">IFERROR(AVERAGEIF('Pemetaan Variant'!$A$5:$A$32,$B25,'Pemetaan Variant'!$S$5:$S$32),"n/a")</f>
        <v>9000</v>
      </c>
      <c r="N25" s="14" t="n">
        <f aca="false">IFERROR(IF(ISNUMBER(M25),(M25-AVERAGEIF('Pemetaan Variant'!$A$5:$A$32,$B25,'Pemetaan Variant'!$D$5:$D$32))/AVERAGEIF('Pemetaan Variant'!$A$5:$A$32,$B25,'Pemetaan Variant'!$D$5:$D$32)*100,"n/a"),"n/a")</f>
        <v>0</v>
      </c>
      <c r="O25" s="4" t="n">
        <f aca="false">IFERROR(IF(ISNUMBER(N25),$C25*N25,"n/a"),"n/a")</f>
        <v>0</v>
      </c>
      <c r="P25" s="13" t="n">
        <f aca="false">IFERROR(AVERAGEIF('Pemetaan Variant'!$A$5:$A$32,$B25,'Pemetaan Variant'!$T$5:$T$32),"n/a")</f>
        <v>9000</v>
      </c>
      <c r="Q25" s="14" t="n">
        <f aca="false">IFERROR(IF(ISNUMBER(P25),(P25-AVERAGEIF('Pemetaan Variant'!$A$5:$A$32,$B25,'Pemetaan Variant'!$D$5:$D$32))/AVERAGEIF('Pemetaan Variant'!$A$5:$A$32,$B25,'Pemetaan Variant'!$D$5:$D$32)*100,"n/a"),"n/a")</f>
        <v>0</v>
      </c>
      <c r="R25" s="4" t="n">
        <f aca="false">IFERROR(IF(ISNUMBER(Q25),$C25*Q25,"n/a"),"n/a")</f>
        <v>0</v>
      </c>
      <c r="S25" s="13" t="n">
        <f aca="false">IFERROR(AVERAGEIF('Pemetaan Variant'!$A$5:$A$32,$B25,'Pemetaan Variant'!$U$5:$U$32),"n/a")</f>
        <v>9000</v>
      </c>
      <c r="T25" s="14" t="n">
        <f aca="false">IFERROR(IF(ISNUMBER(S25),(S25-AVERAGEIF('Pemetaan Variant'!$A$5:$A$32,$B25,'Pemetaan Variant'!$E$5:$E$32))/AVERAGEIF('Pemetaan Variant'!$A$5:$A$32,$B25,'Pemetaan Variant'!$E$5:$E$32)*100,"n/a"),"n/a")</f>
        <v>0</v>
      </c>
      <c r="U25" s="4" t="n">
        <f aca="false">IFERROR(IF(ISNUMBER(T25),$C25*T25,"n/a"),"n/a")</f>
        <v>0</v>
      </c>
      <c r="V25" s="13" t="n">
        <f aca="false">IFERROR(AVERAGEIF('Pemetaan Variant'!$A$5:$A$32,$B25,'Pemetaan Variant'!$V$5:$V$32),"n/a")</f>
        <v>9000</v>
      </c>
      <c r="W25" s="14" t="n">
        <f aca="false">IFERROR(IF(ISNUMBER(V25),(V25-AVERAGEIF('Pemetaan Variant'!$A$5:$A$32,$B25,'Pemetaan Variant'!$E$5:$E$32))/AVERAGEIF('Pemetaan Variant'!$A$5:$A$32,$B25,'Pemetaan Variant'!$E$5:$E$32)*100,"n/a"),"n/a")</f>
        <v>0</v>
      </c>
      <c r="X25" s="4" t="n">
        <f aca="false">IFERROR(IF(ISNUMBER(W25),$C25*W25,"n/a"),"n/a")</f>
        <v>0</v>
      </c>
      <c r="Y25" s="13" t="n">
        <f aca="false">IFERROR(AVERAGEIF('Pemetaan Variant'!$A$5:$A$32,$B25,'Pemetaan Variant'!$W$5:$W$32),"n/a")</f>
        <v>9000</v>
      </c>
      <c r="Z25" s="14" t="n">
        <f aca="false">IFERROR(IF(ISNUMBER(Y25),(Y25-AVERAGEIF('Pemetaan Variant'!$A$5:$A$32,$B25,'Pemetaan Variant'!$E$5:$E$32))/AVERAGEIF('Pemetaan Variant'!$A$5:$A$32,$B25,'Pemetaan Variant'!$E$5:$E$32)*100,"n/a"),"n/a")</f>
        <v>0</v>
      </c>
      <c r="AA25" s="4" t="n">
        <f aca="false">IFERROR(IF(ISNUMBER(Z25),$C25*Z25,"n/a"),"n/a")</f>
        <v>0</v>
      </c>
      <c r="AB25" s="13" t="n">
        <f aca="false">IFERROR(AVERAGEIF('Pemetaan Variant'!$A$5:$A$32,$B25,'Pemetaan Variant'!$X$5:$X$32),"n/a")</f>
        <v>9000</v>
      </c>
      <c r="AC25" s="14" t="n">
        <f aca="false">IFERROR(IF(ISNUMBER(AB25),(AB25-AVERAGEIF('Pemetaan Variant'!$A$5:$A$32,$B25,'Pemetaan Variant'!$E$5:$E$32))/AVERAGEIF('Pemetaan Variant'!$A$5:$A$32,$B25,'Pemetaan Variant'!$E$5:$E$32)*100,"n/a"),"n/a")</f>
        <v>0</v>
      </c>
      <c r="AD25" s="4" t="n">
        <f aca="false">IFERROR(IF(ISNUMBER(AC25),$C25*AC25,"n/a"),"n/a")</f>
        <v>0</v>
      </c>
      <c r="AE25" s="13" t="n">
        <f aca="false">IFERROR(AVERAGEIF('Pemetaan Variant'!$A$5:$A$32,$B25,'Pemetaan Variant'!$Y$5:$Y$32),"n/a")</f>
        <v>9000</v>
      </c>
      <c r="AF25" s="14" t="n">
        <f aca="false">IFERROR(IF(ISNUMBER(AE25),(AE25-AVERAGEIF('Pemetaan Variant'!$A$5:$A$32,$B25,'Pemetaan Variant'!$F$5:$F$32))/AVERAGEIF('Pemetaan Variant'!$A$5:$A$32,$B25,'Pemetaan Variant'!$F$5:$F$32)*100,"n/a"),"n/a")</f>
        <v>0</v>
      </c>
      <c r="AG25" s="4" t="n">
        <f aca="false">IFERROR(IF(ISNUMBER(AF25),$C25*AF25,"n/a"),"n/a")</f>
        <v>0</v>
      </c>
      <c r="AH25" s="13" t="n">
        <f aca="false">IFERROR(AVERAGEIF('Pemetaan Variant'!$A$5:$A$32,$B25,'Pemetaan Variant'!$Z$5:$Z$32),"n/a")</f>
        <v>9000</v>
      </c>
      <c r="AI25" s="14" t="n">
        <f aca="false">IFERROR(IF(ISNUMBER(AH25),(AH25-AVERAGEIF('Pemetaan Variant'!$A$5:$A$32,$B25,'Pemetaan Variant'!$F$5:$F$32))/AVERAGEIF('Pemetaan Variant'!$A$5:$A$32,$B25,'Pemetaan Variant'!$F$5:$F$32)*100,"n/a"),"n/a")</f>
        <v>0</v>
      </c>
      <c r="AJ25" s="4" t="n">
        <f aca="false">IFERROR(IF(ISNUMBER(AI25),$C25*AI25,"n/a"),"n/a")</f>
        <v>0</v>
      </c>
      <c r="AK25" s="13" t="n">
        <f aca="false">IFERROR(AVERAGEIF('Pemetaan Variant'!$A$5:$A$32,$B25,'Pemetaan Variant'!$AA$5:$AA$32),"n/a")</f>
        <v>9000</v>
      </c>
      <c r="AL25" s="14" t="n">
        <f aca="false">IFERROR(IF(ISNUMBER(AK25),(AK25-AVERAGEIF('Pemetaan Variant'!$A$5:$A$32,$B25,'Pemetaan Variant'!$F$5:$F$32))/AVERAGEIF('Pemetaan Variant'!$A$5:$A$32,$B25,'Pemetaan Variant'!$F$5:$F$32)*100,"n/a"),"n/a")</f>
        <v>0</v>
      </c>
      <c r="AM25" s="4" t="n">
        <f aca="false">IFERROR(IF(ISNUMBER(AL25),$C25*AL25,"n/a"),"n/a")</f>
        <v>0</v>
      </c>
      <c r="AN25" s="13" t="n">
        <f aca="false">IFERROR(AVERAGEIF('Pemetaan Variant'!$A$5:$A$32,$B25,'Pemetaan Variant'!$AB$5:$AB$32),"n/a")</f>
        <v>9000</v>
      </c>
      <c r="AO25" s="14" t="n">
        <f aca="false">IFERROR(IF(ISNUMBER(AN25),(AN25-AVERAGEIF('Pemetaan Variant'!$A$5:$A$32,$B25,'Pemetaan Variant'!$F$5:$F$32))/AVERAGEIF('Pemetaan Variant'!$A$5:$A$32,$B25,'Pemetaan Variant'!$F$5:$F$32)*100,"n/a"),"n/a")</f>
        <v>0</v>
      </c>
      <c r="AP25" s="4" t="n">
        <f aca="false">IFERROR(IF(ISNUMBER(AO25),$C25*AO25,"n/a"),"n/a")</f>
        <v>0</v>
      </c>
      <c r="AQ25" s="13" t="str">
        <f aca="false">IFERROR(AVERAGEIF('Pemetaan Variant'!$A$5:$A$32,$B25,'Pemetaan Variant'!$AC$5:$AC$32),"n/a")</f>
        <v>n/a</v>
      </c>
      <c r="AR25" s="14" t="str">
        <f aca="false">IFERROR(IF(ISNUMBER(AQ25),(AQ25-AVERAGEIF('Pemetaan Variant'!$A$5:$A$32,$B25,'Pemetaan Variant'!$F$5:$F$32))/AVERAGEIF('Pemetaan Variant'!$A$5:$A$32,$B25,'Pemetaan Variant'!$F$5:$F$32)*100,"n/a"),"n/a")</f>
        <v>n/a</v>
      </c>
      <c r="AS25" s="4" t="str">
        <f aca="false">IFERROR(IF(ISNUMBER(AR25),$C25*AR25,"n/a"),"n/a")</f>
        <v>n/a</v>
      </c>
      <c r="AT25" s="13" t="str">
        <f aca="false">IFERROR(AVERAGEIF('Pemetaan Variant'!$A$5:$A$32,$B25,'Pemetaan Variant'!$AD$5:$AD$32),"n/a")</f>
        <v>n/a</v>
      </c>
      <c r="AU25" s="14" t="str">
        <f aca="false">IFERROR(IF(ISNUMBER(AT25),(AT25-AVERAGEIF('Pemetaan Variant'!$A$5:$A$32,$B25,'Pemetaan Variant'!$G$5:$G$32))/AVERAGEIF('Pemetaan Variant'!$A$5:$A$32,$B25,'Pemetaan Variant'!$G$5:$G$32)*100,"n/a"),"n/a")</f>
        <v>n/a</v>
      </c>
      <c r="AV25" s="4" t="str">
        <f aca="false">IFERROR(IF(ISNUMBER(AU25),$C25*AU25,"n/a"),"n/a")</f>
        <v>n/a</v>
      </c>
      <c r="AW25" s="13" t="n">
        <f aca="false">IFERROR(AVERAGEIF('Pemetaan Variant'!$A$5:$A$32,$B25,'Pemetaan Variant'!$AE$5:$AE$32),"n/a")</f>
        <v>9000</v>
      </c>
      <c r="AX25" s="14" t="n">
        <f aca="false">IFERROR(IF(ISNUMBER(AW25),(AW25-AVERAGEIF('Pemetaan Variant'!$A$5:$A$32,$B25,'Pemetaan Variant'!$G$5:$G$32))/AVERAGEIF('Pemetaan Variant'!$A$5:$A$32,$B25,'Pemetaan Variant'!$G$5:$G$32)*100,"n/a"),"n/a")</f>
        <v>0</v>
      </c>
      <c r="AY25" s="4" t="n">
        <f aca="false">IFERROR(IF(ISNUMBER(AX25),$C25*AX25,"n/a"),"n/a")</f>
        <v>0</v>
      </c>
      <c r="AZ25" s="13" t="n">
        <f aca="false">IFERROR(AVERAGEIF('Pemetaan Variant'!$A$5:$A$32,$B25,'Pemetaan Variant'!$AF$5:$AF$32),"n/a")</f>
        <v>9000</v>
      </c>
      <c r="BA25" s="14" t="n">
        <f aca="false">IFERROR(IF(ISNUMBER(AZ25),(AZ25-AVERAGEIF('Pemetaan Variant'!$A$5:$A$32,$B25,'Pemetaan Variant'!$G$5:$G$32))/AVERAGEIF('Pemetaan Variant'!$A$5:$A$32,$B25,'Pemetaan Variant'!$G$5:$G$32)*100,"n/a"),"n/a")</f>
        <v>0</v>
      </c>
      <c r="BB25" s="4" t="n">
        <f aca="false">IFERROR(IF(ISNUMBER(BA25),$C25*BA25,"n/a"),"n/a")</f>
        <v>0</v>
      </c>
      <c r="BC25" s="13" t="n">
        <f aca="false">IFERROR(AVERAGEIF('Pemetaan Variant'!$A$5:$A$32,$B25,'Pemetaan Variant'!$AG$5:$AG$32),"n/a")</f>
        <v>9000</v>
      </c>
      <c r="BD25" s="14" t="n">
        <f aca="false">IFERROR(IF(ISNUMBER(BC25),(BC25-AVERAGEIF('Pemetaan Variant'!$A$5:$A$32,$B25,'Pemetaan Variant'!$G$5:$G$32))/AVERAGEIF('Pemetaan Variant'!$A$5:$A$32,$B25,'Pemetaan Variant'!$G$5:$G$32)*100,"n/a"),"n/a")</f>
        <v>0</v>
      </c>
      <c r="BE25" s="4" t="n">
        <f aca="false">IFERROR(IF(ISNUMBER(BD25),$C25*BD25,"n/a"),"n/a")</f>
        <v>0</v>
      </c>
      <c r="BF25" s="13" t="n">
        <f aca="false">IFERROR(AVERAGEIF('Pemetaan Variant'!$A$5:$A$32,$B25,'Pemetaan Variant'!$AH$5:$AH$32),"n/a")</f>
        <v>9000</v>
      </c>
      <c r="BG25" s="14" t="n">
        <f aca="false">IFERROR(IF(ISNUMBER(BF25),(BF25-AVERAGEIF('Pemetaan Variant'!$A$5:$A$32,$B25,'Pemetaan Variant'!$G$5:$G$32))/AVERAGEIF('Pemetaan Variant'!$A$5:$A$32,$B25,'Pemetaan Variant'!$G$5:$G$32)*100,"n/a"),"n/a")</f>
        <v>0</v>
      </c>
      <c r="BH25" s="4" t="n">
        <f aca="false">IFERROR(IF(ISNUMBER(BG25),$C25*BG25,"n/a"),"n/a")</f>
        <v>0</v>
      </c>
      <c r="BI25" s="13" t="n">
        <f aca="false">IFERROR(AVERAGEIF('Pemetaan Variant'!$A$5:$A$32,$B25,'Pemetaan Variant'!$AI$5:$AI$32),"n/a")</f>
        <v>9000</v>
      </c>
      <c r="BJ25" s="14" t="n">
        <f aca="false">IFERROR(IF(ISNUMBER(BI25),(BI25-AVERAGEIF('Pemetaan Variant'!$A$5:$A$32,$B25,'Pemetaan Variant'!$H$5:$H$32))/AVERAGEIF('Pemetaan Variant'!$A$5:$A$32,$B25,'Pemetaan Variant'!$H$5:$H$32)*100,"n/a"),"n/a")</f>
        <v>0</v>
      </c>
      <c r="BK25" s="4" t="n">
        <f aca="false">IFERROR(IF(ISNUMBER(BJ25),$C25*BJ25,"n/a"),"n/a")</f>
        <v>0</v>
      </c>
      <c r="BL25" s="13" t="n">
        <f aca="false">IFERROR(AVERAGEIF('Pemetaan Variant'!$A$5:$A$32,$B25,'Pemetaan Variant'!$AJ$5:$AJ$32),"n/a")</f>
        <v>9000</v>
      </c>
      <c r="BM25" s="14" t="n">
        <f aca="false">IFERROR(IF(ISNUMBER(BL25),(BL25-AVERAGEIF('Pemetaan Variant'!$A$5:$A$32,$B25,'Pemetaan Variant'!$H$5:$H$32))/AVERAGEIF('Pemetaan Variant'!$A$5:$A$32,$B25,'Pemetaan Variant'!$H$5:$H$32)*100,"n/a"),"n/a")</f>
        <v>0</v>
      </c>
      <c r="BN25" s="4" t="n">
        <f aca="false">IFERROR(IF(ISNUMBER(BM25),$C25*BM25,"n/a"),"n/a")</f>
        <v>0</v>
      </c>
      <c r="BO25" s="13" t="n">
        <f aca="false">IFERROR(AVERAGEIF('Pemetaan Variant'!$A$5:$A$32,$B25,'Pemetaan Variant'!$AK$5:$AK$32),"n/a")</f>
        <v>9000</v>
      </c>
      <c r="BP25" s="14" t="n">
        <f aca="false">IFERROR(IF(ISNUMBER(BO25),(BO25-AVERAGEIF('Pemetaan Variant'!$A$5:$A$32,$B25,'Pemetaan Variant'!$H$5:$H$32))/AVERAGEIF('Pemetaan Variant'!$A$5:$A$32,$B25,'Pemetaan Variant'!$H$5:$H$32)*100,"n/a"),"n/a")</f>
        <v>0</v>
      </c>
      <c r="BQ25" s="4" t="n">
        <f aca="false">IFERROR(IF(ISNUMBER(BP25),$C25*BP25,"n/a"),"n/a")</f>
        <v>0</v>
      </c>
      <c r="BR25" s="13" t="n">
        <f aca="false">IFERROR(AVERAGEIF('Pemetaan Variant'!$A$5:$A$32,$B25,'Pemetaan Variant'!$AL$5:$AL$32),"n/a")</f>
        <v>9000</v>
      </c>
      <c r="BS25" s="14" t="n">
        <f aca="false">IFERROR(IF(ISNUMBER(BR25),(BR25-AVERAGEIF('Pemetaan Variant'!$A$5:$A$32,$B25,'Pemetaan Variant'!$H$5:$H$32))/AVERAGEIF('Pemetaan Variant'!$A$5:$A$32,$B25,'Pemetaan Variant'!$H$5:$H$32)*100,"n/a"),"n/a")</f>
        <v>0</v>
      </c>
      <c r="BT25" s="4" t="n">
        <f aca="false">IFERROR(IF(ISNUMBER(BS25),$C25*BS25,"n/a"),"n/a")</f>
        <v>0</v>
      </c>
      <c r="BU25" s="13" t="n">
        <f aca="false">IFERROR(AVERAGEIF('Pemetaan Variant'!$A$5:$A$32,$B25,'Pemetaan Variant'!$AM$5:$AM$32),"n/a")</f>
        <v>9000</v>
      </c>
      <c r="BV25" s="14" t="n">
        <f aca="false">IFERROR(IF(ISNUMBER(BU25),(BU25-AVERAGEIF('Pemetaan Variant'!$A$5:$A$32,$B25,'Pemetaan Variant'!$H$5:$H$32))/AVERAGEIF('Pemetaan Variant'!$A$5:$A$32,$B25,'Pemetaan Variant'!$H$5:$H$32)*100,"n/a"),"n/a")</f>
        <v>0</v>
      </c>
      <c r="BW25" s="4" t="n">
        <f aca="false">IFERROR(IF(ISNUMBER(BV25),$C25*BV25,"n/a"),"n/a")</f>
        <v>0</v>
      </c>
      <c r="BX25" s="13" t="n">
        <f aca="false">IFERROR(AVERAGEIF('Pemetaan Variant'!$A$5:$A$32,$B25,'Pemetaan Variant'!$AN$5:$AN$32),"n/a")</f>
        <v>9000</v>
      </c>
      <c r="BY25" s="14" t="n">
        <f aca="false">IFERROR(IF(ISNUMBER(BX25),(BX25-AVERAGEIF('Pemetaan Variant'!$A$5:$A$32,$B25,'Pemetaan Variant'!$I$5:$I$32))/AVERAGEIF('Pemetaan Variant'!$A$5:$A$32,$B25,'Pemetaan Variant'!$I$5:$I$32)*100,"n/a"),"n/a")</f>
        <v>0</v>
      </c>
      <c r="BZ25" s="4" t="n">
        <f aca="false">IFERROR(IF(ISNUMBER(BY25),$C25*BY25,"n/a"),"n/a")</f>
        <v>0</v>
      </c>
      <c r="CA25" s="13" t="n">
        <f aca="false">IFERROR(AVERAGEIF('Pemetaan Variant'!$A$5:$A$32,$B25,'Pemetaan Variant'!$AO$5:$AO$32),"n/a")</f>
        <v>9000</v>
      </c>
      <c r="CB25" s="14" t="n">
        <f aca="false">IFERROR(IF(ISNUMBER(CA25),(CA25-AVERAGEIF('Pemetaan Variant'!$A$5:$A$32,$B25,'Pemetaan Variant'!$I$5:$I$32))/AVERAGEIF('Pemetaan Variant'!$A$5:$A$32,$B25,'Pemetaan Variant'!$I$5:$I$32)*100,"n/a"),"n/a")</f>
        <v>0</v>
      </c>
      <c r="CC25" s="4" t="n">
        <f aca="false">IFERROR(IF(ISNUMBER(CB25),$C25*CB25,"n/a"),"n/a")</f>
        <v>0</v>
      </c>
      <c r="CD25" s="13" t="n">
        <f aca="false">IFERROR(AVERAGEIF('Pemetaan Variant'!$A$5:$A$32,$B25,'Pemetaan Variant'!$AP$5:$AP$32),"n/a")</f>
        <v>9000</v>
      </c>
      <c r="CE25" s="14" t="n">
        <f aca="false">IFERROR(IF(ISNUMBER(CD25),(CD25-AVERAGEIF('Pemetaan Variant'!$A$5:$A$32,$B25,'Pemetaan Variant'!$I$5:$I$32))/AVERAGEIF('Pemetaan Variant'!$A$5:$A$32,$B25,'Pemetaan Variant'!$I$5:$I$32)*100,"n/a"),"n/a")</f>
        <v>0</v>
      </c>
      <c r="CF25" s="4" t="n">
        <f aca="false">IFERROR(IF(ISNUMBER(CE25),$C25*CE25,"n/a"),"n/a")</f>
        <v>0</v>
      </c>
      <c r="CG25" s="13" t="n">
        <f aca="false">IFERROR(AVERAGEIF('Pemetaan Variant'!$A$5:$A$32,$B25,'Pemetaan Variant'!$AQ$5:$AQ$32),"n/a")</f>
        <v>9000</v>
      </c>
      <c r="CH25" s="14" t="n">
        <f aca="false">IFERROR(IF(ISNUMBER(CG25),(CG25-AVERAGEIF('Pemetaan Variant'!$A$5:$A$32,$B25,'Pemetaan Variant'!$I$5:$I$32))/AVERAGEIF('Pemetaan Variant'!$A$5:$A$32,$B25,'Pemetaan Variant'!$I$5:$I$32)*100,"n/a"),"n/a")</f>
        <v>0</v>
      </c>
      <c r="CI25" s="4" t="n">
        <f aca="false">IFERROR(IF(ISNUMBER(CH25),$C25*CH25,"n/a"),"n/a")</f>
        <v>0</v>
      </c>
      <c r="CJ25" s="13" t="n">
        <f aca="false">IFERROR(AVERAGEIF('Pemetaan Variant'!$A$5:$A$32,$B25,'Pemetaan Variant'!$AR$5:$AR$32),"n/a")</f>
        <v>9000</v>
      </c>
      <c r="CK25" s="14" t="n">
        <f aca="false">IFERROR(IF(ISNUMBER(CJ25),(CJ25-AVERAGEIF('Pemetaan Variant'!$A$5:$A$32,$B25,'Pemetaan Variant'!$J$5:$J$32))/AVERAGEIF('Pemetaan Variant'!$A$5:$A$32,$B25,'Pemetaan Variant'!$J$5:$J$32)*100,"n/a"),"n/a")</f>
        <v>0</v>
      </c>
      <c r="CL25" s="4" t="n">
        <f aca="false">IFERROR(IF(ISNUMBER(CK25),$C25*CK25,"n/a"),"n/a")</f>
        <v>0</v>
      </c>
      <c r="CM25" s="13" t="n">
        <f aca="false">IFERROR(AVERAGEIF('Pemetaan Variant'!$A$5:$A$32,$B25,'Pemetaan Variant'!$AS$5:$AS$32),"n/a")</f>
        <v>9000</v>
      </c>
      <c r="CN25" s="14" t="n">
        <f aca="false">IFERROR(IF(ISNUMBER(CM25),(CM25-AVERAGEIF('Pemetaan Variant'!$A$5:$A$32,$B25,'Pemetaan Variant'!$J$5:$J$32))/AVERAGEIF('Pemetaan Variant'!$A$5:$A$32,$B25,'Pemetaan Variant'!$J$5:$J$32)*100,"n/a"),"n/a")</f>
        <v>0</v>
      </c>
      <c r="CO25" s="4" t="n">
        <f aca="false">IFERROR(IF(ISNUMBER(CN25),$C25*CN25,"n/a"),"n/a")</f>
        <v>0</v>
      </c>
      <c r="CP25" s="13" t="n">
        <f aca="false">IFERROR(AVERAGEIF('Pemetaan Variant'!$A$5:$A$32,$B25,'Pemetaan Variant'!$AT$5:$AT$32),"n/a")</f>
        <v>9000</v>
      </c>
      <c r="CQ25" s="14" t="n">
        <f aca="false">IFERROR(IF(ISNUMBER(CP25),(CP25-AVERAGEIF('Pemetaan Variant'!$A$5:$A$32,$B25,'Pemetaan Variant'!$J$5:$J$32))/AVERAGEIF('Pemetaan Variant'!$A$5:$A$32,$B25,'Pemetaan Variant'!$J$5:$J$32)*100,"n/a"),"n/a")</f>
        <v>0</v>
      </c>
      <c r="CR25" s="4" t="n">
        <f aca="false">IFERROR(IF(ISNUMBER(CQ25),$C25*CQ25,"n/a"),"n/a")</f>
        <v>0</v>
      </c>
      <c r="CS25" s="13" t="n">
        <f aca="false">IFERROR(AVERAGEIF('Pemetaan Variant'!$A$5:$A$32,$B25,'Pemetaan Variant'!$AU$5:$AU$32),"n/a")</f>
        <v>9000</v>
      </c>
      <c r="CT25" s="14" t="n">
        <f aca="false">IFERROR(IF(ISNUMBER(CS25),(CS25-AVERAGEIF('Pemetaan Variant'!$A$5:$A$32,$B25,'Pemetaan Variant'!$J$5:$J$32))/AVERAGEIF('Pemetaan Variant'!$A$5:$A$32,$B25,'Pemetaan Variant'!$J$5:$J$32)*100,"n/a"),"n/a")</f>
        <v>0</v>
      </c>
      <c r="CU25" s="4" t="n">
        <f aca="false">IFERROR(IF(ISNUMBER(CT25),$C25*CT25,"n/a"),"n/a")</f>
        <v>0</v>
      </c>
      <c r="CV25" s="13" t="n">
        <f aca="false">IFERROR(AVERAGEIF('Pemetaan Variant'!$A$5:$A$32,$B25,'Pemetaan Variant'!$AV$5:$AV$32),"n/a")</f>
        <v>9000</v>
      </c>
      <c r="CW25" s="14" t="n">
        <f aca="false">IFERROR(IF(ISNUMBER(CV25),(CV25-AVERAGEIF('Pemetaan Variant'!$A$5:$A$32,$B25,'Pemetaan Variant'!$J$5:$J$32))/AVERAGEIF('Pemetaan Variant'!$A$5:$A$32,$B25,'Pemetaan Variant'!$J$5:$J$32)*100,"n/a"),"n/a")</f>
        <v>0</v>
      </c>
      <c r="CX25" s="4" t="n">
        <f aca="false">IFERROR(IF(ISNUMBER(CW25),$C25*CW25,"n/a"),"n/a")</f>
        <v>0</v>
      </c>
      <c r="CY25" s="13" t="n">
        <f aca="false">IFERROR(AVERAGEIF('Pemetaan Variant'!$A$5:$A$32,$B25,'Pemetaan Variant'!$AW$5:$AW$32),"n/a")</f>
        <v>8200</v>
      </c>
      <c r="CZ25" s="14" t="n">
        <f aca="false">IFERROR(IF(ISNUMBER(CY25),(CY25-AVERAGEIF('Pemetaan Variant'!$A$5:$A$32,$B25,'Pemetaan Variant'!$K$5:$K$32))/AVERAGEIF('Pemetaan Variant'!$A$5:$A$32,$B25,'Pemetaan Variant'!$K$5:$K$32)*100,"n/a"),"n/a")</f>
        <v>-8.88888888888889</v>
      </c>
      <c r="DA25" s="4" t="n">
        <f aca="false">IFERROR(IF(ISNUMBER(CZ25),$C25*CZ25,"n/a"),"n/a")</f>
        <v>-0.303801028603912</v>
      </c>
      <c r="DB25" s="13" t="n">
        <f aca="false">IFERROR(AVERAGEIF('Pemetaan Variant'!$A$5:$A$32,$B25,'Pemetaan Variant'!$AX$5:$AX$32),"n/a")</f>
        <v>8000</v>
      </c>
      <c r="DC25" s="14" t="n">
        <f aca="false">IFERROR(IF(ISNUMBER(DB25),(DB25-AVERAGEIF('Pemetaan Variant'!$A$5:$A$32,$B25,'Pemetaan Variant'!$K$5:$K$32))/AVERAGEIF('Pemetaan Variant'!$A$5:$A$32,$B25,'Pemetaan Variant'!$K$5:$K$32)*100,"n/a"),"n/a")</f>
        <v>-11.1111111111111</v>
      </c>
      <c r="DD25" s="4" t="n">
        <f aca="false">IFERROR(IF(ISNUMBER(DC25),$C25*DC25,"n/a"),"n/a")</f>
        <v>-0.37975128575489</v>
      </c>
      <c r="DE25" s="13" t="n">
        <f aca="false">IFERROR(AVERAGEIF('Pemetaan Variant'!$A$5:$A$32,$B25,'Pemetaan Variant'!$AY$5:$AY$32),"n/a")</f>
        <v>8000</v>
      </c>
      <c r="DF25" s="14" t="n">
        <f aca="false">IFERROR(IF(ISNUMBER(DE25),(DE25-AVERAGEIF('Pemetaan Variant'!$A$5:$A$32,$B25,'Pemetaan Variant'!$K$5:$K$32))/AVERAGEIF('Pemetaan Variant'!$A$5:$A$32,$B25,'Pemetaan Variant'!$K$5:$K$32)*100,"n/a"),"n/a")</f>
        <v>-11.1111111111111</v>
      </c>
      <c r="DG25" s="4" t="n">
        <f aca="false">IFERROR(IF(ISNUMBER(DF25),$C25*DF25,"n/a"),"n/a")</f>
        <v>-0.37975128575489</v>
      </c>
      <c r="DH25" s="13" t="n">
        <f aca="false">IFERROR(AVERAGEIF('Pemetaan Variant'!$A$5:$A$32,$B25,'Pemetaan Variant'!$AZ$5:$AZ$32),"n/a")</f>
        <v>8000</v>
      </c>
      <c r="DI25" s="14" t="n">
        <f aca="false">IFERROR(IF(ISNUMBER(DH25),(DH25-AVERAGEIF('Pemetaan Variant'!$A$5:$A$32,$B25,'Pemetaan Variant'!$K$5:$K$32))/AVERAGEIF('Pemetaan Variant'!$A$5:$A$32,$B25,'Pemetaan Variant'!$K$5:$K$32)*100,"n/a"),"n/a")</f>
        <v>-11.1111111111111</v>
      </c>
      <c r="DJ25" s="4" t="n">
        <f aca="false">IFERROR(IF(ISNUMBER(DI25),$C25*DI25,"n/a"),"n/a")</f>
        <v>-0.37975128575489</v>
      </c>
      <c r="DK25" s="13" t="n">
        <f aca="false">IFERROR(AVERAGEIF('Pemetaan Variant'!$A$5:$A$32,$B25,'Pemetaan Variant'!$BA$5:$BA$32),"n/a")</f>
        <v>8000</v>
      </c>
      <c r="DL25" s="14" t="n">
        <f aca="false">IFERROR(IF(ISNUMBER(DK25),(DK25-AVERAGEIF('Pemetaan Variant'!$A$5:$A$32,$B25,'Pemetaan Variant'!$L$5:$L$32))/AVERAGEIF('Pemetaan Variant'!$A$5:$A$32,$B25,'Pemetaan Variant'!$L$5:$L$32)*100,"n/a"),"n/a")</f>
        <v>-0.653594771241829</v>
      </c>
      <c r="DM25" s="4" t="n">
        <f aca="false">IFERROR(IF(ISNUMBER(DL25),$C25*DL25,"n/a"),"n/a")</f>
        <v>-0.0223383109267582</v>
      </c>
      <c r="DN25" s="13" t="n">
        <f aca="false">IFERROR(AVERAGEIF('Pemetaan Variant'!$A$5:$A$32,$B25,'Pemetaan Variant'!$BB$5:$BB$32),"n/a")</f>
        <v>8000</v>
      </c>
      <c r="DO25" s="14" t="n">
        <f aca="false">IFERROR(IF(ISNUMBER(DN25),(DN25-AVERAGEIF('Pemetaan Variant'!$A$5:$A$32,$B25,'Pemetaan Variant'!$L$5:$L$32))/AVERAGEIF('Pemetaan Variant'!$A$5:$A$32,$B25,'Pemetaan Variant'!$L$5:$L$32)*100,"n/a"),"n/a")</f>
        <v>-0.653594771241829</v>
      </c>
      <c r="DP25" s="4" t="n">
        <f aca="false">IFERROR(IF(ISNUMBER(DO25),$C25*DO25,"n/a"),"n/a")</f>
        <v>-0.0223383109267582</v>
      </c>
      <c r="DQ25" s="13" t="n">
        <f aca="false">IFERROR(AVERAGEIF('Pemetaan Variant'!$A$5:$A$32,$B25,'Pemetaan Variant'!$BC$5:$BC$32),"n/a")</f>
        <v>8000</v>
      </c>
      <c r="DR25" s="14" t="n">
        <f aca="false">IFERROR(IF(ISNUMBER(DQ25),(DQ25-AVERAGEIF('Pemetaan Variant'!$A$5:$A$32,$B25,'Pemetaan Variant'!$L$5:$L$32))/AVERAGEIF('Pemetaan Variant'!$A$5:$A$32,$B25,'Pemetaan Variant'!$L$5:$L$32)*100,"n/a"),"n/a")</f>
        <v>-0.653594771241829</v>
      </c>
      <c r="DS25" s="4" t="n">
        <f aca="false">IFERROR(IF(ISNUMBER(DR25),$C25*DR25,"n/a"),"n/a")</f>
        <v>-0.0223383109267582</v>
      </c>
      <c r="DT25" s="13" t="n">
        <f aca="false">IFERROR(AVERAGEIF('Pemetaan Variant'!$A$5:$A$32,$B25,'Pemetaan Variant'!$BD$5:$BD$32),"n/a")</f>
        <v>8000</v>
      </c>
      <c r="DU25" s="14" t="n">
        <f aca="false">IFERROR(IF(ISNUMBER(DT25),(DT25-AVERAGEIF('Pemetaan Variant'!$A$5:$A$32,$B25,'Pemetaan Variant'!$L$5:$L$32))/AVERAGEIF('Pemetaan Variant'!$A$5:$A$32,$B25,'Pemetaan Variant'!$L$5:$L$32)*100,"n/a"),"n/a")</f>
        <v>-0.653594771241829</v>
      </c>
      <c r="DV25" s="4" t="n">
        <f aca="false">IFERROR(IF(ISNUMBER(DU25),$C25*DU25,"n/a"),"n/a")</f>
        <v>-0.0223383109267582</v>
      </c>
      <c r="DW25" s="13" t="n">
        <f aca="false">IFERROR(AVERAGEIF('Pemetaan Variant'!$A$5:$A$32,$B25,'Pemetaan Variant'!$BE$5:$BE$32),"n/a")</f>
        <v>8000</v>
      </c>
      <c r="DX25" s="14" t="n">
        <f aca="false">IFERROR(IF(ISNUMBER(DW25),(DW25-AVERAGEIF('Pemetaan Variant'!$A$5:$A$32,$B25,'Pemetaan Variant'!$M$5:$M$32))/AVERAGEIF('Pemetaan Variant'!$A$5:$A$32,$B25,'Pemetaan Variant'!$M$5:$M$32)*100,"n/a"),"n/a")</f>
        <v>0</v>
      </c>
      <c r="DY25" s="4" t="n">
        <f aca="false">IFERROR(IF(ISNUMBER(DX25),$C25*DX25,"n/a"),"n/a")</f>
        <v>0</v>
      </c>
      <c r="DZ25" s="13" t="n">
        <f aca="false">IFERROR(AVERAGEIF('Pemetaan Variant'!$A$5:$A$32,$B25,'Pemetaan Variant'!$BF$5:$BF$32),"n/a")</f>
        <v>8000</v>
      </c>
      <c r="EA25" s="14" t="n">
        <f aca="false">IFERROR(IF(ISNUMBER(DZ25),(DZ25-AVERAGEIF('Pemetaan Variant'!$A$5:$A$32,$B25,'Pemetaan Variant'!$M$5:$M$32))/AVERAGEIF('Pemetaan Variant'!$A$5:$A$32,$B25,'Pemetaan Variant'!$M$5:$M$32)*100,"n/a"),"n/a")</f>
        <v>0</v>
      </c>
      <c r="EB25" s="4" t="n">
        <f aca="false">IFERROR(IF(ISNUMBER(EA25),$C25*EA25,"n/a"),"n/a")</f>
        <v>0</v>
      </c>
      <c r="EC25" s="13" t="n">
        <f aca="false">IFERROR(AVERAGEIF('Pemetaan Variant'!$A$5:$A$32,$B25,'Pemetaan Variant'!$BG$5:$BG$32),"n/a")</f>
        <v>8000</v>
      </c>
      <c r="ED25" s="14" t="n">
        <f aca="false">IFERROR(IF(ISNUMBER(EC25),(EC25-AVERAGEIF('Pemetaan Variant'!$A$5:$A$32,$B25,'Pemetaan Variant'!$M$5:$M$32))/AVERAGEIF('Pemetaan Variant'!$A$5:$A$32,$B25,'Pemetaan Variant'!$M$5:$M$32)*100,"n/a"),"n/a")</f>
        <v>0</v>
      </c>
      <c r="EE25" s="4" t="n">
        <f aca="false">IFERROR(IF(ISNUMBER(ED25),$C25*ED25,"n/a"),"n/a")</f>
        <v>0</v>
      </c>
      <c r="EF25" s="13" t="n">
        <f aca="false">IFERROR(AVERAGEIF('Pemetaan Variant'!$A$5:$A$32,$B25,'Pemetaan Variant'!$BH$5:$BH$32),"n/a")</f>
        <v>8000</v>
      </c>
      <c r="EG25" s="14" t="n">
        <f aca="false">IFERROR(IF(ISNUMBER(EF25),(EF25-AVERAGEIF('Pemetaan Variant'!$A$5:$A$32,$B25,'Pemetaan Variant'!$M$5:$M$32))/AVERAGEIF('Pemetaan Variant'!$A$5:$A$32,$B25,'Pemetaan Variant'!$M$5:$M$32)*100,"n/a"),"n/a")</f>
        <v>0</v>
      </c>
      <c r="EH25" s="4" t="n">
        <f aca="false">IFERROR(IF(ISNUMBER(EG25),$C25*EG25,"n/a"),"n/a")</f>
        <v>0</v>
      </c>
      <c r="EI25" s="13" t="n">
        <f aca="false">IFERROR(AVERAGEIF('Pemetaan Variant'!$A$5:$A$32,$B25,'Pemetaan Variant'!$BI$5:$BI$32),"n/a")</f>
        <v>8000</v>
      </c>
      <c r="EJ25" s="14" t="n">
        <f aca="false">IFERROR(IF(ISNUMBER(EI25),(EI25-AVERAGEIF('Pemetaan Variant'!$A$5:$A$32,$B25,'Pemetaan Variant'!$M$5:$M$32))/AVERAGEIF('Pemetaan Variant'!$A$5:$A$32,$B25,'Pemetaan Variant'!$M$5:$M$32)*100,"n/a"),"n/a")</f>
        <v>0</v>
      </c>
      <c r="EK25" s="4" t="n">
        <f aca="false">IFERROR(IF(ISNUMBER(EJ25),$C25*EJ25,"n/a"),"n/a")</f>
        <v>0</v>
      </c>
      <c r="EL25" s="13" t="n">
        <f aca="false">IFERROR(AVERAGEIF('Pemetaan Variant'!$A$5:$A$32,$B25,'Pemetaan Variant'!$BJ$5:$BJ$32),"n/a")</f>
        <v>8000</v>
      </c>
      <c r="EM25" s="14" t="n">
        <f aca="false">IFERROR(IF(ISNUMBER(EL25),(EL25-AVERAGEIF('Pemetaan Variant'!$A$5:$A$32,$B25,'Pemetaan Variant'!$N$5:$N$32))/AVERAGEIF('Pemetaan Variant'!$A$5:$A$32,$B25,'Pemetaan Variant'!$N$5:$N$32)*100,"n/a"),"n/a")</f>
        <v>0</v>
      </c>
      <c r="EN25" s="4" t="n">
        <f aca="false">IFERROR(IF(ISNUMBER(EM25),$C25*EM25,"n/a"),"n/a")</f>
        <v>0</v>
      </c>
      <c r="EO25" s="13" t="n">
        <f aca="false">IFERROR(AVERAGEIF('Pemetaan Variant'!$A$5:$A$32,$B25,'Pemetaan Variant'!$BK$5:$BK$32),"n/a")</f>
        <v>8000</v>
      </c>
      <c r="EP25" s="14" t="n">
        <f aca="false">IFERROR(IF(ISNUMBER(EO25),(EO25-AVERAGEIF('Pemetaan Variant'!$A$5:$A$32,$B25,'Pemetaan Variant'!$N$5:$N$32))/AVERAGEIF('Pemetaan Variant'!$A$5:$A$32,$B25,'Pemetaan Variant'!$N$5:$N$32)*100,"n/a"),"n/a")</f>
        <v>0</v>
      </c>
      <c r="EQ25" s="4" t="n">
        <f aca="false">IFERROR(IF(ISNUMBER(EP25),$C25*EP25,"n/a"),"n/a")</f>
        <v>0</v>
      </c>
      <c r="ER25" s="13" t="n">
        <f aca="false">IFERROR(AVERAGEIF('Pemetaan Variant'!$A$5:$A$32,$B25,'Pemetaan Variant'!$BL$5:$BL$32),"n/a")</f>
        <v>8000</v>
      </c>
      <c r="ES25" s="14" t="n">
        <f aca="false">IFERROR(IF(ISNUMBER(ER25),(ER25-AVERAGEIF('Pemetaan Variant'!$A$5:$A$32,$B25,'Pemetaan Variant'!$N$5:$N$32))/AVERAGEIF('Pemetaan Variant'!$A$5:$A$32,$B25,'Pemetaan Variant'!$N$5:$N$32)*100,"n/a"),"n/a")</f>
        <v>0</v>
      </c>
      <c r="ET25" s="4" t="n">
        <f aca="false">IFERROR(IF(ISNUMBER(ES25),$C25*ES25,"n/a"),"n/a")</f>
        <v>0</v>
      </c>
      <c r="EU25" s="13" t="n">
        <f aca="false">IFERROR(AVERAGEIF('Pemetaan Variant'!$A$5:$A$32,$B25,'Pemetaan Variant'!$BM$5:$BM$32),"n/a")</f>
        <v>8000</v>
      </c>
      <c r="EV25" s="14" t="n">
        <f aca="false">IFERROR(IF(ISNUMBER(EU25),(EU25-AVERAGEIF('Pemetaan Variant'!$A$5:$A$32,$B25,'Pemetaan Variant'!$N$5:$N$32))/AVERAGEIF('Pemetaan Variant'!$A$5:$A$32,$B25,'Pemetaan Variant'!$N$5:$N$32)*100,"n/a"),"n/a")</f>
        <v>0</v>
      </c>
      <c r="EW25" s="4" t="n">
        <f aca="false">IFERROR(IF(ISNUMBER(EV25),$C25*EV25,"n/a"),"n/a")</f>
        <v>0</v>
      </c>
      <c r="EX25" s="13" t="n">
        <f aca="false">IFERROR(AVERAGEIF('Pemetaan Variant'!$A$5:$A$32,$B25,'Pemetaan Variant'!$BN$5:$BN$32),"n/a")</f>
        <v>8000</v>
      </c>
      <c r="EY25" s="14" t="n">
        <f aca="false">IFERROR(IF(ISNUMBER(EX25),(EX25-AVERAGEIF('Pemetaan Variant'!$A$5:$A$32,$B25,'Pemetaan Variant'!$O$5:$O$32))/AVERAGEIF('Pemetaan Variant'!$A$5:$A$32,$B25,'Pemetaan Variant'!$O$5:$O$32)*100,"n/a"),"n/a")</f>
        <v>0</v>
      </c>
      <c r="EZ25" s="4" t="n">
        <f aca="false">IFERROR(IF(ISNUMBER(EY25),$C25*EY25,"n/a"),"n/a")</f>
        <v>0</v>
      </c>
      <c r="FA25" s="13" t="n">
        <f aca="false">IFERROR(AVERAGEIF('Pemetaan Variant'!$A$5:$A$32,$B25,'Pemetaan Variant'!$BO$5:$BO$32),"n/a")</f>
        <v>7800</v>
      </c>
      <c r="FB25" s="14" t="n">
        <f aca="false">IFERROR(IF(ISNUMBER(FA25),(FA25-AVERAGEIF('Pemetaan Variant'!$A$5:$A$32,$B25,'Pemetaan Variant'!$O$5:$O$32))/AVERAGEIF('Pemetaan Variant'!$A$5:$A$32,$B25,'Pemetaan Variant'!$O$5:$O$32)*100,"n/a"),"n/a")</f>
        <v>-2.5</v>
      </c>
      <c r="FC25" s="4" t="n">
        <f aca="false">IFERROR(IF(ISNUMBER(FB25),$C25*FB25,"n/a"),"n/a")</f>
        <v>-0.0854440392948502</v>
      </c>
      <c r="FD25" s="13" t="n">
        <f aca="false">IFERROR(AVERAGEIF('Pemetaan Variant'!$A$5:$A$32,$B25,'Pemetaan Variant'!$BP$5:$BP$32),"n/a")</f>
        <v>7000</v>
      </c>
      <c r="FE25" s="14" t="n">
        <f aca="false">IFERROR(IF(ISNUMBER(FD25),(FD25-AVERAGEIF('Pemetaan Variant'!$A$5:$A$32,$B25,'Pemetaan Variant'!$O$5:$O$32))/AVERAGEIF('Pemetaan Variant'!$A$5:$A$32,$B25,'Pemetaan Variant'!$O$5:$O$32)*100,"n/a"),"n/a")</f>
        <v>-12.5</v>
      </c>
      <c r="FF25" s="4" t="n">
        <f aca="false">IFERROR(IF(ISNUMBER(FE25),$C25*FE25,"n/a"),"n/a")</f>
        <v>-0.427220196474251</v>
      </c>
      <c r="FG25" s="13" t="n">
        <f aca="false">IFERROR(AVERAGEIF('Pemetaan Variant'!$A$5:$A$32,$B25,'Pemetaan Variant'!$BQ$5:$BQ$32),"n/a")</f>
        <v>7000</v>
      </c>
      <c r="FH25" s="14" t="n">
        <f aca="false">IFERROR(IF(ISNUMBER(FG25),(FG25-AVERAGEIF('Pemetaan Variant'!$A$5:$A$32,$B25,'Pemetaan Variant'!$O$5:$O$32))/AVERAGEIF('Pemetaan Variant'!$A$5:$A$32,$B25,'Pemetaan Variant'!$O$5:$O$32)*100,"n/a"),"n/a")</f>
        <v>-12.5</v>
      </c>
      <c r="FI25" s="4" t="n">
        <f aca="false">IFERROR(IF(ISNUMBER(FH25),$C25*FH25,"n/a"),"n/a")</f>
        <v>-0.427220196474251</v>
      </c>
      <c r="FJ25" s="13" t="n">
        <f aca="false">IFERROR(AVERAGEIF('Pemetaan Variant'!$A$5:$A$32,$B25,'Pemetaan Variant'!$BR$5:$BR$32),"n/a")</f>
        <v>7000</v>
      </c>
      <c r="FK25" s="14" t="n">
        <f aca="false">IFERROR(IF(ISNUMBER(FJ25),(FJ25-AVERAGEIF('Pemetaan Variant'!$A$5:$A$32,$B25,'Pemetaan Variant'!$O$5:$O$32))/AVERAGEIF('Pemetaan Variant'!$A$5:$A$32,$B25,'Pemetaan Variant'!$O$5:$O$32)*100,"n/a"),"n/a")</f>
        <v>-12.5</v>
      </c>
      <c r="FL25" s="4" t="n">
        <f aca="false">IFERROR(IF(ISNUMBER(FK25),$C25*FK25,"n/a"),"n/a")</f>
        <v>-0.427220196474251</v>
      </c>
      <c r="FM25" s="15"/>
      <c r="FO25" s="11" t="n">
        <f aca="false">IFERROR(ABS(F25),0)</f>
        <v>0</v>
      </c>
      <c r="FP25" s="11" t="n">
        <f aca="false">IFERROR(ABS(I25),0)</f>
        <v>0</v>
      </c>
      <c r="FQ25" s="11" t="n">
        <f aca="false">IFERROR(ABS(L25),0)</f>
        <v>0</v>
      </c>
      <c r="FR25" s="11" t="n">
        <f aca="false">IFERROR(ABS(O25),0)</f>
        <v>0</v>
      </c>
      <c r="FS25" s="11" t="n">
        <f aca="false">IFERROR(ABS(R25),0)</f>
        <v>0</v>
      </c>
      <c r="FT25" s="11" t="n">
        <f aca="false">IFERROR(ABS(U25),0)</f>
        <v>0</v>
      </c>
      <c r="FU25" s="11" t="n">
        <f aca="false">IFERROR(ABS(X25),0)</f>
        <v>0</v>
      </c>
      <c r="FV25" s="11" t="n">
        <f aca="false">IFERROR(ABS(AA25),0)</f>
        <v>0</v>
      </c>
      <c r="FW25" s="11" t="n">
        <f aca="false">IFERROR(ABS(AD25),0)</f>
        <v>0</v>
      </c>
      <c r="FX25" s="11" t="n">
        <f aca="false">IFERROR(ABS(AG25),0)</f>
        <v>0</v>
      </c>
      <c r="FY25" s="11" t="n">
        <f aca="false">IFERROR(ABS(AJ25),0)</f>
        <v>0</v>
      </c>
      <c r="FZ25" s="11" t="n">
        <f aca="false">IFERROR(ABS(AM25),0)</f>
        <v>0</v>
      </c>
      <c r="GA25" s="11" t="n">
        <f aca="false">IFERROR(ABS(AP25),0)</f>
        <v>0</v>
      </c>
      <c r="GB25" s="11" t="n">
        <f aca="false">IFERROR(ABS(AS25),0)</f>
        <v>0</v>
      </c>
      <c r="GC25" s="11" t="n">
        <f aca="false">IFERROR(ABS(AV25),0)</f>
        <v>0</v>
      </c>
      <c r="GD25" s="11" t="n">
        <f aca="false">IFERROR(ABS(AY25),0)</f>
        <v>0</v>
      </c>
      <c r="GE25" s="11" t="n">
        <f aca="false">IFERROR(ABS(BB25),0)</f>
        <v>0</v>
      </c>
      <c r="GF25" s="11" t="n">
        <f aca="false">IFERROR(ABS(BE25),0)</f>
        <v>0</v>
      </c>
      <c r="GG25" s="11" t="n">
        <f aca="false">IFERROR(ABS(BH25),0)</f>
        <v>0</v>
      </c>
      <c r="GH25" s="11" t="n">
        <f aca="false">IFERROR(ABS(BK25),0)</f>
        <v>0</v>
      </c>
      <c r="GI25" s="11" t="n">
        <f aca="false">IFERROR(ABS(BN25),0)</f>
        <v>0</v>
      </c>
      <c r="GJ25" s="11" t="n">
        <f aca="false">IFERROR(ABS(BQ25),0)</f>
        <v>0</v>
      </c>
      <c r="GK25" s="11" t="n">
        <f aca="false">IFERROR(ABS(BT25),0)</f>
        <v>0</v>
      </c>
      <c r="GL25" s="11" t="n">
        <f aca="false">IFERROR(ABS(BW25),0)</f>
        <v>0</v>
      </c>
      <c r="GM25" s="11" t="n">
        <f aca="false">IFERROR(ABS(BZ25),0)</f>
        <v>0</v>
      </c>
      <c r="GN25" s="11" t="n">
        <f aca="false">IFERROR(ABS(CC25),0)</f>
        <v>0</v>
      </c>
      <c r="GO25" s="11" t="n">
        <f aca="false">IFERROR(ABS(CF25),0)</f>
        <v>0</v>
      </c>
      <c r="GP25" s="11" t="n">
        <f aca="false">IFERROR(ABS(CI25),0)</f>
        <v>0</v>
      </c>
      <c r="GQ25" s="11" t="n">
        <f aca="false">IFERROR(ABS(CL25),0)</f>
        <v>0</v>
      </c>
      <c r="GR25" s="11" t="n">
        <f aca="false">IFERROR(ABS(CO25),0)</f>
        <v>0</v>
      </c>
      <c r="GS25" s="11" t="n">
        <f aca="false">IFERROR(ABS(CR25),0)</f>
        <v>0</v>
      </c>
      <c r="GT25" s="11" t="n">
        <f aca="false">IFERROR(ABS(CU25),0)</f>
        <v>0</v>
      </c>
      <c r="GU25" s="11" t="n">
        <f aca="false">IFERROR(ABS(CX25),0)</f>
        <v>0</v>
      </c>
      <c r="GV25" s="11" t="n">
        <f aca="false">IFERROR(ABS(DA25),0)</f>
        <v>0.303801028603912</v>
      </c>
      <c r="GW25" s="11" t="n">
        <f aca="false">IFERROR(ABS(DD25),0)</f>
        <v>0.37975128575489</v>
      </c>
      <c r="GX25" s="11" t="n">
        <f aca="false">IFERROR(ABS(DG25),0)</f>
        <v>0.37975128575489</v>
      </c>
      <c r="GY25" s="11" t="n">
        <f aca="false">IFERROR(ABS(DJ25),0)</f>
        <v>0.37975128575489</v>
      </c>
      <c r="GZ25" s="11" t="n">
        <f aca="false">IFERROR(ABS(DM25),0)</f>
        <v>0.0223383109267582</v>
      </c>
      <c r="HA25" s="11" t="n">
        <f aca="false">IFERROR(ABS(DP25),0)</f>
        <v>0.0223383109267582</v>
      </c>
      <c r="HB25" s="11" t="n">
        <f aca="false">IFERROR(ABS(DS25),0)</f>
        <v>0.0223383109267582</v>
      </c>
      <c r="HC25" s="11" t="n">
        <f aca="false">IFERROR(ABS(DV25),0)</f>
        <v>0.0223383109267582</v>
      </c>
      <c r="HD25" s="11" t="n">
        <f aca="false">IFERROR(ABS(DY25),0)</f>
        <v>0</v>
      </c>
      <c r="HE25" s="11" t="n">
        <f aca="false">IFERROR(ABS(EB25),0)</f>
        <v>0</v>
      </c>
      <c r="HF25" s="11" t="n">
        <f aca="false">IFERROR(ABS(EE25),0)</f>
        <v>0</v>
      </c>
      <c r="HG25" s="11" t="n">
        <f aca="false">IFERROR(ABS(EH25),0)</f>
        <v>0</v>
      </c>
      <c r="HH25" s="11" t="n">
        <f aca="false">IFERROR(ABS(EK25),0)</f>
        <v>0</v>
      </c>
      <c r="HI25" s="11" t="n">
        <f aca="false">IFERROR(ABS(EN25),0)</f>
        <v>0</v>
      </c>
      <c r="HJ25" s="11" t="n">
        <f aca="false">IFERROR(ABS(EQ25),0)</f>
        <v>0</v>
      </c>
      <c r="HK25" s="11" t="n">
        <f aca="false">IFERROR(ABS(ET25),0)</f>
        <v>0</v>
      </c>
      <c r="HL25" s="11" t="n">
        <f aca="false">IFERROR(ABS(EW25),0)</f>
        <v>0</v>
      </c>
      <c r="HM25" s="11" t="n">
        <f aca="false">IFERROR(ABS(EZ25),0)</f>
        <v>0</v>
      </c>
      <c r="HN25" s="11" t="n">
        <f aca="false">IFERROR(ABS(FC25),0)</f>
        <v>0.0854440392948502</v>
      </c>
      <c r="HO25" s="11" t="n">
        <f aca="false">IFERROR(ABS(FF25),0)</f>
        <v>0.427220196474251</v>
      </c>
      <c r="HP25" s="11" t="n">
        <f aca="false">IFERROR(ABS(FI25),0)</f>
        <v>0.427220196474251</v>
      </c>
      <c r="HQ25" s="11" t="n">
        <f aca="false">IFERROR(ABS(FL25),0)</f>
        <v>0.427220196474251</v>
      </c>
    </row>
    <row r="26" customFormat="false" ht="15" hidden="false" customHeight="false" outlineLevel="0" collapsed="false">
      <c r="A26" s="16"/>
      <c r="B26" s="17" t="s">
        <v>259</v>
      </c>
      <c r="C26" s="16"/>
      <c r="D26" s="16"/>
      <c r="E26" s="16"/>
      <c r="F26" s="18" t="n">
        <f aca="false">IF(COUNT(F6:F25)=0,"Data tidak tersedia",SUM(F6:F25))</f>
        <v>1.15301398498903</v>
      </c>
      <c r="G26" s="16"/>
      <c r="H26" s="16"/>
      <c r="I26" s="18" t="n">
        <f aca="false">IF(COUNT(I6:I25)=0,"Data tidak tersedia",SUM(I6:I25))</f>
        <v>0.151425967938347</v>
      </c>
      <c r="J26" s="16"/>
      <c r="K26" s="16"/>
      <c r="L26" s="18" t="n">
        <f aca="false">IF(COUNT(L6:L25)=0,"Data tidak tersedia",SUM(L6:L25))</f>
        <v>-0.250847929243989</v>
      </c>
      <c r="M26" s="16"/>
      <c r="N26" s="16"/>
      <c r="O26" s="18" t="n">
        <f aca="false">IF(COUNT(O6:O25)=0,"Data tidak tersedia",SUM(O6:O25))</f>
        <v>-0.301593989755576</v>
      </c>
      <c r="P26" s="16"/>
      <c r="Q26" s="16"/>
      <c r="R26" s="18" t="n">
        <f aca="false">IF(COUNT(R6:R25)=0,"Data tidak tersedia",SUM(R6:R25))</f>
        <v>-0.105718371469777</v>
      </c>
      <c r="S26" s="16"/>
      <c r="T26" s="16"/>
      <c r="U26" s="18" t="n">
        <f aca="false">IF(COUNT(U6:U25)=0,"Data tidak tersedia",SUM(U6:U25))</f>
        <v>-0.113469425875499</v>
      </c>
      <c r="V26" s="16"/>
      <c r="W26" s="16"/>
      <c r="X26" s="18" t="n">
        <f aca="false">IF(COUNT(X6:X25)=0,"Data tidak tersedia",SUM(X6:X25))</f>
        <v>0.253524945352789</v>
      </c>
      <c r="Y26" s="16"/>
      <c r="Z26" s="16"/>
      <c r="AA26" s="18" t="n">
        <f aca="false">IF(COUNT(AA6:AA25)=0,"Data tidak tersedia",SUM(AA6:AA25))</f>
        <v>0.565126993501898</v>
      </c>
      <c r="AB26" s="16"/>
      <c r="AC26" s="16"/>
      <c r="AD26" s="18" t="n">
        <f aca="false">IF(COUNT(AD6:AD25)=0,"Data tidak tersedia",SUM(AD6:AD25))</f>
        <v>0.666738519627853</v>
      </c>
      <c r="AE26" s="16"/>
      <c r="AF26" s="16"/>
      <c r="AG26" s="18" t="n">
        <f aca="false">IF(COUNT(AG6:AG25)=0,"Data tidak tersedia",SUM(AG6:AG25))</f>
        <v>-0.196643087601112</v>
      </c>
      <c r="AH26" s="16"/>
      <c r="AI26" s="16"/>
      <c r="AJ26" s="18" t="n">
        <f aca="false">IF(COUNT(AJ6:AJ25)=0,"Data tidak tersedia",SUM(AJ6:AJ25))</f>
        <v>-0.495801759271559</v>
      </c>
      <c r="AK26" s="16"/>
      <c r="AL26" s="16"/>
      <c r="AM26" s="18" t="n">
        <f aca="false">IF(COUNT(AM6:AM25)=0,"Data tidak tersedia",SUM(AM6:AM25))</f>
        <v>-0.386639713455668</v>
      </c>
      <c r="AN26" s="16"/>
      <c r="AO26" s="16"/>
      <c r="AP26" s="18" t="n">
        <f aca="false">IF(COUNT(AP6:AP25)=0,"Data tidak tersedia",SUM(AP6:AP25))</f>
        <v>-0.18705727228309</v>
      </c>
      <c r="AQ26" s="16"/>
      <c r="AR26" s="16"/>
      <c r="AS26" s="18" t="str">
        <f aca="false">IF(COUNT(AS6:AS25)=0,"Data tidak tersedia",SUM(AS6:AS25))</f>
        <v>Data tidak tersedia</v>
      </c>
      <c r="AT26" s="16"/>
      <c r="AU26" s="16"/>
      <c r="AV26" s="18" t="str">
        <f aca="false">IF(COUNT(AV6:AV25)=0,"Data tidak tersedia",SUM(AV6:AV25))</f>
        <v>Data tidak tersedia</v>
      </c>
      <c r="AW26" s="16"/>
      <c r="AX26" s="16"/>
      <c r="AY26" s="18" t="n">
        <f aca="false">IF(COUNT(AY6:AY25)=0,"Data tidak tersedia",SUM(AY6:AY25))</f>
        <v>1.39794639727098</v>
      </c>
      <c r="AZ26" s="16"/>
      <c r="BA26" s="16"/>
      <c r="BB26" s="18" t="n">
        <f aca="false">IF(COUNT(BB6:BB25)=0,"Data tidak tersedia",SUM(BB6:BB25))</f>
        <v>0.151086908118077</v>
      </c>
      <c r="BC26" s="16"/>
      <c r="BD26" s="16"/>
      <c r="BE26" s="18" t="n">
        <f aca="false">IF(COUNT(BE6:BE25)=0,"Data tidak tersedia",SUM(BE6:BE25))</f>
        <v>-0.738945686120451</v>
      </c>
      <c r="BF26" s="16"/>
      <c r="BG26" s="16"/>
      <c r="BH26" s="18" t="n">
        <f aca="false">IF(COUNT(BH6:BH25)=0,"Data tidak tersedia",SUM(BH6:BH25))</f>
        <v>-2.94220837076341</v>
      </c>
      <c r="BI26" s="16"/>
      <c r="BJ26" s="16"/>
      <c r="BK26" s="18" t="n">
        <f aca="false">IF(COUNT(BK6:BK25)=0,"Data tidak tersedia",SUM(BK6:BK25))</f>
        <v>-2.7846872776418</v>
      </c>
      <c r="BL26" s="16"/>
      <c r="BM26" s="16"/>
      <c r="BN26" s="18" t="n">
        <f aca="false">IF(COUNT(BN6:BN25)=0,"Data tidak tersedia",SUM(BN6:BN25))</f>
        <v>-2.61929203698743</v>
      </c>
      <c r="BO26" s="16"/>
      <c r="BP26" s="16"/>
      <c r="BQ26" s="18" t="n">
        <f aca="false">IF(COUNT(BQ6:BQ25)=0,"Data tidak tersedia",SUM(BQ6:BQ25))</f>
        <v>-2.67576478265709</v>
      </c>
      <c r="BR26" s="16"/>
      <c r="BS26" s="16"/>
      <c r="BT26" s="18" t="n">
        <f aca="false">IF(COUNT(BT6:BT25)=0,"Data tidak tersedia",SUM(BT6:BT25))</f>
        <v>-2.6305094572302</v>
      </c>
      <c r="BU26" s="16"/>
      <c r="BV26" s="16"/>
      <c r="BW26" s="18" t="n">
        <f aca="false">IF(COUNT(BW6:BW25)=0,"Data tidak tersedia",SUM(BW6:BW25))</f>
        <v>-2.15367878553742</v>
      </c>
      <c r="BX26" s="16"/>
      <c r="BY26" s="16"/>
      <c r="BZ26" s="18" t="n">
        <f aca="false">IF(COUNT(BZ6:BZ25)=0,"Data tidak tersedia",SUM(BZ6:BZ25))</f>
        <v>2.10331523003349</v>
      </c>
      <c r="CA26" s="16"/>
      <c r="CB26" s="16"/>
      <c r="CC26" s="18" t="n">
        <f aca="false">IF(COUNT(CC6:CC25)=0,"Data tidak tersedia",SUM(CC6:CC25))</f>
        <v>-0.0668090204227015</v>
      </c>
      <c r="CD26" s="16"/>
      <c r="CE26" s="16"/>
      <c r="CF26" s="18" t="n">
        <f aca="false">IF(COUNT(CF6:CF25)=0,"Data tidak tersedia",SUM(CF6:CF25))</f>
        <v>-2.60925976557022</v>
      </c>
      <c r="CG26" s="16"/>
      <c r="CH26" s="16"/>
      <c r="CI26" s="18" t="n">
        <f aca="false">IF(COUNT(CI6:CI25)=0,"Data tidak tersedia",SUM(CI6:CI25))</f>
        <v>-2.19847117021216</v>
      </c>
      <c r="CJ26" s="16"/>
      <c r="CK26" s="16"/>
      <c r="CL26" s="18" t="n">
        <f aca="false">IF(COUNT(CL6:CL25)=0,"Data tidak tersedia",SUM(CL6:CL25))</f>
        <v>-0.416796719857822</v>
      </c>
      <c r="CM26" s="16"/>
      <c r="CN26" s="16"/>
      <c r="CO26" s="18" t="n">
        <f aca="false">IF(COUNT(CO6:CO25)=0,"Data tidak tersedia",SUM(CO6:CO25))</f>
        <v>1.46063670537404</v>
      </c>
      <c r="CP26" s="16"/>
      <c r="CQ26" s="16"/>
      <c r="CR26" s="18" t="n">
        <f aca="false">IF(COUNT(CR6:CR25)=0,"Data tidak tersedia",SUM(CR6:CR25))</f>
        <v>1.04201140813592</v>
      </c>
      <c r="CS26" s="16"/>
      <c r="CT26" s="16"/>
      <c r="CU26" s="18" t="n">
        <f aca="false">IF(COUNT(CU6:CU25)=0,"Data tidak tersedia",SUM(CU6:CU25))</f>
        <v>2.10759331858674</v>
      </c>
      <c r="CV26" s="16"/>
      <c r="CW26" s="16"/>
      <c r="CX26" s="18" t="n">
        <f aca="false">IF(COUNT(CX6:CX25)=0,"Data tidak tersedia",SUM(CX6:CX25))</f>
        <v>1.67256055870161</v>
      </c>
      <c r="CY26" s="16"/>
      <c r="CZ26" s="16"/>
      <c r="DA26" s="18" t="n">
        <f aca="false">IF(COUNT(DA6:DA25)=0,"Data tidak tersedia",SUM(DA6:DA25))</f>
        <v>-0.735572699497822</v>
      </c>
      <c r="DB26" s="16"/>
      <c r="DC26" s="16"/>
      <c r="DD26" s="18" t="n">
        <f aca="false">IF(COUNT(DD6:DD25)=0,"Data tidak tersedia",SUM(DD6:DD25))</f>
        <v>-0.709624806989383</v>
      </c>
      <c r="DE26" s="16"/>
      <c r="DF26" s="16"/>
      <c r="DG26" s="18" t="n">
        <f aca="false">IF(COUNT(DG6:DG25)=0,"Data tidak tersedia",SUM(DG6:DG25))</f>
        <v>-0.18980751127392</v>
      </c>
      <c r="DH26" s="16"/>
      <c r="DI26" s="16"/>
      <c r="DJ26" s="18" t="n">
        <f aca="false">IF(COUNT(DJ6:DJ25)=0,"Data tidak tersedia",SUM(DJ6:DJ25))</f>
        <v>0.358416291965449</v>
      </c>
      <c r="DK26" s="16"/>
      <c r="DL26" s="16"/>
      <c r="DM26" s="18" t="n">
        <f aca="false">IF(COUNT(DM6:DM25)=0,"Data tidak tersedia",SUM(DM6:DM25))</f>
        <v>0.392985374601723</v>
      </c>
      <c r="DN26" s="16"/>
      <c r="DO26" s="16"/>
      <c r="DP26" s="18" t="n">
        <f aca="false">IF(COUNT(DP6:DP25)=0,"Data tidak tersedia",SUM(DP6:DP25))</f>
        <v>-0.175175333652131</v>
      </c>
      <c r="DQ26" s="16"/>
      <c r="DR26" s="16"/>
      <c r="DS26" s="18" t="n">
        <f aca="false">IF(COUNT(DS6:DS25)=0,"Data tidak tersedia",SUM(DS6:DS25))</f>
        <v>-0.0412847322669995</v>
      </c>
      <c r="DT26" s="16"/>
      <c r="DU26" s="16"/>
      <c r="DV26" s="18" t="n">
        <f aca="false">IF(COUNT(DV6:DV25)=0,"Data tidak tersedia",SUM(DV6:DV25))</f>
        <v>0.0669002310691028</v>
      </c>
      <c r="DW26" s="16"/>
      <c r="DX26" s="16"/>
      <c r="DY26" s="18" t="n">
        <f aca="false">IF(COUNT(DY6:DY25)=0,"Data tidak tersedia",SUM(DY6:DY25))</f>
        <v>0.396935180046691</v>
      </c>
      <c r="DZ26" s="16"/>
      <c r="EA26" s="16"/>
      <c r="EB26" s="18" t="n">
        <f aca="false">IF(COUNT(EB6:EB25)=0,"Data tidak tersedia",SUM(EB6:EB25))</f>
        <v>0.0512120638048711</v>
      </c>
      <c r="EC26" s="16"/>
      <c r="ED26" s="16"/>
      <c r="EE26" s="18" t="n">
        <f aca="false">IF(COUNT(EE6:EE25)=0,"Data tidak tersedia",SUM(EE6:EE25))</f>
        <v>-1.33168040116241</v>
      </c>
      <c r="EF26" s="16"/>
      <c r="EG26" s="16"/>
      <c r="EH26" s="18" t="n">
        <f aca="false">IF(COUNT(EH6:EH25)=0,"Data tidak tersedia",SUM(EH6:EH25))</f>
        <v>-0.659128436367888</v>
      </c>
      <c r="EI26" s="16"/>
      <c r="EJ26" s="16"/>
      <c r="EK26" s="18" t="n">
        <f aca="false">IF(COUNT(EK6:EK25)=0,"Data tidak tersedia",SUM(EK6:EK25))</f>
        <v>0.185213030196422</v>
      </c>
      <c r="EL26" s="16"/>
      <c r="EM26" s="16"/>
      <c r="EN26" s="18" t="n">
        <f aca="false">IF(COUNT(EN6:EN25)=0,"Data tidak tersedia",SUM(EN6:EN25))</f>
        <v>0.743405707170521</v>
      </c>
      <c r="EO26" s="16"/>
      <c r="EP26" s="16"/>
      <c r="EQ26" s="18" t="n">
        <f aca="false">IF(COUNT(EQ6:EQ25)=0,"Data tidak tersedia",SUM(EQ6:EQ25))</f>
        <v>0.283452525710426</v>
      </c>
      <c r="ER26" s="16"/>
      <c r="ES26" s="16"/>
      <c r="ET26" s="18" t="n">
        <f aca="false">IF(COUNT(ET6:ET25)=0,"Data tidak tersedia",SUM(ET6:ET25))</f>
        <v>0.475026215736581</v>
      </c>
      <c r="EU26" s="16"/>
      <c r="EV26" s="16"/>
      <c r="EW26" s="18" t="n">
        <f aca="false">IF(COUNT(EW6:EW25)=0,"Data tidak tersedia",SUM(EW6:EW25))</f>
        <v>0.666655561523949</v>
      </c>
      <c r="EX26" s="16"/>
      <c r="EY26" s="16"/>
      <c r="EZ26" s="18" t="n">
        <f aca="false">IF(COUNT(EZ6:EZ25)=0,"Data tidak tersedia",SUM(EZ6:EZ25))</f>
        <v>0.48328419032884</v>
      </c>
      <c r="FA26" s="16"/>
      <c r="FB26" s="16"/>
      <c r="FC26" s="18" t="n">
        <f aca="false">IF(COUNT(FC6:FC25)=0,"Data tidak tersedia",SUM(FC6:FC25))</f>
        <v>0.327422717176525</v>
      </c>
      <c r="FD26" s="16"/>
      <c r="FE26" s="16"/>
      <c r="FF26" s="18" t="n">
        <f aca="false">IF(COUNT(FF6:FF25)=0,"Data tidak tersedia",SUM(FF6:FF25))</f>
        <v>-0.841466569924343</v>
      </c>
      <c r="FG26" s="16"/>
      <c r="FH26" s="16"/>
      <c r="FI26" s="18" t="n">
        <f aca="false">IF(COUNT(FI6:FI25)=0,"Data tidak tersedia",SUM(FI6:FI25))</f>
        <v>-0.212165717273444</v>
      </c>
      <c r="FJ26" s="16"/>
      <c r="FK26" s="16"/>
      <c r="FL26" s="18" t="n">
        <f aca="false">IF(COUNT(FL6:FL25)=0,"Data tidak tersedia",SUM(FL6:FL25))</f>
        <v>0.0299486615775587</v>
      </c>
      <c r="FM26" s="16"/>
    </row>
  </sheetData>
  <mergeCells count="55">
    <mergeCell ref="D4:F4"/>
    <mergeCell ref="G4:I4"/>
    <mergeCell ref="J4:L4"/>
    <mergeCell ref="M4:O4"/>
    <mergeCell ref="P4:R4"/>
    <mergeCell ref="S4:U4"/>
    <mergeCell ref="V4:X4"/>
    <mergeCell ref="Y4:AA4"/>
    <mergeCell ref="AB4:AD4"/>
    <mergeCell ref="AE4:AG4"/>
    <mergeCell ref="AH4:AJ4"/>
    <mergeCell ref="AK4:AM4"/>
    <mergeCell ref="AN4:AP4"/>
    <mergeCell ref="AQ4:AS4"/>
    <mergeCell ref="AT4:AV4"/>
    <mergeCell ref="AW4:AY4"/>
    <mergeCell ref="AZ4:BB4"/>
    <mergeCell ref="BC4:BE4"/>
    <mergeCell ref="BF4:BH4"/>
    <mergeCell ref="BI4:BK4"/>
    <mergeCell ref="BL4:BN4"/>
    <mergeCell ref="BO4:BQ4"/>
    <mergeCell ref="BR4:BT4"/>
    <mergeCell ref="BU4:BW4"/>
    <mergeCell ref="BX4:BZ4"/>
    <mergeCell ref="CA4:CC4"/>
    <mergeCell ref="CD4:CF4"/>
    <mergeCell ref="CG4:CI4"/>
    <mergeCell ref="CJ4:CL4"/>
    <mergeCell ref="CM4:CO4"/>
    <mergeCell ref="CP4:CR4"/>
    <mergeCell ref="CS4:CU4"/>
    <mergeCell ref="CV4:CX4"/>
    <mergeCell ref="CY4:DA4"/>
    <mergeCell ref="DB4:DD4"/>
    <mergeCell ref="DE4:DG4"/>
    <mergeCell ref="DH4:DJ4"/>
    <mergeCell ref="DK4:DM4"/>
    <mergeCell ref="DN4:DP4"/>
    <mergeCell ref="DQ4:DS4"/>
    <mergeCell ref="DT4:DV4"/>
    <mergeCell ref="DW4:DY4"/>
    <mergeCell ref="DZ4:EB4"/>
    <mergeCell ref="EC4:EE4"/>
    <mergeCell ref="EF4:EH4"/>
    <mergeCell ref="EI4:EK4"/>
    <mergeCell ref="EL4:EN4"/>
    <mergeCell ref="EO4:EQ4"/>
    <mergeCell ref="ER4:ET4"/>
    <mergeCell ref="EU4:EW4"/>
    <mergeCell ref="EX4:EZ4"/>
    <mergeCell ref="FA4:FC4"/>
    <mergeCell ref="FD4:FF4"/>
    <mergeCell ref="FG4:FI4"/>
    <mergeCell ref="FJ4:F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2"/>
    <col collapsed="false" customWidth="true" hidden="false" outlineLevel="0" max="3" min="3" style="0" width="13"/>
    <col collapsed="false" customWidth="true" hidden="false" outlineLevel="0" max="4" min="4" style="0" width="20"/>
    <col collapsed="false" customWidth="true" hidden="false" outlineLevel="0" max="5" min="5" style="0" width="15"/>
    <col collapsed="false" customWidth="true" hidden="false" outlineLevel="0" max="6" min="6" style="0" width="26"/>
  </cols>
  <sheetData>
    <row r="1" customFormat="false" ht="16.15" hidden="false" customHeight="false" outlineLevel="0" collapsed="false">
      <c r="A1" s="1" t="s">
        <v>260</v>
      </c>
      <c r="B1" s="1"/>
      <c r="C1" s="1"/>
      <c r="D1" s="1"/>
      <c r="E1" s="1"/>
      <c r="F1" s="1"/>
    </row>
    <row r="2" customFormat="false" ht="15" hidden="false" customHeight="false" outlineLevel="0" collapsed="false">
      <c r="A2" s="7" t="s">
        <v>261</v>
      </c>
    </row>
    <row r="4" customFormat="false" ht="15" hidden="false" customHeight="false" outlineLevel="0" collapsed="false">
      <c r="A4" s="19" t="s">
        <v>262</v>
      </c>
      <c r="B4" s="19"/>
      <c r="C4" s="19"/>
      <c r="D4" s="19"/>
      <c r="E4" s="19"/>
      <c r="F4" s="19"/>
    </row>
    <row r="5" customFormat="false" ht="15" hidden="false" customHeight="false" outlineLevel="0" collapsed="false">
      <c r="A5" s="10" t="s">
        <v>263</v>
      </c>
      <c r="B5" s="10" t="s">
        <v>264</v>
      </c>
      <c r="C5" s="10" t="s">
        <v>174</v>
      </c>
      <c r="D5" s="10" t="s">
        <v>265</v>
      </c>
      <c r="E5" s="10" t="s">
        <v>266</v>
      </c>
      <c r="F5" s="10" t="s">
        <v>267</v>
      </c>
    </row>
    <row r="6" customFormat="false" ht="15" hidden="false" customHeight="false" outlineLevel="0" collapsed="false">
      <c r="A6" s="3" t="n">
        <v>1</v>
      </c>
      <c r="B6" s="5" t="str">
        <f aca="false">IFERROR(INDEX('Perhitungan IPH Mingguan 2025'!$B$6:$B$25,MATCH(LARGE('Perhitungan IPH Mingguan 2025'!$FO$6:$FO$25,1),'Perhitungan IPH Mingguan 2025'!$FO$6:$FO$25,0)),"-")</f>
        <v>cabai rawit 01173013</v>
      </c>
      <c r="C6" s="20" t="n">
        <f aca="false">IFERROR(INDEX('Perhitungan IPH Mingguan 2025'!$C$6:$C$25,MATCH(LARGE('Perhitungan IPH Mingguan 2025'!$FO$6:$FO$25,1),'Perhitungan IPH Mingguan 2025'!$FO$6:$FO$25,0)),"")</f>
        <v>0.0177017323628706</v>
      </c>
      <c r="D6" s="14" t="n">
        <f aca="false">IFERROR(INDEX('Perhitungan IPH Mingguan 2025'!$E$6:$E$25,MATCH(LARGE('Perhitungan IPH Mingguan 2025'!$FO$6:$FO$25,1),'Perhitungan IPH Mingguan 2025'!$FO$6:$FO$25,0)),"")</f>
        <v>44.3850267379679</v>
      </c>
      <c r="E6" s="4" t="n">
        <f aca="false">IFERROR(INDEX('Perhitungan IPH Mingguan 2025'!$F$6:$F$25,MATCH(LARGE('Perhitungan IPH Mingguan 2025'!$FO$6:$FO$25,1),'Perhitungan IPH Mingguan 2025'!$FO$6:$FO$25,0)),"")</f>
        <v>0.785691864234363</v>
      </c>
      <c r="F6" s="21" t="str">
        <f aca="false">IF(ISNUMBER(E6),IF(E6&gt;0,"Penyumbang KENAIKAN IPH","Penyumbang PENURUNAN IPH"),"-")</f>
        <v>Penyumbang KENAIKAN IPH</v>
      </c>
    </row>
    <row r="7" customFormat="false" ht="15" hidden="false" customHeight="false" outlineLevel="0" collapsed="false">
      <c r="A7" s="3" t="n">
        <v>2</v>
      </c>
      <c r="B7" s="5" t="str">
        <f aca="false">IFERROR(INDEX('Perhitungan IPH Mingguan 2025'!$B$6:$B$25,MATCH(LARGE('Perhitungan IPH Mingguan 2025'!$FO$6:$FO$25,2),'Perhitungan IPH Mingguan 2025'!$FO$6:$FO$25,0)),"-")</f>
        <v>cabai merah 01173012</v>
      </c>
      <c r="C7" s="20" t="n">
        <f aca="false">IFERROR(INDEX('Perhitungan IPH Mingguan 2025'!$C$6:$C$25,MATCH(LARGE('Perhitungan IPH Mingguan 2025'!$FO$6:$FO$25,2),'Perhitungan IPH Mingguan 2025'!$FO$6:$FO$25,0)),"")</f>
        <v>0.0110208839376634</v>
      </c>
      <c r="D7" s="14" t="n">
        <f aca="false">IFERROR(INDEX('Perhitungan IPH Mingguan 2025'!$E$6:$E$25,MATCH(LARGE('Perhitungan IPH Mingguan 2025'!$FO$6:$FO$25,2),'Perhitungan IPH Mingguan 2025'!$FO$6:$FO$25,0)),"")</f>
        <v>42.8238039673279</v>
      </c>
      <c r="E7" s="4" t="n">
        <f aca="false">IFERROR(INDEX('Perhitungan IPH Mingguan 2025'!$F$6:$F$25,MATCH(LARGE('Perhitungan IPH Mingguan 2025'!$FO$6:$FO$25,2),'Perhitungan IPH Mingguan 2025'!$FO$6:$FO$25,0)),"")</f>
        <v>0.47195617329317</v>
      </c>
      <c r="F7" s="21" t="str">
        <f aca="false">IF(ISNUMBER(E7),IF(E7&gt;0,"Penyumbang KENAIKAN IPH","Penyumbang PENURUNAN IPH"),"-")</f>
        <v>Penyumbang KENAIKAN IPH</v>
      </c>
    </row>
    <row r="8" customFormat="false" ht="15" hidden="false" customHeight="false" outlineLevel="0" collapsed="false">
      <c r="A8" s="3" t="n">
        <v>3</v>
      </c>
      <c r="B8" s="5" t="str">
        <f aca="false">IFERROR(INDEX('Perhitungan IPH Mingguan 2025'!$B$6:$B$25,MATCH(LARGE('Perhitungan IPH Mingguan 2025'!$FO$6:$FO$25,3),'Perhitungan IPH Mingguan 2025'!$FO$6:$FO$25,0)),"-")</f>
        <v>bawang merah 1174006</v>
      </c>
      <c r="C8" s="20" t="n">
        <f aca="false">IFERROR(INDEX('Perhitungan IPH Mingguan 2025'!$C$6:$C$25,MATCH(LARGE('Perhitungan IPH Mingguan 2025'!$FO$6:$FO$25,3),'Perhitungan IPH Mingguan 2025'!$FO$6:$FO$25,0)),"")</f>
        <v>0.0194434650422287</v>
      </c>
      <c r="D8" s="14" t="n">
        <f aca="false">IFERROR(INDEX('Perhitungan IPH Mingguan 2025'!$E$6:$E$25,MATCH(LARGE('Perhitungan IPH Mingguan 2025'!$FO$6:$FO$25,3),'Perhitungan IPH Mingguan 2025'!$FO$6:$FO$25,0)),"")</f>
        <v>-12.7272727272727</v>
      </c>
      <c r="E8" s="4" t="n">
        <f aca="false">IFERROR(INDEX('Perhitungan IPH Mingguan 2025'!$F$6:$F$25,MATCH(LARGE('Perhitungan IPH Mingguan 2025'!$FO$6:$FO$25,3),'Perhitungan IPH Mingguan 2025'!$FO$6:$FO$25,0)),"")</f>
        <v>-0.247462282355638</v>
      </c>
      <c r="F8" s="21" t="str">
        <f aca="false">IF(ISNUMBER(E8),IF(E8&gt;0,"Penyumbang KENAIKAN IPH","Penyumbang PENURUNAN IPH"),"-")</f>
        <v>Penyumbang PENURUNAN IPH</v>
      </c>
    </row>
    <row r="9" customFormat="false" ht="15" hidden="false" customHeight="false" outlineLevel="0" collapsed="false">
      <c r="A9" s="3" t="n">
        <v>4</v>
      </c>
      <c r="B9" s="5" t="str">
        <f aca="false">IFERROR(INDEX('Perhitungan IPH Mingguan 2025'!$B$6:$B$25,MATCH(LARGE('Perhitungan IPH Mingguan 2025'!$FO$6:$FO$25,4),'Perhitungan IPH Mingguan 2025'!$FO$6:$FO$25,0)),"-")</f>
        <v>daging ayam ras 1124003</v>
      </c>
      <c r="C9" s="20" t="n">
        <f aca="false">IFERROR(INDEX('Perhitungan IPH Mingguan 2025'!$C$6:$C$25,MATCH(LARGE('Perhitungan IPH Mingguan 2025'!$FO$6:$FO$25,4),'Perhitungan IPH Mingguan 2025'!$FO$6:$FO$25,0)),"")</f>
        <v>0.0479107777850277</v>
      </c>
      <c r="D9" s="14" t="n">
        <f aca="false">IFERROR(INDEX('Perhitungan IPH Mingguan 2025'!$E$6:$E$25,MATCH(LARGE('Perhitungan IPH Mingguan 2025'!$FO$6:$FO$25,4),'Perhitungan IPH Mingguan 2025'!$FO$6:$FO$25,0)),"")</f>
        <v>3.30434782608695</v>
      </c>
      <c r="E9" s="4" t="n">
        <f aca="false">IFERROR(INDEX('Perhitungan IPH Mingguan 2025'!$F$6:$F$25,MATCH(LARGE('Perhitungan IPH Mingguan 2025'!$FO$6:$FO$25,4),'Perhitungan IPH Mingguan 2025'!$FO$6:$FO$25,0)),"")</f>
        <v>0.158313874420091</v>
      </c>
      <c r="F9" s="21" t="str">
        <f aca="false">IF(ISNUMBER(E9),IF(E9&gt;0,"Penyumbang KENAIKAN IPH","Penyumbang PENURUNAN IPH"),"-")</f>
        <v>Penyumbang KENAIKAN IPH</v>
      </c>
    </row>
    <row r="10" customFormat="false" ht="15" hidden="false" customHeight="false" outlineLevel="0" collapsed="false">
      <c r="A10" s="3" t="n">
        <v>5</v>
      </c>
      <c r="B10" s="5" t="str">
        <f aca="false">IFERROR(INDEX('Perhitungan IPH Mingguan 2025'!$B$6:$B$25,MATCH(LARGE('Perhitungan IPH Mingguan 2025'!$FO$6:$FO$25,5),'Perhitungan IPH Mingguan 2025'!$FO$6:$FO$25,0)),"-")</f>
        <v>bawang putih 01174007</v>
      </c>
      <c r="C10" s="20" t="n">
        <f aca="false">IFERROR(INDEX('Perhitungan IPH Mingguan 2025'!$C$6:$C$25,MATCH(LARGE('Perhitungan IPH Mingguan 2025'!$FO$6:$FO$25,5),'Perhitungan IPH Mingguan 2025'!$FO$6:$FO$25,0)),"")</f>
        <v>0.0128006139283175</v>
      </c>
      <c r="D10" s="14" t="n">
        <f aca="false">IFERROR(INDEX('Perhitungan IPH Mingguan 2025'!$E$6:$E$25,MATCH(LARGE('Perhitungan IPH Mingguan 2025'!$FO$6:$FO$25,5),'Perhitungan IPH Mingguan 2025'!$FO$6:$FO$25,0)),"")</f>
        <v>-2.18867924528302</v>
      </c>
      <c r="E10" s="4" t="n">
        <f aca="false">IFERROR(INDEX('Perhitungan IPH Mingguan 2025'!$F$6:$F$25,MATCH(LARGE('Perhitungan IPH Mingguan 2025'!$FO$6:$FO$25,5),'Perhitungan IPH Mingguan 2025'!$FO$6:$FO$25,0)),"")</f>
        <v>-0.0280164380317892</v>
      </c>
      <c r="F10" s="21" t="str">
        <f aca="false">IF(ISNUMBER(E10),IF(E10&gt;0,"Penyumbang KENAIKAN IPH","Penyumbang PENURUNAN IPH"),"-")</f>
        <v>Penyumbang PENURUNAN IPH</v>
      </c>
    </row>
    <row r="12" customFormat="false" ht="15" hidden="false" customHeight="false" outlineLevel="0" collapsed="false">
      <c r="A12" s="19" t="s">
        <v>268</v>
      </c>
      <c r="B12" s="19"/>
      <c r="C12" s="19"/>
      <c r="D12" s="19"/>
      <c r="E12" s="19"/>
      <c r="F12" s="19"/>
    </row>
    <row r="13" customFormat="false" ht="15" hidden="false" customHeight="false" outlineLevel="0" collapsed="false">
      <c r="A13" s="10" t="s">
        <v>263</v>
      </c>
      <c r="B13" s="10" t="s">
        <v>264</v>
      </c>
      <c r="C13" s="10" t="s">
        <v>174</v>
      </c>
      <c r="D13" s="10" t="s">
        <v>265</v>
      </c>
      <c r="E13" s="10" t="s">
        <v>266</v>
      </c>
      <c r="F13" s="10" t="s">
        <v>267</v>
      </c>
    </row>
    <row r="14" customFormat="false" ht="15" hidden="false" customHeight="false" outlineLevel="0" collapsed="false">
      <c r="A14" s="3" t="n">
        <v>1</v>
      </c>
      <c r="B14" s="5" t="str">
        <f aca="false">IFERROR(INDEX('Perhitungan IPH Mingguan 2025'!$B$6:$B$25,MATCH(LARGE('Perhitungan IPH Mingguan 2025'!$FP$6:$FP$25,1),'Perhitungan IPH Mingguan 2025'!$FP$6:$FP$25,0)),"-")</f>
        <v>cabai rawit 01173013</v>
      </c>
      <c r="C14" s="20" t="n">
        <f aca="false">IFERROR(INDEX('Perhitungan IPH Mingguan 2025'!$C$6:$C$25,MATCH(LARGE('Perhitungan IPH Mingguan 2025'!$FP$6:$FP$25,1),'Perhitungan IPH Mingguan 2025'!$FP$6:$FP$25,0)),"")</f>
        <v>0.0177017323628706</v>
      </c>
      <c r="D14" s="14" t="n">
        <f aca="false">IFERROR(INDEX('Perhitungan IPH Mingguan 2025'!$H$6:$H$25,MATCH(LARGE('Perhitungan IPH Mingguan 2025'!$FP$6:$FP$25,1),'Perhitungan IPH Mingguan 2025'!$FP$6:$FP$25,0)),"")</f>
        <v>50.8021390374332</v>
      </c>
      <c r="E14" s="4" t="n">
        <f aca="false">IFERROR(INDEX('Perhitungan IPH Mingguan 2025'!$I$6:$I$25,MATCH(LARGE('Perhitungan IPH Mingguan 2025'!$FP$6:$FP$25,1),'Perhitungan IPH Mingguan 2025'!$FP$6:$FP$25,0)),"")</f>
        <v>0.899285868701982</v>
      </c>
      <c r="F14" s="21" t="str">
        <f aca="false">IF(ISNUMBER(E14),IF(E14&gt;0,"Penyumbang KENAIKAN IPH","Penyumbang PENURUNAN IPH"),"-")</f>
        <v>Penyumbang KENAIKAN IPH</v>
      </c>
    </row>
    <row r="15" customFormat="false" ht="15" hidden="false" customHeight="false" outlineLevel="0" collapsed="false">
      <c r="A15" s="3" t="n">
        <v>2</v>
      </c>
      <c r="B15" s="5" t="str">
        <f aca="false">IFERROR(INDEX('Perhitungan IPH Mingguan 2025'!$B$6:$B$25,MATCH(LARGE('Perhitungan IPH Mingguan 2025'!$FP$6:$FP$25,2),'Perhitungan IPH Mingguan 2025'!$FP$6:$FP$25,0)),"-")</f>
        <v>daging sapi 01121001</v>
      </c>
      <c r="C15" s="20" t="n">
        <f aca="false">IFERROR(INDEX('Perhitungan IPH Mingguan 2025'!$C$6:$C$25,MATCH(LARGE('Perhitungan IPH Mingguan 2025'!$FP$6:$FP$25,2),'Perhitungan IPH Mingguan 2025'!$FP$6:$FP$25,0)),"")</f>
        <v>0.0598704213474298</v>
      </c>
      <c r="D15" s="14" t="n">
        <f aca="false">IFERROR(INDEX('Perhitungan IPH Mingguan 2025'!$H$6:$H$25,MATCH(LARGE('Perhitungan IPH Mingguan 2025'!$FP$6:$FP$25,2),'Perhitungan IPH Mingguan 2025'!$FP$6:$FP$25,0)),"")</f>
        <v>-7.90513833992094</v>
      </c>
      <c r="E15" s="4" t="n">
        <f aca="false">IFERROR(INDEX('Perhitungan IPH Mingguan 2025'!$I$6:$I$25,MATCH(LARGE('Perhitungan IPH Mingguan 2025'!$FP$6:$FP$25,2),'Perhitungan IPH Mingguan 2025'!$FP$6:$FP$25,0)),"")</f>
        <v>-0.473283963220788</v>
      </c>
      <c r="F15" s="21" t="str">
        <f aca="false">IF(ISNUMBER(E15),IF(E15&gt;0,"Penyumbang KENAIKAN IPH","Penyumbang PENURUNAN IPH"),"-")</f>
        <v>Penyumbang PENURUNAN IPH</v>
      </c>
    </row>
    <row r="16" customFormat="false" ht="15" hidden="false" customHeight="false" outlineLevel="0" collapsed="false">
      <c r="A16" s="3" t="n">
        <v>3</v>
      </c>
      <c r="B16" s="5" t="str">
        <f aca="false">IFERROR(INDEX('Perhitungan IPH Mingguan 2025'!$B$6:$B$25,MATCH(LARGE('Perhitungan IPH Mingguan 2025'!$FP$6:$FP$25,3),'Perhitungan IPH Mingguan 2025'!$FP$6:$FP$25,0)),"-")</f>
        <v>cabai merah 01173012</v>
      </c>
      <c r="C16" s="20" t="n">
        <f aca="false">IFERROR(INDEX('Perhitungan IPH Mingguan 2025'!$C$6:$C$25,MATCH(LARGE('Perhitungan IPH Mingguan 2025'!$FP$6:$FP$25,3),'Perhitungan IPH Mingguan 2025'!$FP$6:$FP$25,0)),"")</f>
        <v>0.0110208839376634</v>
      </c>
      <c r="D16" s="14" t="n">
        <f aca="false">IFERROR(INDEX('Perhitungan IPH Mingguan 2025'!$H$6:$H$25,MATCH(LARGE('Perhitungan IPH Mingguan 2025'!$FP$6:$FP$25,3),'Perhitungan IPH Mingguan 2025'!$FP$6:$FP$25,0)),"")</f>
        <v>42.8238039673279</v>
      </c>
      <c r="E16" s="4" t="n">
        <f aca="false">IFERROR(INDEX('Perhitungan IPH Mingguan 2025'!$I$6:$I$25,MATCH(LARGE('Perhitungan IPH Mingguan 2025'!$FP$6:$FP$25,3),'Perhitungan IPH Mingguan 2025'!$FP$6:$FP$25,0)),"")</f>
        <v>0.47195617329317</v>
      </c>
      <c r="F16" s="21" t="str">
        <f aca="false">IF(ISNUMBER(E16),IF(E16&gt;0,"Penyumbang KENAIKAN IPH","Penyumbang PENURUNAN IPH"),"-")</f>
        <v>Penyumbang KENAIKAN IPH</v>
      </c>
    </row>
    <row r="17" customFormat="false" ht="15" hidden="false" customHeight="false" outlineLevel="0" collapsed="false">
      <c r="A17" s="3" t="n">
        <v>4</v>
      </c>
      <c r="B17" s="5" t="str">
        <f aca="false">IFERROR(INDEX('Perhitungan IPH Mingguan 2025'!$B$6:$B$25,MATCH(LARGE('Perhitungan IPH Mingguan 2025'!$FP$6:$FP$25,4),'Perhitungan IPH Mingguan 2025'!$FP$6:$FP$25,0)),"-")</f>
        <v>daging ayam ras 1124003</v>
      </c>
      <c r="C17" s="20" t="n">
        <f aca="false">IFERROR(INDEX('Perhitungan IPH Mingguan 2025'!$C$6:$C$25,MATCH(LARGE('Perhitungan IPH Mingguan 2025'!$FP$6:$FP$25,4),'Perhitungan IPH Mingguan 2025'!$FP$6:$FP$25,0)),"")</f>
        <v>0.0479107777850277</v>
      </c>
      <c r="D17" s="14" t="n">
        <f aca="false">IFERROR(INDEX('Perhitungan IPH Mingguan 2025'!$H$6:$H$25,MATCH(LARGE('Perhitungan IPH Mingguan 2025'!$FP$6:$FP$25,4),'Perhitungan IPH Mingguan 2025'!$FP$6:$FP$25,0)),"")</f>
        <v>-6.71304347826087</v>
      </c>
      <c r="E17" s="4" t="n">
        <f aca="false">IFERROR(INDEX('Perhitungan IPH Mingguan 2025'!$I$6:$I$25,MATCH(LARGE('Perhitungan IPH Mingguan 2025'!$FP$6:$FP$25,4),'Perhitungan IPH Mingguan 2025'!$FP$6:$FP$25,0)),"")</f>
        <v>-0.321627134348186</v>
      </c>
      <c r="F17" s="21" t="str">
        <f aca="false">IF(ISNUMBER(E17),IF(E17&gt;0,"Penyumbang KENAIKAN IPH","Penyumbang PENURUNAN IPH"),"-")</f>
        <v>Penyumbang PENURUNAN IPH</v>
      </c>
    </row>
    <row r="18" customFormat="false" ht="15" hidden="false" customHeight="false" outlineLevel="0" collapsed="false">
      <c r="A18" s="3" t="n">
        <v>5</v>
      </c>
      <c r="B18" s="5" t="str">
        <f aca="false">IFERROR(INDEX('Perhitungan IPH Mingguan 2025'!$B$6:$B$25,MATCH(LARGE('Perhitungan IPH Mingguan 2025'!$FP$6:$FP$25,5),'Perhitungan IPH Mingguan 2025'!$FP$6:$FP$25,0)),"-")</f>
        <v>bawang merah 1174006</v>
      </c>
      <c r="C18" s="20" t="n">
        <f aca="false">IFERROR(INDEX('Perhitungan IPH Mingguan 2025'!$C$6:$C$25,MATCH(LARGE('Perhitungan IPH Mingguan 2025'!$FP$6:$FP$25,5),'Perhitungan IPH Mingguan 2025'!$FP$6:$FP$25,0)),"")</f>
        <v>0.0194434650422287</v>
      </c>
      <c r="D18" s="14" t="n">
        <f aca="false">IFERROR(INDEX('Perhitungan IPH Mingguan 2025'!$H$6:$H$25,MATCH(LARGE('Perhitungan IPH Mingguan 2025'!$FP$6:$FP$25,5),'Perhitungan IPH Mingguan 2025'!$FP$6:$FP$25,0)),"")</f>
        <v>-12.7272727272727</v>
      </c>
      <c r="E18" s="4" t="n">
        <f aca="false">IFERROR(INDEX('Perhitungan IPH Mingguan 2025'!$I$6:$I$25,MATCH(LARGE('Perhitungan IPH Mingguan 2025'!$FP$6:$FP$25,5),'Perhitungan IPH Mingguan 2025'!$FP$6:$FP$25,0)),"")</f>
        <v>-0.247462282355638</v>
      </c>
      <c r="F18" s="21" t="str">
        <f aca="false">IF(ISNUMBER(E18),IF(E18&gt;0,"Penyumbang KENAIKAN IPH","Penyumbang PENURUNAN IPH"),"-")</f>
        <v>Penyumbang PENURUNAN IPH</v>
      </c>
    </row>
    <row r="20" customFormat="false" ht="15" hidden="false" customHeight="false" outlineLevel="0" collapsed="false">
      <c r="A20" s="19" t="s">
        <v>269</v>
      </c>
      <c r="B20" s="19"/>
      <c r="C20" s="19"/>
      <c r="D20" s="19"/>
      <c r="E20" s="19"/>
      <c r="F20" s="19"/>
    </row>
    <row r="21" customFormat="false" ht="15" hidden="false" customHeight="false" outlineLevel="0" collapsed="false">
      <c r="A21" s="10" t="s">
        <v>263</v>
      </c>
      <c r="B21" s="10" t="s">
        <v>264</v>
      </c>
      <c r="C21" s="10" t="s">
        <v>174</v>
      </c>
      <c r="D21" s="10" t="s">
        <v>265</v>
      </c>
      <c r="E21" s="10" t="s">
        <v>266</v>
      </c>
      <c r="F21" s="10" t="s">
        <v>267</v>
      </c>
    </row>
    <row r="22" customFormat="false" ht="15" hidden="false" customHeight="false" outlineLevel="0" collapsed="false">
      <c r="A22" s="3" t="n">
        <v>1</v>
      </c>
      <c r="B22" s="5" t="str">
        <f aca="false">IFERROR(INDEX('Perhitungan IPH Mingguan 2025'!$B$6:$B$25,MATCH(LARGE('Perhitungan IPH Mingguan 2025'!$FQ$6:$FQ$25,1),'Perhitungan IPH Mingguan 2025'!$FQ$6:$FQ$25,0)),"-")</f>
        <v>cabai rawit 01173013</v>
      </c>
      <c r="C22" s="20" t="n">
        <f aca="false">IFERROR(INDEX('Perhitungan IPH Mingguan 2025'!$C$6:$C$25,MATCH(LARGE('Perhitungan IPH Mingguan 2025'!$FQ$6:$FQ$25,1),'Perhitungan IPH Mingguan 2025'!$FQ$6:$FQ$25,0)),"")</f>
        <v>0.0177017323628706</v>
      </c>
      <c r="D22" s="14" t="n">
        <f aca="false">IFERROR(INDEX('Perhitungan IPH Mingguan 2025'!$K$6:$K$25,MATCH(LARGE('Perhitungan IPH Mingguan 2025'!$FQ$6:$FQ$25,1),'Perhitungan IPH Mingguan 2025'!$FQ$6:$FQ$25,0)),"")</f>
        <v>49.5187165775401</v>
      </c>
      <c r="E22" s="4" t="n">
        <f aca="false">IFERROR(INDEX('Perhitungan IPH Mingguan 2025'!$L$6:$L$25,MATCH(LARGE('Perhitungan IPH Mingguan 2025'!$FQ$6:$FQ$25,1),'Perhitungan IPH Mingguan 2025'!$FQ$6:$FQ$25,0)),"")</f>
        <v>0.876567067808459</v>
      </c>
      <c r="F22" s="21" t="str">
        <f aca="false">IF(ISNUMBER(E22),IF(E22&gt;0,"Penyumbang KENAIKAN IPH","Penyumbang PENURUNAN IPH"),"-")</f>
        <v>Penyumbang KENAIKAN IPH</v>
      </c>
    </row>
    <row r="23" customFormat="false" ht="15" hidden="false" customHeight="false" outlineLevel="0" collapsed="false">
      <c r="A23" s="3" t="n">
        <v>2</v>
      </c>
      <c r="B23" s="5" t="str">
        <f aca="false">IFERROR(INDEX('Perhitungan IPH Mingguan 2025'!$B$6:$B$25,MATCH(LARGE('Perhitungan IPH Mingguan 2025'!$FQ$6:$FQ$25,2),'Perhitungan IPH Mingguan 2025'!$FQ$6:$FQ$25,0)),"-")</f>
        <v>daging sapi 01121001</v>
      </c>
      <c r="C23" s="20" t="n">
        <f aca="false">IFERROR(INDEX('Perhitungan IPH Mingguan 2025'!$C$6:$C$25,MATCH(LARGE('Perhitungan IPH Mingguan 2025'!$FQ$6:$FQ$25,2),'Perhitungan IPH Mingguan 2025'!$FQ$6:$FQ$25,0)),"")</f>
        <v>0.0598704213474298</v>
      </c>
      <c r="D23" s="14" t="n">
        <f aca="false">IFERROR(INDEX('Perhitungan IPH Mingguan 2025'!$K$6:$K$25,MATCH(LARGE('Perhitungan IPH Mingguan 2025'!$FQ$6:$FQ$25,2),'Perhitungan IPH Mingguan 2025'!$FQ$6:$FQ$25,0)),"")</f>
        <v>-7.90513833992094</v>
      </c>
      <c r="E23" s="4" t="n">
        <f aca="false">IFERROR(INDEX('Perhitungan IPH Mingguan 2025'!$L$6:$L$25,MATCH(LARGE('Perhitungan IPH Mingguan 2025'!$FQ$6:$FQ$25,2),'Perhitungan IPH Mingguan 2025'!$FQ$6:$FQ$25,0)),"")</f>
        <v>-0.473283963220788</v>
      </c>
      <c r="F23" s="21" t="str">
        <f aca="false">IF(ISNUMBER(E23),IF(E23&gt;0,"Penyumbang KENAIKAN IPH","Penyumbang PENURUNAN IPH"),"-")</f>
        <v>Penyumbang PENURUNAN IPH</v>
      </c>
    </row>
    <row r="24" customFormat="false" ht="15" hidden="false" customHeight="false" outlineLevel="0" collapsed="false">
      <c r="A24" s="3" t="n">
        <v>3</v>
      </c>
      <c r="B24" s="5" t="str">
        <f aca="false">IFERROR(INDEX('Perhitungan IPH Mingguan 2025'!$B$6:$B$25,MATCH(LARGE('Perhitungan IPH Mingguan 2025'!$FQ$6:$FQ$25,3),'Perhitungan IPH Mingguan 2025'!$FQ$6:$FQ$25,0)),"-")</f>
        <v>cabai merah 01173012</v>
      </c>
      <c r="C24" s="20" t="n">
        <f aca="false">IFERROR(INDEX('Perhitungan IPH Mingguan 2025'!$C$6:$C$25,MATCH(LARGE('Perhitungan IPH Mingguan 2025'!$FQ$6:$FQ$25,3),'Perhitungan IPH Mingguan 2025'!$FQ$6:$FQ$25,0)),"")</f>
        <v>0.0110208839376634</v>
      </c>
      <c r="D24" s="14" t="n">
        <f aca="false">IFERROR(INDEX('Perhitungan IPH Mingguan 2025'!$K$6:$K$25,MATCH(LARGE('Perhitungan IPH Mingguan 2025'!$FQ$6:$FQ$25,3),'Perhitungan IPH Mingguan 2025'!$FQ$6:$FQ$25,0)),"")</f>
        <v>42.8238039673279</v>
      </c>
      <c r="E24" s="4" t="n">
        <f aca="false">IFERROR(INDEX('Perhitungan IPH Mingguan 2025'!$L$6:$L$25,MATCH(LARGE('Perhitungan IPH Mingguan 2025'!$FQ$6:$FQ$25,3),'Perhitungan IPH Mingguan 2025'!$FQ$6:$FQ$25,0)),"")</f>
        <v>0.47195617329317</v>
      </c>
      <c r="F24" s="21" t="str">
        <f aca="false">IF(ISNUMBER(E24),IF(E24&gt;0,"Penyumbang KENAIKAN IPH","Penyumbang PENURUNAN IPH"),"-")</f>
        <v>Penyumbang KENAIKAN IPH</v>
      </c>
    </row>
    <row r="25" customFormat="false" ht="15" hidden="false" customHeight="false" outlineLevel="0" collapsed="false">
      <c r="A25" s="3" t="n">
        <v>4</v>
      </c>
      <c r="B25" s="5" t="str">
        <f aca="false">IFERROR(INDEX('Perhitungan IPH Mingguan 2025'!$B$6:$B$25,MATCH(LARGE('Perhitungan IPH Mingguan 2025'!$FQ$6:$FQ$25,4),'Perhitungan IPH Mingguan 2025'!$FQ$6:$FQ$25,0)),"-")</f>
        <v>daging ayam ras 1124003</v>
      </c>
      <c r="C25" s="20" t="n">
        <f aca="false">IFERROR(INDEX('Perhitungan IPH Mingguan 2025'!$C$6:$C$25,MATCH(LARGE('Perhitungan IPH Mingguan 2025'!$FQ$6:$FQ$25,4),'Perhitungan IPH Mingguan 2025'!$FQ$6:$FQ$25,0)),"")</f>
        <v>0.0479107777850277</v>
      </c>
      <c r="D25" s="14" t="n">
        <f aca="false">IFERROR(INDEX('Perhitungan IPH Mingguan 2025'!$K$6:$K$25,MATCH(LARGE('Perhitungan IPH Mingguan 2025'!$FQ$6:$FQ$25,4),'Perhitungan IPH Mingguan 2025'!$FQ$6:$FQ$25,0)),"")</f>
        <v>-9.21739130434783</v>
      </c>
      <c r="E25" s="4" t="n">
        <f aca="false">IFERROR(INDEX('Perhitungan IPH Mingguan 2025'!$L$6:$L$25,MATCH(LARGE('Perhitungan IPH Mingguan 2025'!$FQ$6:$FQ$25,4),'Perhitungan IPH Mingguan 2025'!$FQ$6:$FQ$25,0)),"")</f>
        <v>-0.441612386540255</v>
      </c>
      <c r="F25" s="21" t="str">
        <f aca="false">IF(ISNUMBER(E25),IF(E25&gt;0,"Penyumbang KENAIKAN IPH","Penyumbang PENURUNAN IPH"),"-")</f>
        <v>Penyumbang PENURUNAN IPH</v>
      </c>
    </row>
    <row r="26" customFormat="false" ht="15" hidden="false" customHeight="false" outlineLevel="0" collapsed="false">
      <c r="A26" s="3" t="n">
        <v>5</v>
      </c>
      <c r="B26" s="5" t="str">
        <f aca="false">IFERROR(INDEX('Perhitungan IPH Mingguan 2025'!$B$6:$B$25,MATCH(LARGE('Perhitungan IPH Mingguan 2025'!$FQ$6:$FQ$25,5),'Perhitungan IPH Mingguan 2025'!$FQ$6:$FQ$25,0)),"-")</f>
        <v>telur ayam ras 01147002</v>
      </c>
      <c r="C26" s="20" t="n">
        <f aca="false">IFERROR(INDEX('Perhitungan IPH Mingguan 2025'!$C$6:$C$25,MATCH(LARGE('Perhitungan IPH Mingguan 2025'!$FQ$6:$FQ$25,5),'Perhitungan IPH Mingguan 2025'!$FQ$6:$FQ$25,0)),"")</f>
        <v>0.0298777910794593</v>
      </c>
      <c r="D26" s="14" t="n">
        <f aca="false">IFERROR(INDEX('Perhitungan IPH Mingguan 2025'!$K$6:$K$25,MATCH(LARGE('Perhitungan IPH Mingguan 2025'!$FQ$6:$FQ$25,5),'Perhitungan IPH Mingguan 2025'!$FQ$6:$FQ$25,0)),"")</f>
        <v>-11.7757009345794</v>
      </c>
      <c r="E26" s="4" t="n">
        <f aca="false">IFERROR(INDEX('Perhitungan IPH Mingguan 2025'!$L$6:$L$25,MATCH(LARGE('Perhitungan IPH Mingguan 2025'!$FQ$6:$FQ$25,5),'Perhitungan IPH Mingguan 2025'!$FQ$6:$FQ$25,0)),"")</f>
        <v>-0.351831932337558</v>
      </c>
      <c r="F26" s="21" t="str">
        <f aca="false">IF(ISNUMBER(E26),IF(E26&gt;0,"Penyumbang KENAIKAN IPH","Penyumbang PENURUNAN IPH"),"-")</f>
        <v>Penyumbang PENURUNAN IPH</v>
      </c>
    </row>
    <row r="28" customFormat="false" ht="15" hidden="false" customHeight="false" outlineLevel="0" collapsed="false">
      <c r="A28" s="19" t="s">
        <v>270</v>
      </c>
      <c r="B28" s="19"/>
      <c r="C28" s="19"/>
      <c r="D28" s="19"/>
      <c r="E28" s="19"/>
      <c r="F28" s="19"/>
    </row>
    <row r="29" customFormat="false" ht="15" hidden="false" customHeight="false" outlineLevel="0" collapsed="false">
      <c r="A29" s="10" t="s">
        <v>263</v>
      </c>
      <c r="B29" s="10" t="s">
        <v>264</v>
      </c>
      <c r="C29" s="10" t="s">
        <v>174</v>
      </c>
      <c r="D29" s="10" t="s">
        <v>265</v>
      </c>
      <c r="E29" s="10" t="s">
        <v>266</v>
      </c>
      <c r="F29" s="10" t="s">
        <v>267</v>
      </c>
    </row>
    <row r="30" customFormat="false" ht="15" hidden="false" customHeight="false" outlineLevel="0" collapsed="false">
      <c r="A30" s="3" t="n">
        <v>1</v>
      </c>
      <c r="B30" s="5" t="str">
        <f aca="false">IFERROR(INDEX('Perhitungan IPH Mingguan 2025'!$B$6:$B$25,MATCH(LARGE('Perhitungan IPH Mingguan 2025'!$FR$6:$FR$25,1),'Perhitungan IPH Mingguan 2025'!$FR$6:$FR$25,0)),"-")</f>
        <v>cabai rawit 01173013</v>
      </c>
      <c r="C30" s="20" t="n">
        <f aca="false">IFERROR(INDEX('Perhitungan IPH Mingguan 2025'!$C$6:$C$25,MATCH(LARGE('Perhitungan IPH Mingguan 2025'!$FR$6:$FR$25,1),'Perhitungan IPH Mingguan 2025'!$FR$6:$FR$25,0)),"")</f>
        <v>0.0177017323628706</v>
      </c>
      <c r="D30" s="14" t="n">
        <f aca="false">IFERROR(INDEX('Perhitungan IPH Mingguan 2025'!$N$6:$N$25,MATCH(LARGE('Perhitungan IPH Mingguan 2025'!$FR$6:$FR$25,1),'Perhitungan IPH Mingguan 2025'!$FR$6:$FR$25,0)),"")</f>
        <v>44.7058823529412</v>
      </c>
      <c r="E30" s="4" t="n">
        <f aca="false">IFERROR(INDEX('Perhitungan IPH Mingguan 2025'!$O$6:$O$25,MATCH(LARGE('Perhitungan IPH Mingguan 2025'!$FR$6:$FR$25,1),'Perhitungan IPH Mingguan 2025'!$FR$6:$FR$25,0)),"")</f>
        <v>0.791371564457744</v>
      </c>
      <c r="F30" s="21" t="str">
        <f aca="false">IF(ISNUMBER(E30),IF(E30&gt;0,"Penyumbang KENAIKAN IPH","Penyumbang PENURUNAN IPH"),"-")</f>
        <v>Penyumbang KENAIKAN IPH</v>
      </c>
    </row>
    <row r="31" customFormat="false" ht="15" hidden="false" customHeight="false" outlineLevel="0" collapsed="false">
      <c r="A31" s="3" t="n">
        <v>2</v>
      </c>
      <c r="B31" s="5" t="str">
        <f aca="false">IFERROR(INDEX('Perhitungan IPH Mingguan 2025'!$B$6:$B$25,MATCH(LARGE('Perhitungan IPH Mingguan 2025'!$FR$6:$FR$25,2),'Perhitungan IPH Mingguan 2025'!$FR$6:$FR$25,0)),"-")</f>
        <v>cabai merah 01173012</v>
      </c>
      <c r="C31" s="20" t="n">
        <f aca="false">IFERROR(INDEX('Perhitungan IPH Mingguan 2025'!$C$6:$C$25,MATCH(LARGE('Perhitungan IPH Mingguan 2025'!$FR$6:$FR$25,2),'Perhitungan IPH Mingguan 2025'!$FR$6:$FR$25,0)),"")</f>
        <v>0.0110208839376634</v>
      </c>
      <c r="D31" s="14" t="n">
        <f aca="false">IFERROR(INDEX('Perhitungan IPH Mingguan 2025'!$N$6:$N$25,MATCH(LARGE('Perhitungan IPH Mingguan 2025'!$FR$6:$FR$25,2),'Perhitungan IPH Mingguan 2025'!$FR$6:$FR$25,0)),"")</f>
        <v>43.2438739789965</v>
      </c>
      <c r="E31" s="4" t="n">
        <f aca="false">IFERROR(INDEX('Perhitungan IPH Mingguan 2025'!$O$6:$O$25,MATCH(LARGE('Perhitungan IPH Mingguan 2025'!$FR$6:$FR$25,2),'Perhitungan IPH Mingguan 2025'!$FR$6:$FR$25,0)),"")</f>
        <v>0.476585716137463</v>
      </c>
      <c r="F31" s="21" t="str">
        <f aca="false">IF(ISNUMBER(E31),IF(E31&gt;0,"Penyumbang KENAIKAN IPH","Penyumbang PENURUNAN IPH"),"-")</f>
        <v>Penyumbang KENAIKAN IPH</v>
      </c>
    </row>
    <row r="32" customFormat="false" ht="15" hidden="false" customHeight="false" outlineLevel="0" collapsed="false">
      <c r="A32" s="3" t="n">
        <v>3</v>
      </c>
      <c r="B32" s="5" t="str">
        <f aca="false">IFERROR(INDEX('Perhitungan IPH Mingguan 2025'!$B$6:$B$25,MATCH(LARGE('Perhitungan IPH Mingguan 2025'!$FR$6:$FR$25,3),'Perhitungan IPH Mingguan 2025'!$FR$6:$FR$25,0)),"-")</f>
        <v>daging sapi 01121001</v>
      </c>
      <c r="C32" s="20" t="n">
        <f aca="false">IFERROR(INDEX('Perhitungan IPH Mingguan 2025'!$C$6:$C$25,MATCH(LARGE('Perhitungan IPH Mingguan 2025'!$FR$6:$FR$25,3),'Perhitungan IPH Mingguan 2025'!$FR$6:$FR$25,0)),"")</f>
        <v>0.0598704213474298</v>
      </c>
      <c r="D32" s="14" t="n">
        <f aca="false">IFERROR(INDEX('Perhitungan IPH Mingguan 2025'!$N$6:$N$25,MATCH(LARGE('Perhitungan IPH Mingguan 2025'!$FR$6:$FR$25,3),'Perhitungan IPH Mingguan 2025'!$FR$6:$FR$25,0)),"")</f>
        <v>-7.90513833992094</v>
      </c>
      <c r="E32" s="4" t="n">
        <f aca="false">IFERROR(INDEX('Perhitungan IPH Mingguan 2025'!$O$6:$O$25,MATCH(LARGE('Perhitungan IPH Mingguan 2025'!$FR$6:$FR$25,3),'Perhitungan IPH Mingguan 2025'!$FR$6:$FR$25,0)),"")</f>
        <v>-0.473283963220788</v>
      </c>
      <c r="F32" s="21" t="str">
        <f aca="false">IF(ISNUMBER(E32),IF(E32&gt;0,"Penyumbang KENAIKAN IPH","Penyumbang PENURUNAN IPH"),"-")</f>
        <v>Penyumbang PENURUNAN IPH</v>
      </c>
    </row>
    <row r="33" customFormat="false" ht="15" hidden="false" customHeight="false" outlineLevel="0" collapsed="false">
      <c r="A33" s="3" t="n">
        <v>4</v>
      </c>
      <c r="B33" s="5" t="str">
        <f aca="false">IFERROR(INDEX('Perhitungan IPH Mingguan 2025'!$B$6:$B$25,MATCH(LARGE('Perhitungan IPH Mingguan 2025'!$FR$6:$FR$25,4),'Perhitungan IPH Mingguan 2025'!$FR$6:$FR$25,0)),"-")</f>
        <v>daging ayam ras 1124003</v>
      </c>
      <c r="C33" s="20" t="n">
        <f aca="false">IFERROR(INDEX('Perhitungan IPH Mingguan 2025'!$C$6:$C$25,MATCH(LARGE('Perhitungan IPH Mingguan 2025'!$FR$6:$FR$25,4),'Perhitungan IPH Mingguan 2025'!$FR$6:$FR$25,0)),"")</f>
        <v>0.0479107777850277</v>
      </c>
      <c r="D33" s="14" t="n">
        <f aca="false">IFERROR(INDEX('Perhitungan IPH Mingguan 2025'!$N$6:$N$25,MATCH(LARGE('Perhitungan IPH Mingguan 2025'!$FR$6:$FR$25,4),'Perhitungan IPH Mingguan 2025'!$FR$6:$FR$25,0)),"")</f>
        <v>-9.21739130434783</v>
      </c>
      <c r="E33" s="4" t="n">
        <f aca="false">IFERROR(INDEX('Perhitungan IPH Mingguan 2025'!$O$6:$O$25,MATCH(LARGE('Perhitungan IPH Mingguan 2025'!$FR$6:$FR$25,4),'Perhitungan IPH Mingguan 2025'!$FR$6:$FR$25,0)),"")</f>
        <v>-0.441612386540255</v>
      </c>
      <c r="F33" s="21" t="str">
        <f aca="false">IF(ISNUMBER(E33),IF(E33&gt;0,"Penyumbang KENAIKAN IPH","Penyumbang PENURUNAN IPH"),"-")</f>
        <v>Penyumbang PENURUNAN IPH</v>
      </c>
    </row>
    <row r="34" customFormat="false" ht="15" hidden="false" customHeight="false" outlineLevel="0" collapsed="false">
      <c r="A34" s="3" t="n">
        <v>5</v>
      </c>
      <c r="B34" s="5" t="str">
        <f aca="false">IFERROR(INDEX('Perhitungan IPH Mingguan 2025'!$B$6:$B$25,MATCH(LARGE('Perhitungan IPH Mingguan 2025'!$FR$6:$FR$25,5),'Perhitungan IPH Mingguan 2025'!$FR$6:$FR$25,0)),"-")</f>
        <v>bawang merah 1174006</v>
      </c>
      <c r="C34" s="20" t="n">
        <f aca="false">IFERROR(INDEX('Perhitungan IPH Mingguan 2025'!$C$6:$C$25,MATCH(LARGE('Perhitungan IPH Mingguan 2025'!$FR$6:$FR$25,5),'Perhitungan IPH Mingguan 2025'!$FR$6:$FR$25,0)),"")</f>
        <v>0.0194434650422287</v>
      </c>
      <c r="D34" s="14" t="n">
        <f aca="false">IFERROR(INDEX('Perhitungan IPH Mingguan 2025'!$N$6:$N$25,MATCH(LARGE('Perhitungan IPH Mingguan 2025'!$FR$6:$FR$25,5),'Perhitungan IPH Mingguan 2025'!$FR$6:$FR$25,0)),"")</f>
        <v>-16.3636363636364</v>
      </c>
      <c r="E34" s="4" t="n">
        <f aca="false">IFERROR(INDEX('Perhitungan IPH Mingguan 2025'!$O$6:$O$25,MATCH(LARGE('Perhitungan IPH Mingguan 2025'!$FR$6:$FR$25,5),'Perhitungan IPH Mingguan 2025'!$FR$6:$FR$25,0)),"")</f>
        <v>-0.318165791600106</v>
      </c>
      <c r="F34" s="21" t="str">
        <f aca="false">IF(ISNUMBER(E34),IF(E34&gt;0,"Penyumbang KENAIKAN IPH","Penyumbang PENURUNAN IPH"),"-")</f>
        <v>Penyumbang PENURUNAN IPH</v>
      </c>
    </row>
    <row r="36" customFormat="false" ht="15" hidden="false" customHeight="false" outlineLevel="0" collapsed="false">
      <c r="A36" s="19" t="s">
        <v>271</v>
      </c>
      <c r="B36" s="19"/>
      <c r="C36" s="19"/>
      <c r="D36" s="19"/>
      <c r="E36" s="19"/>
      <c r="F36" s="19"/>
    </row>
    <row r="37" customFormat="false" ht="15" hidden="false" customHeight="false" outlineLevel="0" collapsed="false">
      <c r="A37" s="10" t="s">
        <v>263</v>
      </c>
      <c r="B37" s="10" t="s">
        <v>264</v>
      </c>
      <c r="C37" s="10" t="s">
        <v>174</v>
      </c>
      <c r="D37" s="10" t="s">
        <v>265</v>
      </c>
      <c r="E37" s="10" t="s">
        <v>266</v>
      </c>
      <c r="F37" s="10" t="s">
        <v>267</v>
      </c>
    </row>
    <row r="38" customFormat="false" ht="15" hidden="false" customHeight="false" outlineLevel="0" collapsed="false">
      <c r="A38" s="3" t="n">
        <v>1</v>
      </c>
      <c r="B38" s="5" t="str">
        <f aca="false">IFERROR(INDEX('Perhitungan IPH Mingguan 2025'!$B$6:$B$25,MATCH(LARGE('Perhitungan IPH Mingguan 2025'!$FS$6:$FS$25,1),'Perhitungan IPH Mingguan 2025'!$FS$6:$FS$25,0)),"-")</f>
        <v>cabai rawit 01173013</v>
      </c>
      <c r="C38" s="20" t="n">
        <f aca="false">IFERROR(INDEX('Perhitungan IPH Mingguan 2025'!$C$6:$C$25,MATCH(LARGE('Perhitungan IPH Mingguan 2025'!$FS$6:$FS$25,1),'Perhitungan IPH Mingguan 2025'!$FS$6:$FS$25,0)),"")</f>
        <v>0.0177017323628706</v>
      </c>
      <c r="D38" s="14" t="n">
        <f aca="false">IFERROR(INDEX('Perhitungan IPH Mingguan 2025'!$Q$6:$Q$25,MATCH(LARGE('Perhitungan IPH Mingguan 2025'!$FS$6:$FS$25,1),'Perhitungan IPH Mingguan 2025'!$FS$6:$FS$25,0)),"")</f>
        <v>50.8021390374332</v>
      </c>
      <c r="E38" s="4" t="n">
        <f aca="false">IFERROR(INDEX('Perhitungan IPH Mingguan 2025'!$R$6:$R$25,MATCH(LARGE('Perhitungan IPH Mingguan 2025'!$FS$6:$FS$25,1),'Perhitungan IPH Mingguan 2025'!$FS$6:$FS$25,0)),"")</f>
        <v>0.899285868701982</v>
      </c>
      <c r="F38" s="21" t="str">
        <f aca="false">IF(ISNUMBER(E38),IF(E38&gt;0,"Penyumbang KENAIKAN IPH","Penyumbang PENURUNAN IPH"),"-")</f>
        <v>Penyumbang KENAIKAN IPH</v>
      </c>
    </row>
    <row r="39" customFormat="false" ht="15" hidden="false" customHeight="false" outlineLevel="0" collapsed="false">
      <c r="A39" s="3" t="n">
        <v>2</v>
      </c>
      <c r="B39" s="5" t="str">
        <f aca="false">IFERROR(INDEX('Perhitungan IPH Mingguan 2025'!$B$6:$B$25,MATCH(LARGE('Perhitungan IPH Mingguan 2025'!$FS$6:$FS$25,2),'Perhitungan IPH Mingguan 2025'!$FS$6:$FS$25,0)),"-")</f>
        <v>cabai merah 01173012</v>
      </c>
      <c r="C39" s="20" t="n">
        <f aca="false">IFERROR(INDEX('Perhitungan IPH Mingguan 2025'!$C$6:$C$25,MATCH(LARGE('Perhitungan IPH Mingguan 2025'!$FS$6:$FS$25,2),'Perhitungan IPH Mingguan 2025'!$FS$6:$FS$25,0)),"")</f>
        <v>0.0110208839376634</v>
      </c>
      <c r="D39" s="14" t="n">
        <f aca="false">IFERROR(INDEX('Perhitungan IPH Mingguan 2025'!$Q$6:$Q$25,MATCH(LARGE('Perhitungan IPH Mingguan 2025'!$FS$6:$FS$25,2),'Perhitungan IPH Mingguan 2025'!$FS$6:$FS$25,0)),"")</f>
        <v>51.2252042007001</v>
      </c>
      <c r="E39" s="4" t="n">
        <f aca="false">IFERROR(INDEX('Perhitungan IPH Mingguan 2025'!$R$6:$R$25,MATCH(LARGE('Perhitungan IPH Mingguan 2025'!$FS$6:$FS$25,2),'Perhitungan IPH Mingguan 2025'!$FS$6:$FS$25,0)),"")</f>
        <v>0.564547030179024</v>
      </c>
      <c r="F39" s="21" t="str">
        <f aca="false">IF(ISNUMBER(E39),IF(E39&gt;0,"Penyumbang KENAIKAN IPH","Penyumbang PENURUNAN IPH"),"-")</f>
        <v>Penyumbang KENAIKAN IPH</v>
      </c>
    </row>
    <row r="40" customFormat="false" ht="15" hidden="false" customHeight="false" outlineLevel="0" collapsed="false">
      <c r="A40" s="3" t="n">
        <v>3</v>
      </c>
      <c r="B40" s="5" t="str">
        <f aca="false">IFERROR(INDEX('Perhitungan IPH Mingguan 2025'!$B$6:$B$25,MATCH(LARGE('Perhitungan IPH Mingguan 2025'!$FS$6:$FS$25,3),'Perhitungan IPH Mingguan 2025'!$FS$6:$FS$25,0)),"-")</f>
        <v>daging sapi 01121001</v>
      </c>
      <c r="C40" s="20" t="n">
        <f aca="false">IFERROR(INDEX('Perhitungan IPH Mingguan 2025'!$C$6:$C$25,MATCH(LARGE('Perhitungan IPH Mingguan 2025'!$FS$6:$FS$25,3),'Perhitungan IPH Mingguan 2025'!$FS$6:$FS$25,0)),"")</f>
        <v>0.0598704213474298</v>
      </c>
      <c r="D40" s="14" t="n">
        <f aca="false">IFERROR(INDEX('Perhitungan IPH Mingguan 2025'!$Q$6:$Q$25,MATCH(LARGE('Perhitungan IPH Mingguan 2025'!$FS$6:$FS$25,3),'Perhitungan IPH Mingguan 2025'!$FS$6:$FS$25,0)),"")</f>
        <v>-7.90513833992094</v>
      </c>
      <c r="E40" s="4" t="n">
        <f aca="false">IFERROR(INDEX('Perhitungan IPH Mingguan 2025'!$R$6:$R$25,MATCH(LARGE('Perhitungan IPH Mingguan 2025'!$FS$6:$FS$25,3),'Perhitungan IPH Mingguan 2025'!$FS$6:$FS$25,0)),"")</f>
        <v>-0.473283963220788</v>
      </c>
      <c r="F40" s="21" t="str">
        <f aca="false">IF(ISNUMBER(E40),IF(E40&gt;0,"Penyumbang KENAIKAN IPH","Penyumbang PENURUNAN IPH"),"-")</f>
        <v>Penyumbang PENURUNAN IPH</v>
      </c>
    </row>
    <row r="41" customFormat="false" ht="15" hidden="false" customHeight="false" outlineLevel="0" collapsed="false">
      <c r="A41" s="3" t="n">
        <v>4</v>
      </c>
      <c r="B41" s="5" t="str">
        <f aca="false">IFERROR(INDEX('Perhitungan IPH Mingguan 2025'!$B$6:$B$25,MATCH(LARGE('Perhitungan IPH Mingguan 2025'!$FS$6:$FS$25,4),'Perhitungan IPH Mingguan 2025'!$FS$6:$FS$25,0)),"-")</f>
        <v>daging ayam ras 1124003</v>
      </c>
      <c r="C41" s="20" t="n">
        <f aca="false">IFERROR(INDEX('Perhitungan IPH Mingguan 2025'!$C$6:$C$25,MATCH(LARGE('Perhitungan IPH Mingguan 2025'!$FS$6:$FS$25,4),'Perhitungan IPH Mingguan 2025'!$FS$6:$FS$25,0)),"")</f>
        <v>0.0479107777850277</v>
      </c>
      <c r="D41" s="14" t="n">
        <f aca="false">IFERROR(INDEX('Perhitungan IPH Mingguan 2025'!$Q$6:$Q$25,MATCH(LARGE('Perhitungan IPH Mingguan 2025'!$FS$6:$FS$25,4),'Perhitungan IPH Mingguan 2025'!$FS$6:$FS$25,0)),"")</f>
        <v>-9.21739130434783</v>
      </c>
      <c r="E41" s="4" t="n">
        <f aca="false">IFERROR(INDEX('Perhitungan IPH Mingguan 2025'!$R$6:$R$25,MATCH(LARGE('Perhitungan IPH Mingguan 2025'!$FS$6:$FS$25,4),'Perhitungan IPH Mingguan 2025'!$FS$6:$FS$25,0)),"")</f>
        <v>-0.441612386540255</v>
      </c>
      <c r="F41" s="21" t="str">
        <f aca="false">IF(ISNUMBER(E41),IF(E41&gt;0,"Penyumbang KENAIKAN IPH","Penyumbang PENURUNAN IPH"),"-")</f>
        <v>Penyumbang PENURUNAN IPH</v>
      </c>
    </row>
    <row r="42" customFormat="false" ht="15" hidden="false" customHeight="false" outlineLevel="0" collapsed="false">
      <c r="A42" s="3" t="n">
        <v>5</v>
      </c>
      <c r="B42" s="5" t="str">
        <f aca="false">IFERROR(INDEX('Perhitungan IPH Mingguan 2025'!$B$6:$B$25,MATCH(LARGE('Perhitungan IPH Mingguan 2025'!$FS$6:$FS$25,5),'Perhitungan IPH Mingguan 2025'!$FS$6:$FS$25,0)),"-")</f>
        <v>bawang merah 1174006</v>
      </c>
      <c r="C42" s="20" t="n">
        <f aca="false">IFERROR(INDEX('Perhitungan IPH Mingguan 2025'!$C$6:$C$25,MATCH(LARGE('Perhitungan IPH Mingguan 2025'!$FS$6:$FS$25,5),'Perhitungan IPH Mingguan 2025'!$FS$6:$FS$25,0)),"")</f>
        <v>0.0194434650422287</v>
      </c>
      <c r="D42" s="14" t="n">
        <f aca="false">IFERROR(INDEX('Perhitungan IPH Mingguan 2025'!$Q$6:$Q$25,MATCH(LARGE('Perhitungan IPH Mingguan 2025'!$FS$6:$FS$25,5),'Perhitungan IPH Mingguan 2025'!$FS$6:$FS$25,0)),"")</f>
        <v>-16.3636363636364</v>
      </c>
      <c r="E42" s="4" t="n">
        <f aca="false">IFERROR(INDEX('Perhitungan IPH Mingguan 2025'!$R$6:$R$25,MATCH(LARGE('Perhitungan IPH Mingguan 2025'!$FS$6:$FS$25,5),'Perhitungan IPH Mingguan 2025'!$FS$6:$FS$25,0)),"")</f>
        <v>-0.318165791600106</v>
      </c>
      <c r="F42" s="21" t="str">
        <f aca="false">IF(ISNUMBER(E42),IF(E42&gt;0,"Penyumbang KENAIKAN IPH","Penyumbang PENURUNAN IPH"),"-")</f>
        <v>Penyumbang PENURUNAN IPH</v>
      </c>
    </row>
    <row r="44" customFormat="false" ht="15" hidden="false" customHeight="false" outlineLevel="0" collapsed="false">
      <c r="A44" s="19" t="s">
        <v>272</v>
      </c>
      <c r="B44" s="19"/>
      <c r="C44" s="19"/>
      <c r="D44" s="19"/>
      <c r="E44" s="19"/>
      <c r="F44" s="19"/>
    </row>
    <row r="45" customFormat="false" ht="15" hidden="false" customHeight="false" outlineLevel="0" collapsed="false">
      <c r="A45" s="10" t="s">
        <v>263</v>
      </c>
      <c r="B45" s="10" t="s">
        <v>264</v>
      </c>
      <c r="C45" s="10" t="s">
        <v>174</v>
      </c>
      <c r="D45" s="10" t="s">
        <v>265</v>
      </c>
      <c r="E45" s="10" t="s">
        <v>266</v>
      </c>
      <c r="F45" s="10" t="s">
        <v>267</v>
      </c>
    </row>
    <row r="46" customFormat="false" ht="15" hidden="false" customHeight="false" outlineLevel="0" collapsed="false">
      <c r="A46" s="3" t="n">
        <v>1</v>
      </c>
      <c r="B46" s="5" t="str">
        <f aca="false">IFERROR(INDEX('Perhitungan IPH Mingguan 2025'!$B$6:$B$25,MATCH(LARGE('Perhitungan IPH Mingguan 2025'!$FT$6:$FT$25,1),'Perhitungan IPH Mingguan 2025'!$FT$6:$FT$25,0)),"-")</f>
        <v>daging ayam ras 1124003</v>
      </c>
      <c r="C46" s="20" t="n">
        <f aca="false">IFERROR(INDEX('Perhitungan IPH Mingguan 2025'!$C$6:$C$25,MATCH(LARGE('Perhitungan IPH Mingguan 2025'!$FT$6:$FT$25,1),'Perhitungan IPH Mingguan 2025'!$FT$6:$FT$25,0)),"")</f>
        <v>0.0479107777850277</v>
      </c>
      <c r="D46" s="14" t="n">
        <f aca="false">IFERROR(INDEX('Perhitungan IPH Mingguan 2025'!$T$6:$T$25,MATCH(LARGE('Perhitungan IPH Mingguan 2025'!$FT$6:$FT$25,1),'Perhitungan IPH Mingguan 2025'!$FT$6:$FT$25,0)),"")</f>
        <v>-2.13143872113676</v>
      </c>
      <c r="E46" s="4" t="n">
        <f aca="false">IFERROR(INDEX('Perhitungan IPH Mingguan 2025'!$U$6:$U$25,MATCH(LARGE('Perhitungan IPH Mingguan 2025'!$FT$6:$FT$25,1),'Perhitungan IPH Mingguan 2025'!$FT$6:$FT$25,0)),"")</f>
        <v>-0.102118886930787</v>
      </c>
      <c r="F46" s="21" t="str">
        <f aca="false">IF(ISNUMBER(E46),IF(E46&gt;0,"Penyumbang KENAIKAN IPH","Penyumbang PENURUNAN IPH"),"-")</f>
        <v>Penyumbang PENURUNAN IPH</v>
      </c>
    </row>
    <row r="47" customFormat="false" ht="15" hidden="false" customHeight="false" outlineLevel="0" collapsed="false">
      <c r="A47" s="3" t="n">
        <v>2</v>
      </c>
      <c r="B47" s="5" t="str">
        <f aca="false">IFERROR(INDEX('Perhitungan IPH Mingguan 2025'!$B$6:$B$25,MATCH(LARGE('Perhitungan IPH Mingguan 2025'!$FT$6:$FT$25,2),'Perhitungan IPH Mingguan 2025'!$FT$6:$FT$25,0)),"-")</f>
        <v>cabai merah 01173012</v>
      </c>
      <c r="C47" s="20" t="n">
        <f aca="false">IFERROR(INDEX('Perhitungan IPH Mingguan 2025'!$C$6:$C$25,MATCH(LARGE('Perhitungan IPH Mingguan 2025'!$FT$6:$FT$25,2),'Perhitungan IPH Mingguan 2025'!$FT$6:$FT$25,0)),"")</f>
        <v>0.0110208839376634</v>
      </c>
      <c r="D47" s="14" t="n">
        <f aca="false">IFERROR(INDEX('Perhitungan IPH Mingguan 2025'!$T$6:$T$25,MATCH(LARGE('Perhitungan IPH Mingguan 2025'!$FT$6:$FT$25,2),'Perhitungan IPH Mingguan 2025'!$FT$6:$FT$25,0)),"")</f>
        <v>5.14988470407378</v>
      </c>
      <c r="E47" s="4" t="n">
        <f aca="false">IFERROR(INDEX('Perhitungan IPH Mingguan 2025'!$U$6:$U$25,MATCH(LARGE('Perhitungan IPH Mingguan 2025'!$FT$6:$FT$25,2),'Perhitungan IPH Mingguan 2025'!$FT$6:$FT$25,0)),"")</f>
        <v>0.0567562816159452</v>
      </c>
      <c r="F47" s="21" t="str">
        <f aca="false">IF(ISNUMBER(E47),IF(E47&gt;0,"Penyumbang KENAIKAN IPH","Penyumbang PENURUNAN IPH"),"-")</f>
        <v>Penyumbang KENAIKAN IPH</v>
      </c>
    </row>
    <row r="48" customFormat="false" ht="15" hidden="false" customHeight="false" outlineLevel="0" collapsed="false">
      <c r="A48" s="3" t="n">
        <v>3</v>
      </c>
      <c r="B48" s="5" t="str">
        <f aca="false">IFERROR(INDEX('Perhitungan IPH Mingguan 2025'!$B$6:$B$25,MATCH(LARGE('Perhitungan IPH Mingguan 2025'!$FT$6:$FT$25,3),'Perhitungan IPH Mingguan 2025'!$FT$6:$FT$25,0)),"-")</f>
        <v>daging sapi 01121001</v>
      </c>
      <c r="C48" s="20" t="n">
        <f aca="false">IFERROR(INDEX('Perhitungan IPH Mingguan 2025'!$C$6:$C$25,MATCH(LARGE('Perhitungan IPH Mingguan 2025'!$FT$6:$FT$25,3),'Perhitungan IPH Mingguan 2025'!$FT$6:$FT$25,0)),"")</f>
        <v>0.0598704213474298</v>
      </c>
      <c r="D48" s="14" t="n">
        <f aca="false">IFERROR(INDEX('Perhitungan IPH Mingguan 2025'!$T$6:$T$25,MATCH(LARGE('Perhitungan IPH Mingguan 2025'!$FT$6:$FT$25,3),'Perhitungan IPH Mingguan 2025'!$FT$6:$FT$25,0)),"")</f>
        <v>-0.89545556301769</v>
      </c>
      <c r="E48" s="4" t="n">
        <f aca="false">IFERROR(INDEX('Perhitungan IPH Mingguan 2025'!$U$6:$U$25,MATCH(LARGE('Perhitungan IPH Mingguan 2025'!$FT$6:$FT$25,3),'Perhitungan IPH Mingguan 2025'!$FT$6:$FT$25,0)),"")</f>
        <v>-0.0536113018557691</v>
      </c>
      <c r="F48" s="21" t="str">
        <f aca="false">IF(ISNUMBER(E48),IF(E48&gt;0,"Penyumbang KENAIKAN IPH","Penyumbang PENURUNAN IPH"),"-")</f>
        <v>Penyumbang PENURUNAN IPH</v>
      </c>
    </row>
    <row r="49" customFormat="false" ht="15" hidden="false" customHeight="false" outlineLevel="0" collapsed="false">
      <c r="A49" s="3" t="n">
        <v>4</v>
      </c>
      <c r="B49" s="5" t="str">
        <f aca="false">IFERROR(INDEX('Perhitungan IPH Mingguan 2025'!$B$6:$B$25,MATCH(LARGE('Perhitungan IPH Mingguan 2025'!$FT$6:$FT$25,4),'Perhitungan IPH Mingguan 2025'!$FT$6:$FT$25,0)),"-")</f>
        <v>bawang merah 1174006</v>
      </c>
      <c r="C49" s="20" t="n">
        <f aca="false">IFERROR(INDEX('Perhitungan IPH Mingguan 2025'!$C$6:$C$25,MATCH(LARGE('Perhitungan IPH Mingguan 2025'!$FT$6:$FT$25,4),'Perhitungan IPH Mingguan 2025'!$FT$6:$FT$25,0)),"")</f>
        <v>0.0194434650422287</v>
      </c>
      <c r="D49" s="14" t="n">
        <f aca="false">IFERROR(INDEX('Perhitungan IPH Mingguan 2025'!$T$6:$T$25,MATCH(LARGE('Perhitungan IPH Mingguan 2025'!$FT$6:$FT$25,4),'Perhitungan IPH Mingguan 2025'!$FT$6:$FT$25,0)),"")</f>
        <v>-2.03786191536748</v>
      </c>
      <c r="E49" s="4" t="n">
        <f aca="false">IFERROR(INDEX('Perhitungan IPH Mingguan 2025'!$U$6:$U$25,MATCH(LARGE('Perhitungan IPH Mingguan 2025'!$FT$6:$FT$25,4),'Perhitungan IPH Mingguan 2025'!$FT$6:$FT$25,0)),"")</f>
        <v>-0.0396230969123368</v>
      </c>
      <c r="F49" s="21" t="str">
        <f aca="false">IF(ISNUMBER(E49),IF(E49&gt;0,"Penyumbang KENAIKAN IPH","Penyumbang PENURUNAN IPH"),"-")</f>
        <v>Penyumbang PENURUNAN IPH</v>
      </c>
    </row>
    <row r="50" customFormat="false" ht="15" hidden="false" customHeight="false" outlineLevel="0" collapsed="false">
      <c r="A50" s="3" t="n">
        <v>5</v>
      </c>
      <c r="B50" s="5" t="str">
        <f aca="false">IFERROR(INDEX('Perhitungan IPH Mingguan 2025'!$B$6:$B$25,MATCH(LARGE('Perhitungan IPH Mingguan 2025'!$FT$6:$FT$25,5),'Perhitungan IPH Mingguan 2025'!$FT$6:$FT$25,0)),"-")</f>
        <v>ikan kembung 01131028</v>
      </c>
      <c r="C50" s="20" t="n">
        <f aca="false">IFERROR(INDEX('Perhitungan IPH Mingguan 2025'!$C$6:$C$25,MATCH(LARGE('Perhitungan IPH Mingguan 2025'!$FT$6:$FT$25,5),'Perhitungan IPH Mingguan 2025'!$FT$6:$FT$25,0)),"")</f>
        <v>0.0207715409161349</v>
      </c>
      <c r="D50" s="14" t="n">
        <f aca="false">IFERROR(INDEX('Perhitungan IPH Mingguan 2025'!$T$6:$T$25,MATCH(LARGE('Perhitungan IPH Mingguan 2025'!$FT$6:$FT$25,5),'Perhitungan IPH Mingguan 2025'!$FT$6:$FT$25,0)),"")</f>
        <v>1.83767228177641</v>
      </c>
      <c r="E50" s="4" t="n">
        <f aca="false">IFERROR(INDEX('Perhitungan IPH Mingguan 2025'!$U$6:$U$25,MATCH(LARGE('Perhitungan IPH Mingguan 2025'!$FT$6:$FT$25,5),'Perhitungan IPH Mingguan 2025'!$FT$6:$FT$25,0)),"")</f>
        <v>0.0381712849913657</v>
      </c>
      <c r="F50" s="21" t="str">
        <f aca="false">IF(ISNUMBER(E50),IF(E50&gt;0,"Penyumbang KENAIKAN IPH","Penyumbang PENURUNAN IPH"),"-")</f>
        <v>Penyumbang KENAIKAN IPH</v>
      </c>
    </row>
    <row r="52" customFormat="false" ht="15" hidden="false" customHeight="false" outlineLevel="0" collapsed="false">
      <c r="A52" s="19" t="s">
        <v>273</v>
      </c>
      <c r="B52" s="19"/>
      <c r="C52" s="19"/>
      <c r="D52" s="19"/>
      <c r="E52" s="19"/>
      <c r="F52" s="19"/>
    </row>
    <row r="53" customFormat="false" ht="15" hidden="false" customHeight="false" outlineLevel="0" collapsed="false">
      <c r="A53" s="10" t="s">
        <v>263</v>
      </c>
      <c r="B53" s="10" t="s">
        <v>264</v>
      </c>
      <c r="C53" s="10" t="s">
        <v>174</v>
      </c>
      <c r="D53" s="10" t="s">
        <v>265</v>
      </c>
      <c r="E53" s="10" t="s">
        <v>266</v>
      </c>
      <c r="F53" s="10" t="s">
        <v>267</v>
      </c>
    </row>
    <row r="54" customFormat="false" ht="15" hidden="false" customHeight="false" outlineLevel="0" collapsed="false">
      <c r="A54" s="3" t="n">
        <v>1</v>
      </c>
      <c r="B54" s="5" t="str">
        <f aca="false">IFERROR(INDEX('Perhitungan IPH Mingguan 2025'!$B$6:$B$25,MATCH(LARGE('Perhitungan IPH Mingguan 2025'!$FU$6:$FU$25,1),'Perhitungan IPH Mingguan 2025'!$FU$6:$FU$25,0)),"-")</f>
        <v>daging ayam ras 1124003</v>
      </c>
      <c r="C54" s="20" t="n">
        <f aca="false">IFERROR(INDEX('Perhitungan IPH Mingguan 2025'!$C$6:$C$25,MATCH(LARGE('Perhitungan IPH Mingguan 2025'!$FU$6:$FU$25,1),'Perhitungan IPH Mingguan 2025'!$FU$6:$FU$25,0)),"")</f>
        <v>0.0479107777850277</v>
      </c>
      <c r="D54" s="14" t="n">
        <f aca="false">IFERROR(INDEX('Perhitungan IPH Mingguan 2025'!$W$6:$W$25,MATCH(LARGE('Perhitungan IPH Mingguan 2025'!$FU$6:$FU$25,1),'Perhitungan IPH Mingguan 2025'!$FU$6:$FU$25,0)),"")</f>
        <v>1.24333925399645</v>
      </c>
      <c r="E54" s="4" t="n">
        <f aca="false">IFERROR(INDEX('Perhitungan IPH Mingguan 2025'!$X$6:$X$25,MATCH(LARGE('Perhitungan IPH Mingguan 2025'!$FU$6:$FU$25,1),'Perhitungan IPH Mingguan 2025'!$FU$6:$FU$25,0)),"")</f>
        <v>0.0595693507096261</v>
      </c>
      <c r="F54" s="21" t="str">
        <f aca="false">IF(ISNUMBER(E54),IF(E54&gt;0,"Penyumbang KENAIKAN IPH","Penyumbang PENURUNAN IPH"),"-")</f>
        <v>Penyumbang KENAIKAN IPH</v>
      </c>
    </row>
    <row r="55" customFormat="false" ht="15" hidden="false" customHeight="false" outlineLevel="0" collapsed="false">
      <c r="A55" s="3" t="n">
        <v>2</v>
      </c>
      <c r="B55" s="5" t="str">
        <f aca="false">IFERROR(INDEX('Perhitungan IPH Mingguan 2025'!$B$6:$B$25,MATCH(LARGE('Perhitungan IPH Mingguan 2025'!$FU$6:$FU$25,2),'Perhitungan IPH Mingguan 2025'!$FU$6:$FU$25,0)),"-")</f>
        <v>cabai merah 01173012</v>
      </c>
      <c r="C55" s="20" t="n">
        <f aca="false">IFERROR(INDEX('Perhitungan IPH Mingguan 2025'!$C$6:$C$25,MATCH(LARGE('Perhitungan IPH Mingguan 2025'!$FU$6:$FU$25,2),'Perhitungan IPH Mingguan 2025'!$FU$6:$FU$25,0)),"")</f>
        <v>0.0110208839376634</v>
      </c>
      <c r="D55" s="14" t="n">
        <f aca="false">IFERROR(INDEX('Perhitungan IPH Mingguan 2025'!$W$6:$W$25,MATCH(LARGE('Perhitungan IPH Mingguan 2025'!$FU$6:$FU$25,2),'Perhitungan IPH Mingguan 2025'!$FU$6:$FU$25,0)),"")</f>
        <v>5.14988470407378</v>
      </c>
      <c r="E55" s="4" t="n">
        <f aca="false">IFERROR(INDEX('Perhitungan IPH Mingguan 2025'!$X$6:$X$25,MATCH(LARGE('Perhitungan IPH Mingguan 2025'!$FU$6:$FU$25,2),'Perhitungan IPH Mingguan 2025'!$FU$6:$FU$25,0)),"")</f>
        <v>0.0567562816159452</v>
      </c>
      <c r="F55" s="21" t="str">
        <f aca="false">IF(ISNUMBER(E55),IF(E55&gt;0,"Penyumbang KENAIKAN IPH","Penyumbang PENURUNAN IPH"),"-")</f>
        <v>Penyumbang KENAIKAN IPH</v>
      </c>
    </row>
    <row r="56" customFormat="false" ht="15" hidden="false" customHeight="false" outlineLevel="0" collapsed="false">
      <c r="A56" s="3" t="n">
        <v>3</v>
      </c>
      <c r="B56" s="5" t="str">
        <f aca="false">IFERROR(INDEX('Perhitungan IPH Mingguan 2025'!$B$6:$B$25,MATCH(LARGE('Perhitungan IPH Mingguan 2025'!$FU$6:$FU$25,3),'Perhitungan IPH Mingguan 2025'!$FU$6:$FU$25,0)),"-")</f>
        <v>daging sapi 01121001</v>
      </c>
      <c r="C56" s="20" t="n">
        <f aca="false">IFERROR(INDEX('Perhitungan IPH Mingguan 2025'!$C$6:$C$25,MATCH(LARGE('Perhitungan IPH Mingguan 2025'!$FU$6:$FU$25,3),'Perhitungan IPH Mingguan 2025'!$FU$6:$FU$25,0)),"")</f>
        <v>0.0598704213474298</v>
      </c>
      <c r="D56" s="14" t="n">
        <f aca="false">IFERROR(INDEX('Perhitungan IPH Mingguan 2025'!$W$6:$W$25,MATCH(LARGE('Perhitungan IPH Mingguan 2025'!$FU$6:$FU$25,3),'Perhitungan IPH Mingguan 2025'!$FU$6:$FU$25,0)),"")</f>
        <v>-0.89545556301769</v>
      </c>
      <c r="E56" s="4" t="n">
        <f aca="false">IFERROR(INDEX('Perhitungan IPH Mingguan 2025'!$X$6:$X$25,MATCH(LARGE('Perhitungan IPH Mingguan 2025'!$FU$6:$FU$25,3),'Perhitungan IPH Mingguan 2025'!$FU$6:$FU$25,0)),"")</f>
        <v>-0.0536113018557691</v>
      </c>
      <c r="F56" s="21" t="str">
        <f aca="false">IF(ISNUMBER(E56),IF(E56&gt;0,"Penyumbang KENAIKAN IPH","Penyumbang PENURUNAN IPH"),"-")</f>
        <v>Penyumbang PENURUNAN IPH</v>
      </c>
    </row>
    <row r="57" customFormat="false" ht="15" hidden="false" customHeight="false" outlineLevel="0" collapsed="false">
      <c r="A57" s="3" t="n">
        <v>4</v>
      </c>
      <c r="B57" s="5" t="str">
        <f aca="false">IFERROR(INDEX('Perhitungan IPH Mingguan 2025'!$B$6:$B$25,MATCH(LARGE('Perhitungan IPH Mingguan 2025'!$FU$6:$FU$25,4),'Perhitungan IPH Mingguan 2025'!$FU$6:$FU$25,0)),"-")</f>
        <v>minyak goreng 01154001/4</v>
      </c>
      <c r="C57" s="20" t="n">
        <f aca="false">IFERROR(INDEX('Perhitungan IPH Mingguan 2025'!$C$6:$C$25,MATCH(LARGE('Perhitungan IPH Mingguan 2025'!$FU$6:$FU$25,4),'Perhitungan IPH Mingguan 2025'!$FU$6:$FU$25,0)),"")</f>
        <v>0.0451766229856385</v>
      </c>
      <c r="D57" s="14" t="n">
        <f aca="false">IFERROR(INDEX('Perhitungan IPH Mingguan 2025'!$W$6:$W$25,MATCH(LARGE('Perhitungan IPH Mingguan 2025'!$FU$6:$FU$25,4),'Perhitungan IPH Mingguan 2025'!$FU$6:$FU$25,0)),"")</f>
        <v>1.02564102564103</v>
      </c>
      <c r="E57" s="4" t="n">
        <f aca="false">IFERROR(INDEX('Perhitungan IPH Mingguan 2025'!$X$6:$X$25,MATCH(LARGE('Perhitungan IPH Mingguan 2025'!$FU$6:$FU$25,4),'Perhitungan IPH Mingguan 2025'!$FU$6:$FU$25,0)),"")</f>
        <v>0.0463349979339885</v>
      </c>
      <c r="F57" s="21" t="str">
        <f aca="false">IF(ISNUMBER(E57),IF(E57&gt;0,"Penyumbang KENAIKAN IPH","Penyumbang PENURUNAN IPH"),"-")</f>
        <v>Penyumbang KENAIKAN IPH</v>
      </c>
    </row>
    <row r="58" customFormat="false" ht="15" hidden="false" customHeight="false" outlineLevel="0" collapsed="false">
      <c r="A58" s="3" t="n">
        <v>5</v>
      </c>
      <c r="B58" s="5" t="str">
        <f aca="false">IFERROR(INDEX('Perhitungan IPH Mingguan 2025'!$B$6:$B$25,MATCH(LARGE('Perhitungan IPH Mingguan 2025'!$FU$6:$FU$25,5),'Perhitungan IPH Mingguan 2025'!$FU$6:$FU$25,0)),"-")</f>
        <v>telur ayam ras 01147002</v>
      </c>
      <c r="C58" s="20" t="n">
        <f aca="false">IFERROR(INDEX('Perhitungan IPH Mingguan 2025'!$C$6:$C$25,MATCH(LARGE('Perhitungan IPH Mingguan 2025'!$FU$6:$FU$25,5),'Perhitungan IPH Mingguan 2025'!$FU$6:$FU$25,0)),"")</f>
        <v>0.0298777910794593</v>
      </c>
      <c r="D58" s="14" t="n">
        <f aca="false">IFERROR(INDEX('Perhitungan IPH Mingguan 2025'!$W$6:$W$25,MATCH(LARGE('Perhitungan IPH Mingguan 2025'!$FU$6:$FU$25,5),'Perhitungan IPH Mingguan 2025'!$FU$6:$FU$25,0)),"")</f>
        <v>1.35983263598326</v>
      </c>
      <c r="E58" s="4" t="n">
        <f aca="false">IFERROR(INDEX('Perhitungan IPH Mingguan 2025'!$X$6:$X$25,MATCH(LARGE('Perhitungan IPH Mingguan 2025'!$FU$6:$FU$25,5),'Perhitungan IPH Mingguan 2025'!$FU$6:$FU$25,0)),"")</f>
        <v>0.0406287954009382</v>
      </c>
      <c r="F58" s="21" t="str">
        <f aca="false">IF(ISNUMBER(E58),IF(E58&gt;0,"Penyumbang KENAIKAN IPH","Penyumbang PENURUNAN IPH"),"-")</f>
        <v>Penyumbang KENAIKAN IPH</v>
      </c>
    </row>
    <row r="60" customFormat="false" ht="15" hidden="false" customHeight="false" outlineLevel="0" collapsed="false">
      <c r="A60" s="19" t="s">
        <v>274</v>
      </c>
      <c r="B60" s="19"/>
      <c r="C60" s="19"/>
      <c r="D60" s="19"/>
      <c r="E60" s="19"/>
      <c r="F60" s="19"/>
    </row>
    <row r="61" customFormat="false" ht="15" hidden="false" customHeight="false" outlineLevel="0" collapsed="false">
      <c r="A61" s="10" t="s">
        <v>263</v>
      </c>
      <c r="B61" s="10" t="s">
        <v>264</v>
      </c>
      <c r="C61" s="10" t="s">
        <v>174</v>
      </c>
      <c r="D61" s="10" t="s">
        <v>265</v>
      </c>
      <c r="E61" s="10" t="s">
        <v>266</v>
      </c>
      <c r="F61" s="10" t="s">
        <v>267</v>
      </c>
    </row>
    <row r="62" customFormat="false" ht="15" hidden="false" customHeight="false" outlineLevel="0" collapsed="false">
      <c r="A62" s="3" t="n">
        <v>1</v>
      </c>
      <c r="B62" s="5" t="str">
        <f aca="false">IFERROR(INDEX('Perhitungan IPH Mingguan 2025'!$B$6:$B$25,MATCH(LARGE('Perhitungan IPH Mingguan 2025'!$FV$6:$FV$25,1),'Perhitungan IPH Mingguan 2025'!$FV$6:$FV$25,0)),"-")</f>
        <v>daging ayam ras 1124003</v>
      </c>
      <c r="C62" s="20" t="n">
        <f aca="false">IFERROR(INDEX('Perhitungan IPH Mingguan 2025'!$C$6:$C$25,MATCH(LARGE('Perhitungan IPH Mingguan 2025'!$FV$6:$FV$25,1),'Perhitungan IPH Mingguan 2025'!$FV$6:$FV$25,0)),"")</f>
        <v>0.0479107777850277</v>
      </c>
      <c r="D62" s="14" t="n">
        <f aca="false">IFERROR(INDEX('Perhitungan IPH Mingguan 2025'!$Z$6:$Z$25,MATCH(LARGE('Perhitungan IPH Mingguan 2025'!$FV$6:$FV$25,1),'Perhitungan IPH Mingguan 2025'!$FV$6:$FV$25,0)),"")</f>
        <v>3.94316163410302</v>
      </c>
      <c r="E62" s="4" t="n">
        <f aca="false">IFERROR(INDEX('Perhitungan IPH Mingguan 2025'!$AA$6:$AA$25,MATCH(LARGE('Perhitungan IPH Mingguan 2025'!$FV$6:$FV$25,1),'Perhitungan IPH Mingguan 2025'!$FV$6:$FV$25,0)),"")</f>
        <v>0.188919940821957</v>
      </c>
      <c r="F62" s="21" t="str">
        <f aca="false">IF(ISNUMBER(E62),IF(E62&gt;0,"Penyumbang KENAIKAN IPH","Penyumbang PENURUNAN IPH"),"-")</f>
        <v>Penyumbang KENAIKAN IPH</v>
      </c>
    </row>
    <row r="63" customFormat="false" ht="15" hidden="false" customHeight="false" outlineLevel="0" collapsed="false">
      <c r="A63" s="3" t="n">
        <v>2</v>
      </c>
      <c r="B63" s="5" t="str">
        <f aca="false">IFERROR(INDEX('Perhitungan IPH Mingguan 2025'!$B$6:$B$25,MATCH(LARGE('Perhitungan IPH Mingguan 2025'!$FV$6:$FV$25,2),'Perhitungan IPH Mingguan 2025'!$FV$6:$FV$25,0)),"-")</f>
        <v>cabai rawit 01173013</v>
      </c>
      <c r="C63" s="20" t="n">
        <f aca="false">IFERROR(INDEX('Perhitungan IPH Mingguan 2025'!$C$6:$C$25,MATCH(LARGE('Perhitungan IPH Mingguan 2025'!$FV$6:$FV$25,2),'Perhitungan IPH Mingguan 2025'!$FV$6:$FV$25,0)),"")</f>
        <v>0.0177017323628706</v>
      </c>
      <c r="D63" s="14" t="n">
        <f aca="false">IFERROR(INDEX('Perhitungan IPH Mingguan 2025'!$Z$6:$Z$25,MATCH(LARGE('Perhitungan IPH Mingguan 2025'!$FV$6:$FV$25,2),'Perhitungan IPH Mingguan 2025'!$FV$6:$FV$25,0)),"")</f>
        <v>7.3960113960114</v>
      </c>
      <c r="E63" s="4" t="n">
        <f aca="false">IFERROR(INDEX('Perhitungan IPH Mingguan 2025'!$AA$6:$AA$25,MATCH(LARGE('Perhitungan IPH Mingguan 2025'!$FV$6:$FV$25,2),'Perhitungan IPH Mingguan 2025'!$FV$6:$FV$25,0)),"")</f>
        <v>0.130922214284935</v>
      </c>
      <c r="F63" s="21" t="str">
        <f aca="false">IF(ISNUMBER(E63),IF(E63&gt;0,"Penyumbang KENAIKAN IPH","Penyumbang PENURUNAN IPH"),"-")</f>
        <v>Penyumbang KENAIKAN IPH</v>
      </c>
    </row>
    <row r="64" customFormat="false" ht="15" hidden="false" customHeight="false" outlineLevel="0" collapsed="false">
      <c r="A64" s="3" t="n">
        <v>3</v>
      </c>
      <c r="B64" s="5" t="str">
        <f aca="false">IFERROR(INDEX('Perhitungan IPH Mingguan 2025'!$B$6:$B$25,MATCH(LARGE('Perhitungan IPH Mingguan 2025'!$FV$6:$FV$25,3),'Perhitungan IPH Mingguan 2025'!$FV$6:$FV$25,0)),"-")</f>
        <v>telur ayam ras 01147002</v>
      </c>
      <c r="C64" s="20" t="n">
        <f aca="false">IFERROR(INDEX('Perhitungan IPH Mingguan 2025'!$C$6:$C$25,MATCH(LARGE('Perhitungan IPH Mingguan 2025'!$FV$6:$FV$25,3),'Perhitungan IPH Mingguan 2025'!$FV$6:$FV$25,0)),"")</f>
        <v>0.0298777910794593</v>
      </c>
      <c r="D64" s="14" t="n">
        <f aca="false">IFERROR(INDEX('Perhitungan IPH Mingguan 2025'!$Z$6:$Z$25,MATCH(LARGE('Perhitungan IPH Mingguan 2025'!$FV$6:$FV$25,3),'Perhitungan IPH Mingguan 2025'!$FV$6:$FV$25,0)),"")</f>
        <v>3.74476987447698</v>
      </c>
      <c r="E64" s="4" t="n">
        <f aca="false">IFERROR(INDEX('Perhitungan IPH Mingguan 2025'!$AA$6:$AA$25,MATCH(LARGE('Perhitungan IPH Mingguan 2025'!$FV$6:$FV$25,3),'Perhitungan IPH Mingguan 2025'!$FV$6:$FV$25,0)),"")</f>
        <v>0.111885451950276</v>
      </c>
      <c r="F64" s="21" t="str">
        <f aca="false">IF(ISNUMBER(E64),IF(E64&gt;0,"Penyumbang KENAIKAN IPH","Penyumbang PENURUNAN IPH"),"-")</f>
        <v>Penyumbang KENAIKAN IPH</v>
      </c>
    </row>
    <row r="65" customFormat="false" ht="15" hidden="false" customHeight="false" outlineLevel="0" collapsed="false">
      <c r="A65" s="3" t="n">
        <v>4</v>
      </c>
      <c r="B65" s="5" t="str">
        <f aca="false">IFERROR(INDEX('Perhitungan IPH Mingguan 2025'!$B$6:$B$25,MATCH(LARGE('Perhitungan IPH Mingguan 2025'!$FV$6:$FV$25,4),'Perhitungan IPH Mingguan 2025'!$FV$6:$FV$25,0)),"-")</f>
        <v>daging sapi 01121001</v>
      </c>
      <c r="C65" s="20" t="n">
        <f aca="false">IFERROR(INDEX('Perhitungan IPH Mingguan 2025'!$C$6:$C$25,MATCH(LARGE('Perhitungan IPH Mingguan 2025'!$FV$6:$FV$25,4),'Perhitungan IPH Mingguan 2025'!$FV$6:$FV$25,0)),"")</f>
        <v>0.0598704213474298</v>
      </c>
      <c r="D65" s="14" t="n">
        <f aca="false">IFERROR(INDEX('Perhitungan IPH Mingguan 2025'!$Z$6:$Z$25,MATCH(LARGE('Perhitungan IPH Mingguan 2025'!$FV$6:$FV$25,4),'Perhitungan IPH Mingguan 2025'!$FV$6:$FV$25,0)),"")</f>
        <v>-0.89545556301769</v>
      </c>
      <c r="E65" s="4" t="n">
        <f aca="false">IFERROR(INDEX('Perhitungan IPH Mingguan 2025'!$AA$6:$AA$25,MATCH(LARGE('Perhitungan IPH Mingguan 2025'!$FV$6:$FV$25,4),'Perhitungan IPH Mingguan 2025'!$FV$6:$FV$25,0)),"")</f>
        <v>-0.0536113018557691</v>
      </c>
      <c r="F65" s="21" t="str">
        <f aca="false">IF(ISNUMBER(E65),IF(E65&gt;0,"Penyumbang KENAIKAN IPH","Penyumbang PENURUNAN IPH"),"-")</f>
        <v>Penyumbang PENURUNAN IPH</v>
      </c>
    </row>
    <row r="66" customFormat="false" ht="15" hidden="false" customHeight="false" outlineLevel="0" collapsed="false">
      <c r="A66" s="3" t="n">
        <v>5</v>
      </c>
      <c r="B66" s="5" t="str">
        <f aca="false">IFERROR(INDEX('Perhitungan IPH Mingguan 2025'!$B$6:$B$25,MATCH(LARGE('Perhitungan IPH Mingguan 2025'!$FV$6:$FV$25,5),'Perhitungan IPH Mingguan 2025'!$FV$6:$FV$25,0)),"-")</f>
        <v>cabai merah 01173012</v>
      </c>
      <c r="C66" s="20" t="n">
        <f aca="false">IFERROR(INDEX('Perhitungan IPH Mingguan 2025'!$C$6:$C$25,MATCH(LARGE('Perhitungan IPH Mingguan 2025'!$FV$6:$FV$25,5),'Perhitungan IPH Mingguan 2025'!$FV$6:$FV$25,0)),"")</f>
        <v>0.0110208839376634</v>
      </c>
      <c r="D66" s="14" t="n">
        <f aca="false">IFERROR(INDEX('Perhitungan IPH Mingguan 2025'!$Z$6:$Z$25,MATCH(LARGE('Perhitungan IPH Mingguan 2025'!$FV$6:$FV$25,5),'Perhitungan IPH Mingguan 2025'!$FV$6:$FV$25,0)),"")</f>
        <v>4.56571867794004</v>
      </c>
      <c r="E66" s="4" t="n">
        <f aca="false">IFERROR(INDEX('Perhitungan IPH Mingguan 2025'!$AA$6:$AA$25,MATCH(LARGE('Perhitungan IPH Mingguan 2025'!$FV$6:$FV$25,5),'Perhitungan IPH Mingguan 2025'!$FV$6:$FV$25,0)),"")</f>
        <v>0.0503182556415992</v>
      </c>
      <c r="F66" s="21" t="str">
        <f aca="false">IF(ISNUMBER(E66),IF(E66&gt;0,"Penyumbang KENAIKAN IPH","Penyumbang PENURUNAN IPH"),"-")</f>
        <v>Penyumbang KENAIKAN IPH</v>
      </c>
    </row>
    <row r="68" customFormat="false" ht="15" hidden="false" customHeight="false" outlineLevel="0" collapsed="false">
      <c r="A68" s="19" t="s">
        <v>275</v>
      </c>
      <c r="B68" s="19"/>
      <c r="C68" s="19"/>
      <c r="D68" s="19"/>
      <c r="E68" s="19"/>
      <c r="F68" s="19"/>
    </row>
    <row r="69" customFormat="false" ht="15" hidden="false" customHeight="false" outlineLevel="0" collapsed="false">
      <c r="A69" s="10" t="s">
        <v>263</v>
      </c>
      <c r="B69" s="10" t="s">
        <v>264</v>
      </c>
      <c r="C69" s="10" t="s">
        <v>174</v>
      </c>
      <c r="D69" s="10" t="s">
        <v>265</v>
      </c>
      <c r="E69" s="10" t="s">
        <v>266</v>
      </c>
      <c r="F69" s="10" t="s">
        <v>267</v>
      </c>
    </row>
    <row r="70" customFormat="false" ht="15" hidden="false" customHeight="false" outlineLevel="0" collapsed="false">
      <c r="A70" s="3" t="n">
        <v>1</v>
      </c>
      <c r="B70" s="5" t="str">
        <f aca="false">IFERROR(INDEX('Perhitungan IPH Mingguan 2025'!$B$6:$B$25,MATCH(LARGE('Perhitungan IPH Mingguan 2025'!$FW$6:$FW$25,1),'Perhitungan IPH Mingguan 2025'!$FW$6:$FW$25,0)),"-")</f>
        <v>daging ayam ras 1124003</v>
      </c>
      <c r="C70" s="20" t="n">
        <f aca="false">IFERROR(INDEX('Perhitungan IPH Mingguan 2025'!$C$6:$C$25,MATCH(LARGE('Perhitungan IPH Mingguan 2025'!$FW$6:$FW$25,1),'Perhitungan IPH Mingguan 2025'!$FW$6:$FW$25,0)),"")</f>
        <v>0.0479107777850277</v>
      </c>
      <c r="D70" s="14" t="n">
        <f aca="false">IFERROR(INDEX('Perhitungan IPH Mingguan 2025'!$AC$6:$AC$25,MATCH(LARGE('Perhitungan IPH Mingguan 2025'!$FW$6:$FW$25,1),'Perhitungan IPH Mingguan 2025'!$FW$6:$FW$25,0)),"")</f>
        <v>4.61811722912967</v>
      </c>
      <c r="E70" s="4" t="n">
        <f aca="false">IFERROR(INDEX('Perhitungan IPH Mingguan 2025'!$AD$6:$AD$25,MATCH(LARGE('Perhitungan IPH Mingguan 2025'!$FW$6:$FW$25,1),'Perhitungan IPH Mingguan 2025'!$FW$6:$FW$25,0)),"")</f>
        <v>0.221257588350039</v>
      </c>
      <c r="F70" s="21" t="str">
        <f aca="false">IF(ISNUMBER(E70),IF(E70&gt;0,"Penyumbang KENAIKAN IPH","Penyumbang PENURUNAN IPH"),"-")</f>
        <v>Penyumbang KENAIKAN IPH</v>
      </c>
    </row>
    <row r="71" customFormat="false" ht="15" hidden="false" customHeight="false" outlineLevel="0" collapsed="false">
      <c r="A71" s="3" t="n">
        <v>2</v>
      </c>
      <c r="B71" s="5" t="str">
        <f aca="false">IFERROR(INDEX('Perhitungan IPH Mingguan 2025'!$B$6:$B$25,MATCH(LARGE('Perhitungan IPH Mingguan 2025'!$FW$6:$FW$25,2),'Perhitungan IPH Mingguan 2025'!$FW$6:$FW$25,0)),"-")</f>
        <v>telur ayam ras 01147002</v>
      </c>
      <c r="C71" s="20" t="n">
        <f aca="false">IFERROR(INDEX('Perhitungan IPH Mingguan 2025'!$C$6:$C$25,MATCH(LARGE('Perhitungan IPH Mingguan 2025'!$FW$6:$FW$25,2),'Perhitungan IPH Mingguan 2025'!$FW$6:$FW$25,0)),"")</f>
        <v>0.0298777910794593</v>
      </c>
      <c r="D71" s="14" t="n">
        <f aca="false">IFERROR(INDEX('Perhitungan IPH Mingguan 2025'!$AC$6:$AC$25,MATCH(LARGE('Perhitungan IPH Mingguan 2025'!$FW$6:$FW$25,2),'Perhitungan IPH Mingguan 2025'!$FW$6:$FW$25,0)),"")</f>
        <v>5.3347280334728</v>
      </c>
      <c r="E71" s="4" t="n">
        <f aca="false">IFERROR(INDEX('Perhitungan IPH Mingguan 2025'!$AD$6:$AD$25,MATCH(LARGE('Perhitungan IPH Mingguan 2025'!$FW$6:$FW$25,2),'Perhitungan IPH Mingguan 2025'!$FW$6:$FW$25,0)),"")</f>
        <v>0.159389889649835</v>
      </c>
      <c r="F71" s="21" t="str">
        <f aca="false">IF(ISNUMBER(E71),IF(E71&gt;0,"Penyumbang KENAIKAN IPH","Penyumbang PENURUNAN IPH"),"-")</f>
        <v>Penyumbang KENAIKAN IPH</v>
      </c>
    </row>
    <row r="72" customFormat="false" ht="15" hidden="false" customHeight="false" outlineLevel="0" collapsed="false">
      <c r="A72" s="3" t="n">
        <v>3</v>
      </c>
      <c r="B72" s="5" t="str">
        <f aca="false">IFERROR(INDEX('Perhitungan IPH Mingguan 2025'!$B$6:$B$25,MATCH(LARGE('Perhitungan IPH Mingguan 2025'!$FW$6:$FW$25,3),'Perhitungan IPH Mingguan 2025'!$FW$6:$FW$25,0)),"-")</f>
        <v>cabai rawit 01173013</v>
      </c>
      <c r="C72" s="20" t="n">
        <f aca="false">IFERROR(INDEX('Perhitungan IPH Mingguan 2025'!$C$6:$C$25,MATCH(LARGE('Perhitungan IPH Mingguan 2025'!$FW$6:$FW$25,3),'Perhitungan IPH Mingguan 2025'!$FW$6:$FW$25,0)),"")</f>
        <v>0.0177017323628706</v>
      </c>
      <c r="D72" s="14" t="n">
        <f aca="false">IFERROR(INDEX('Perhitungan IPH Mingguan 2025'!$AC$6:$AC$25,MATCH(LARGE('Perhitungan IPH Mingguan 2025'!$FW$6:$FW$25,3),'Perhitungan IPH Mingguan 2025'!$FW$6:$FW$25,0)),"")</f>
        <v>8.26210826210827</v>
      </c>
      <c r="E72" s="4" t="n">
        <f aca="false">IFERROR(INDEX('Perhitungan IPH Mingguan 2025'!$AD$6:$AD$25,MATCH(LARGE('Perhitungan IPH Mingguan 2025'!$FW$6:$FW$25,3),'Perhitungan IPH Mingguan 2025'!$FW$6:$FW$25,0)),"")</f>
        <v>0.146253629208903</v>
      </c>
      <c r="F72" s="21" t="str">
        <f aca="false">IF(ISNUMBER(E72),IF(E72&gt;0,"Penyumbang KENAIKAN IPH","Penyumbang PENURUNAN IPH"),"-")</f>
        <v>Penyumbang KENAIKAN IPH</v>
      </c>
    </row>
    <row r="73" customFormat="false" ht="15" hidden="false" customHeight="false" outlineLevel="0" collapsed="false">
      <c r="A73" s="3" t="n">
        <v>4</v>
      </c>
      <c r="B73" s="5" t="str">
        <f aca="false">IFERROR(INDEX('Perhitungan IPH Mingguan 2025'!$B$6:$B$25,MATCH(LARGE('Perhitungan IPH Mingguan 2025'!$FW$6:$FW$25,4),'Perhitungan IPH Mingguan 2025'!$FW$6:$FW$25,0)),"-")</f>
        <v>cabai merah 01173012</v>
      </c>
      <c r="C73" s="20" t="n">
        <f aca="false">IFERROR(INDEX('Perhitungan IPH Mingguan 2025'!$C$6:$C$25,MATCH(LARGE('Perhitungan IPH Mingguan 2025'!$FW$6:$FW$25,4),'Perhitungan IPH Mingguan 2025'!$FW$6:$FW$25,0)),"")</f>
        <v>0.0110208839376634</v>
      </c>
      <c r="D73" s="14" t="n">
        <f aca="false">IFERROR(INDEX('Perhitungan IPH Mingguan 2025'!$AC$6:$AC$25,MATCH(LARGE('Perhitungan IPH Mingguan 2025'!$FW$6:$FW$25,4),'Perhitungan IPH Mingguan 2025'!$FW$6:$FW$25,0)),"")</f>
        <v>5.14988470407378</v>
      </c>
      <c r="E73" s="4" t="n">
        <f aca="false">IFERROR(INDEX('Perhitungan IPH Mingguan 2025'!$AD$6:$AD$25,MATCH(LARGE('Perhitungan IPH Mingguan 2025'!$FW$6:$FW$25,4),'Perhitungan IPH Mingguan 2025'!$FW$6:$FW$25,0)),"")</f>
        <v>0.0567562816159452</v>
      </c>
      <c r="F73" s="21" t="str">
        <f aca="false">IF(ISNUMBER(E73),IF(E73&gt;0,"Penyumbang KENAIKAN IPH","Penyumbang PENURUNAN IPH"),"-")</f>
        <v>Penyumbang KENAIKAN IPH</v>
      </c>
    </row>
    <row r="74" customFormat="false" ht="15" hidden="false" customHeight="false" outlineLevel="0" collapsed="false">
      <c r="A74" s="3" t="n">
        <v>5</v>
      </c>
      <c r="B74" s="5" t="str">
        <f aca="false">IFERROR(INDEX('Perhitungan IPH Mingguan 2025'!$B$6:$B$25,MATCH(LARGE('Perhitungan IPH Mingguan 2025'!$FW$6:$FW$25,5),'Perhitungan IPH Mingguan 2025'!$FW$6:$FW$25,0)),"-")</f>
        <v>daging sapi 01121001</v>
      </c>
      <c r="C74" s="20" t="n">
        <f aca="false">IFERROR(INDEX('Perhitungan IPH Mingguan 2025'!$C$6:$C$25,MATCH(LARGE('Perhitungan IPH Mingguan 2025'!$FW$6:$FW$25,5),'Perhitungan IPH Mingguan 2025'!$FW$6:$FW$25,0)),"")</f>
        <v>0.0598704213474298</v>
      </c>
      <c r="D74" s="14" t="n">
        <f aca="false">IFERROR(INDEX('Perhitungan IPH Mingguan 2025'!$AC$6:$AC$25,MATCH(LARGE('Perhitungan IPH Mingguan 2025'!$FW$6:$FW$25,5),'Perhitungan IPH Mingguan 2025'!$FW$6:$FW$25,0)),"")</f>
        <v>-0.89545556301769</v>
      </c>
      <c r="E74" s="4" t="n">
        <f aca="false">IFERROR(INDEX('Perhitungan IPH Mingguan 2025'!$AD$6:$AD$25,MATCH(LARGE('Perhitungan IPH Mingguan 2025'!$FW$6:$FW$25,5),'Perhitungan IPH Mingguan 2025'!$FW$6:$FW$25,0)),"")</f>
        <v>-0.0536113018557691</v>
      </c>
      <c r="F74" s="21" t="str">
        <f aca="false">IF(ISNUMBER(E74),IF(E74&gt;0,"Penyumbang KENAIKAN IPH","Penyumbang PENURUNAN IPH"),"-")</f>
        <v>Penyumbang PENURUNAN IPH</v>
      </c>
    </row>
    <row r="76" customFormat="false" ht="15" hidden="false" customHeight="false" outlineLevel="0" collapsed="false">
      <c r="A76" s="19" t="s">
        <v>276</v>
      </c>
      <c r="B76" s="19"/>
      <c r="C76" s="19"/>
      <c r="D76" s="19"/>
      <c r="E76" s="19"/>
      <c r="F76" s="19"/>
    </row>
    <row r="77" customFormat="false" ht="15" hidden="false" customHeight="false" outlineLevel="0" collapsed="false">
      <c r="A77" s="10" t="s">
        <v>263</v>
      </c>
      <c r="B77" s="10" t="s">
        <v>264</v>
      </c>
      <c r="C77" s="10" t="s">
        <v>174</v>
      </c>
      <c r="D77" s="10" t="s">
        <v>265</v>
      </c>
      <c r="E77" s="10" t="s">
        <v>266</v>
      </c>
      <c r="F77" s="10" t="s">
        <v>267</v>
      </c>
    </row>
    <row r="78" customFormat="false" ht="15" hidden="false" customHeight="false" outlineLevel="0" collapsed="false">
      <c r="A78" s="3" t="n">
        <v>1</v>
      </c>
      <c r="B78" s="5" t="str">
        <f aca="false">IFERROR(INDEX('Perhitungan IPH Mingguan 2025'!$B$6:$B$25,MATCH(LARGE('Perhitungan IPH Mingguan 2025'!$FX$6:$FX$25,1),'Perhitungan IPH Mingguan 2025'!$FX$6:$FX$25,0)),"-")</f>
        <v>cabai merah 01173012</v>
      </c>
      <c r="C78" s="20" t="n">
        <f aca="false">IFERROR(INDEX('Perhitungan IPH Mingguan 2025'!$C$6:$C$25,MATCH(LARGE('Perhitungan IPH Mingguan 2025'!$FX$6:$FX$25,1),'Perhitungan IPH Mingguan 2025'!$FX$6:$FX$25,0)),"")</f>
        <v>0.0110208839376634</v>
      </c>
      <c r="D78" s="14" t="n">
        <f aca="false">IFERROR(INDEX('Perhitungan IPH Mingguan 2025'!$AF$6:$AF$25,MATCH(LARGE('Perhitungan IPH Mingguan 2025'!$FX$6:$FX$25,1),'Perhitungan IPH Mingguan 2025'!$FX$6:$FX$25,0)),"")</f>
        <v>-13.2064421669107</v>
      </c>
      <c r="E78" s="4" t="n">
        <f aca="false">IFERROR(INDEX('Perhitungan IPH Mingguan 2025'!$AG$6:$AG$25,MATCH(LARGE('Perhitungan IPH Mingguan 2025'!$FX$6:$FX$25,1),'Perhitungan IPH Mingguan 2025'!$FX$6:$FX$25,0)),"")</f>
        <v>-0.145546666350987</v>
      </c>
      <c r="F78" s="21" t="str">
        <f aca="false">IF(ISNUMBER(E78),IF(E78&gt;0,"Penyumbang KENAIKAN IPH","Penyumbang PENURUNAN IPH"),"-")</f>
        <v>Penyumbang PENURUNAN IPH</v>
      </c>
    </row>
    <row r="79" customFormat="false" ht="15" hidden="false" customHeight="false" outlineLevel="0" collapsed="false">
      <c r="A79" s="3" t="n">
        <v>2</v>
      </c>
      <c r="B79" s="5" t="str">
        <f aca="false">IFERROR(INDEX('Perhitungan IPH Mingguan 2025'!$B$6:$B$25,MATCH(LARGE('Perhitungan IPH Mingguan 2025'!$FX$6:$FX$25,2),'Perhitungan IPH Mingguan 2025'!$FX$6:$FX$25,0)),"-")</f>
        <v>udang lobster 01132004</v>
      </c>
      <c r="C79" s="20" t="n">
        <f aca="false">IFERROR(INDEX('Perhitungan IPH Mingguan 2025'!$C$6:$C$25,MATCH(LARGE('Perhitungan IPH Mingguan 2025'!$FX$6:$FX$25,2),'Perhitungan IPH Mingguan 2025'!$FX$6:$FX$25,0)),"")</f>
        <v>0.0370107543210236</v>
      </c>
      <c r="D79" s="14" t="n">
        <f aca="false">IFERROR(INDEX('Perhitungan IPH Mingguan 2025'!$AF$6:$AF$25,MATCH(LARGE('Perhitungan IPH Mingguan 2025'!$FX$6:$FX$25,2),'Perhitungan IPH Mingguan 2025'!$FX$6:$FX$25,0)),"")</f>
        <v>-2.64705882352941</v>
      </c>
      <c r="E79" s="4" t="n">
        <f aca="false">IFERROR(INDEX('Perhitungan IPH Mingguan 2025'!$AG$6:$AG$25,MATCH(LARGE('Perhitungan IPH Mingguan 2025'!$FX$6:$FX$25,2),'Perhitungan IPH Mingguan 2025'!$FX$6:$FX$25,0)),"")</f>
        <v>-0.0979696437909448</v>
      </c>
      <c r="F79" s="21" t="str">
        <f aca="false">IF(ISNUMBER(E79),IF(E79&gt;0,"Penyumbang KENAIKAN IPH","Penyumbang PENURUNAN IPH"),"-")</f>
        <v>Penyumbang PENURUNAN IPH</v>
      </c>
    </row>
    <row r="80" customFormat="false" ht="15" hidden="false" customHeight="false" outlineLevel="0" collapsed="false">
      <c r="A80" s="3" t="n">
        <v>3</v>
      </c>
      <c r="B80" s="5" t="str">
        <f aca="false">IFERROR(INDEX('Perhitungan IPH Mingguan 2025'!$B$6:$B$25,MATCH(LARGE('Perhitungan IPH Mingguan 2025'!$FX$6:$FX$25,3),'Perhitungan IPH Mingguan 2025'!$FX$6:$FX$25,0)),"-")</f>
        <v>cabai rawit 01173013</v>
      </c>
      <c r="C80" s="20" t="n">
        <f aca="false">IFERROR(INDEX('Perhitungan IPH Mingguan 2025'!$C$6:$C$25,MATCH(LARGE('Perhitungan IPH Mingguan 2025'!$FX$6:$FX$25,3),'Perhitungan IPH Mingguan 2025'!$FX$6:$FX$25,0)),"")</f>
        <v>0.0177017323628706</v>
      </c>
      <c r="D80" s="14" t="n">
        <f aca="false">IFERROR(INDEX('Perhitungan IPH Mingguan 2025'!$AF$6:$AF$25,MATCH(LARGE('Perhitungan IPH Mingguan 2025'!$FX$6:$FX$25,3),'Perhitungan IPH Mingguan 2025'!$FX$6:$FX$25,0)),"")</f>
        <v>-4.79302832244009</v>
      </c>
      <c r="E80" s="4" t="n">
        <f aca="false">IFERROR(INDEX('Perhitungan IPH Mingguan 2025'!$AG$6:$AG$25,MATCH(LARGE('Perhitungan IPH Mingguan 2025'!$FX$6:$FX$25,3),'Perhitungan IPH Mingguan 2025'!$FX$6:$FX$25,0)),"")</f>
        <v>-0.0848449045714932</v>
      </c>
      <c r="F80" s="21" t="str">
        <f aca="false">IF(ISNUMBER(E80),IF(E80&gt;0,"Penyumbang KENAIKAN IPH","Penyumbang PENURUNAN IPH"),"-")</f>
        <v>Penyumbang PENURUNAN IPH</v>
      </c>
    </row>
    <row r="81" customFormat="false" ht="15" hidden="false" customHeight="false" outlineLevel="0" collapsed="false">
      <c r="A81" s="3" t="n">
        <v>4</v>
      </c>
      <c r="B81" s="5" t="str">
        <f aca="false">IFERROR(INDEX('Perhitungan IPH Mingguan 2025'!$B$6:$B$25,MATCH(LARGE('Perhitungan IPH Mingguan 2025'!$FX$6:$FX$25,4),'Perhitungan IPH Mingguan 2025'!$FX$6:$FX$25,0)),"-")</f>
        <v>daging ayam ras 1124003</v>
      </c>
      <c r="C81" s="20" t="n">
        <f aca="false">IFERROR(INDEX('Perhitungan IPH Mingguan 2025'!$C$6:$C$25,MATCH(LARGE('Perhitungan IPH Mingguan 2025'!$FX$6:$FX$25,4),'Perhitungan IPH Mingguan 2025'!$FX$6:$FX$25,0)),"")</f>
        <v>0.0479107777850277</v>
      </c>
      <c r="D81" s="14" t="n">
        <f aca="false">IFERROR(INDEX('Perhitungan IPH Mingguan 2025'!$AF$6:$AF$25,MATCH(LARGE('Perhitungan IPH Mingguan 2025'!$FX$6:$FX$25,4),'Perhitungan IPH Mingguan 2025'!$FX$6:$FX$25,0)),"")</f>
        <v>1.46596858638743</v>
      </c>
      <c r="E81" s="4" t="n">
        <f aca="false">IFERROR(INDEX('Perhitungan IPH Mingguan 2025'!$AG$6:$AG$25,MATCH(LARGE('Perhitungan IPH Mingguan 2025'!$FX$6:$FX$25,4),'Perhitungan IPH Mingguan 2025'!$FX$6:$FX$25,0)),"")</f>
        <v>0.0702356951822393</v>
      </c>
      <c r="F81" s="21" t="str">
        <f aca="false">IF(ISNUMBER(E81),IF(E81&gt;0,"Penyumbang KENAIKAN IPH","Penyumbang PENURUNAN IPH"),"-")</f>
        <v>Penyumbang KENAIKAN IPH</v>
      </c>
    </row>
    <row r="82" customFormat="false" ht="15" hidden="false" customHeight="false" outlineLevel="0" collapsed="false">
      <c r="A82" s="3" t="n">
        <v>5</v>
      </c>
      <c r="B82" s="5" t="str">
        <f aca="false">IFERROR(INDEX('Perhitungan IPH Mingguan 2025'!$B$6:$B$25,MATCH(LARGE('Perhitungan IPH Mingguan 2025'!$FX$6:$FX$25,5),'Perhitungan IPH Mingguan 2025'!$FX$6:$FX$25,0)),"-")</f>
        <v>telur ayam ras 01147002</v>
      </c>
      <c r="C82" s="20" t="n">
        <f aca="false">IFERROR(INDEX('Perhitungan IPH Mingguan 2025'!$C$6:$C$25,MATCH(LARGE('Perhitungan IPH Mingguan 2025'!$FX$6:$FX$25,5),'Perhitungan IPH Mingguan 2025'!$FX$6:$FX$25,0)),"")</f>
        <v>0.0298777910794593</v>
      </c>
      <c r="D82" s="14" t="n">
        <f aca="false">IFERROR(INDEX('Perhitungan IPH Mingguan 2025'!$AF$6:$AF$25,MATCH(LARGE('Perhitungan IPH Mingguan 2025'!$FX$6:$FX$25,5),'Perhitungan IPH Mingguan 2025'!$FX$6:$FX$25,0)),"")</f>
        <v>1.51484135107472</v>
      </c>
      <c r="E82" s="4" t="n">
        <f aca="false">IFERROR(INDEX('Perhitungan IPH Mingguan 2025'!$AG$6:$AG$25,MATCH(LARGE('Perhitungan IPH Mingguan 2025'!$FX$6:$FX$25,5),'Perhitungan IPH Mingguan 2025'!$FX$6:$FX$25,0)),"")</f>
        <v>0.0452601134059363</v>
      </c>
      <c r="F82" s="21" t="str">
        <f aca="false">IF(ISNUMBER(E82),IF(E82&gt;0,"Penyumbang KENAIKAN IPH","Penyumbang PENURUNAN IPH"),"-")</f>
        <v>Penyumbang KENAIKAN IPH</v>
      </c>
    </row>
    <row r="84" customFormat="false" ht="15" hidden="false" customHeight="false" outlineLevel="0" collapsed="false">
      <c r="A84" s="19" t="s">
        <v>277</v>
      </c>
      <c r="B84" s="19"/>
      <c r="C84" s="19"/>
      <c r="D84" s="19"/>
      <c r="E84" s="19"/>
      <c r="F84" s="19"/>
    </row>
    <row r="85" customFormat="false" ht="15" hidden="false" customHeight="false" outlineLevel="0" collapsed="false">
      <c r="A85" s="10" t="s">
        <v>263</v>
      </c>
      <c r="B85" s="10" t="s">
        <v>264</v>
      </c>
      <c r="C85" s="10" t="s">
        <v>174</v>
      </c>
      <c r="D85" s="10" t="s">
        <v>265</v>
      </c>
      <c r="E85" s="10" t="s">
        <v>266</v>
      </c>
      <c r="F85" s="10" t="s">
        <v>267</v>
      </c>
    </row>
    <row r="86" customFormat="false" ht="15" hidden="false" customHeight="false" outlineLevel="0" collapsed="false">
      <c r="A86" s="3" t="n">
        <v>1</v>
      </c>
      <c r="B86" s="5" t="str">
        <f aca="false">IFERROR(INDEX('Perhitungan IPH Mingguan 2025'!$B$6:$B$25,MATCH(LARGE('Perhitungan IPH Mingguan 2025'!$FY$6:$FY$25,1),'Perhitungan IPH Mingguan 2025'!$FY$6:$FY$25,0)),"-")</f>
        <v>cabai merah 01173012</v>
      </c>
      <c r="C86" s="20" t="n">
        <f aca="false">IFERROR(INDEX('Perhitungan IPH Mingguan 2025'!$C$6:$C$25,MATCH(LARGE('Perhitungan IPH Mingguan 2025'!$FY$6:$FY$25,1),'Perhitungan IPH Mingguan 2025'!$FY$6:$FY$25,0)),"")</f>
        <v>0.0110208839376634</v>
      </c>
      <c r="D86" s="14" t="n">
        <f aca="false">IFERROR(INDEX('Perhitungan IPH Mingguan 2025'!$AI$6:$AI$25,MATCH(LARGE('Perhitungan IPH Mingguan 2025'!$FY$6:$FY$25,1),'Perhitungan IPH Mingguan 2025'!$FY$6:$FY$25,0)),"")</f>
        <v>-16.5446559297218</v>
      </c>
      <c r="E86" s="4" t="n">
        <f aca="false">IFERROR(INDEX('Perhitungan IPH Mingguan 2025'!$AJ$6:$AJ$25,MATCH(LARGE('Perhitungan IPH Mingguan 2025'!$FY$6:$FY$25,1),'Perhitungan IPH Mingguan 2025'!$FY$6:$FY$25,0)),"")</f>
        <v>-0.182336732790039</v>
      </c>
      <c r="F86" s="21" t="str">
        <f aca="false">IF(ISNUMBER(E86),IF(E86&gt;0,"Penyumbang KENAIKAN IPH","Penyumbang PENURUNAN IPH"),"-")</f>
        <v>Penyumbang PENURUNAN IPH</v>
      </c>
    </row>
    <row r="87" customFormat="false" ht="15" hidden="false" customHeight="false" outlineLevel="0" collapsed="false">
      <c r="A87" s="3" t="n">
        <v>2</v>
      </c>
      <c r="B87" s="5" t="str">
        <f aca="false">IFERROR(INDEX('Perhitungan IPH Mingguan 2025'!$B$6:$B$25,MATCH(LARGE('Perhitungan IPH Mingguan 2025'!$FY$6:$FY$25,2),'Perhitungan IPH Mingguan 2025'!$FY$6:$FY$25,0)),"-")</f>
        <v>udang lobster 01132004</v>
      </c>
      <c r="C87" s="20" t="n">
        <f aca="false">IFERROR(INDEX('Perhitungan IPH Mingguan 2025'!$C$6:$C$25,MATCH(LARGE('Perhitungan IPH Mingguan 2025'!$FY$6:$FY$25,2),'Perhitungan IPH Mingguan 2025'!$FY$6:$FY$25,0)),"")</f>
        <v>0.0370107543210236</v>
      </c>
      <c r="D87" s="14" t="n">
        <f aca="false">IFERROR(INDEX('Perhitungan IPH Mingguan 2025'!$AI$6:$AI$25,MATCH(LARGE('Perhitungan IPH Mingguan 2025'!$FY$6:$FY$25,2),'Perhitungan IPH Mingguan 2025'!$FY$6:$FY$25,0)),"")</f>
        <v>-4.41176470588235</v>
      </c>
      <c r="E87" s="4" t="n">
        <f aca="false">IFERROR(INDEX('Perhitungan IPH Mingguan 2025'!$AJ$6:$AJ$25,MATCH(LARGE('Perhitungan IPH Mingguan 2025'!$FY$6:$FY$25,2),'Perhitungan IPH Mingguan 2025'!$FY$6:$FY$25,0)),"")</f>
        <v>-0.163282739651575</v>
      </c>
      <c r="F87" s="21" t="str">
        <f aca="false">IF(ISNUMBER(E87),IF(E87&gt;0,"Penyumbang KENAIKAN IPH","Penyumbang PENURUNAN IPH"),"-")</f>
        <v>Penyumbang PENURUNAN IPH</v>
      </c>
    </row>
    <row r="88" customFormat="false" ht="15" hidden="false" customHeight="false" outlineLevel="0" collapsed="false">
      <c r="A88" s="3" t="n">
        <v>3</v>
      </c>
      <c r="B88" s="5" t="str">
        <f aca="false">IFERROR(INDEX('Perhitungan IPH Mingguan 2025'!$B$6:$B$25,MATCH(LARGE('Perhitungan IPH Mingguan 2025'!$FY$6:$FY$25,3),'Perhitungan IPH Mingguan 2025'!$FY$6:$FY$25,0)),"-")</f>
        <v>cabai rawit 01173013</v>
      </c>
      <c r="C88" s="20" t="n">
        <f aca="false">IFERROR(INDEX('Perhitungan IPH Mingguan 2025'!$C$6:$C$25,MATCH(LARGE('Perhitungan IPH Mingguan 2025'!$FY$6:$FY$25,3),'Perhitungan IPH Mingguan 2025'!$FY$6:$FY$25,0)),"")</f>
        <v>0.0177017323628706</v>
      </c>
      <c r="D88" s="14" t="n">
        <f aca="false">IFERROR(INDEX('Perhitungan IPH Mingguan 2025'!$AI$6:$AI$25,MATCH(LARGE('Perhitungan IPH Mingguan 2025'!$FY$6:$FY$25,3),'Perhitungan IPH Mingguan 2025'!$FY$6:$FY$25,0)),"")</f>
        <v>-6.86274509803922</v>
      </c>
      <c r="E88" s="4" t="n">
        <f aca="false">IFERROR(INDEX('Perhitungan IPH Mingguan 2025'!$AJ$6:$AJ$25,MATCH(LARGE('Perhitungan IPH Mingguan 2025'!$FY$6:$FY$25,3),'Perhitungan IPH Mingguan 2025'!$FY$6:$FY$25,0)),"")</f>
        <v>-0.121482477000092</v>
      </c>
      <c r="F88" s="21" t="str">
        <f aca="false">IF(ISNUMBER(E88),IF(E88&gt;0,"Penyumbang KENAIKAN IPH","Penyumbang PENURUNAN IPH"),"-")</f>
        <v>Penyumbang PENURUNAN IPH</v>
      </c>
    </row>
    <row r="89" customFormat="false" ht="15" hidden="false" customHeight="false" outlineLevel="0" collapsed="false">
      <c r="A89" s="3" t="n">
        <v>4</v>
      </c>
      <c r="B89" s="5" t="str">
        <f aca="false">IFERROR(INDEX('Perhitungan IPH Mingguan 2025'!$B$6:$B$25,MATCH(LARGE('Perhitungan IPH Mingguan 2025'!$FY$6:$FY$25,4),'Perhitungan IPH Mingguan 2025'!$FY$6:$FY$25,0)),"-")</f>
        <v>daging ayam ras 1124003</v>
      </c>
      <c r="C89" s="20" t="n">
        <f aca="false">IFERROR(INDEX('Perhitungan IPH Mingguan 2025'!$C$6:$C$25,MATCH(LARGE('Perhitungan IPH Mingguan 2025'!$FY$6:$FY$25,4),'Perhitungan IPH Mingguan 2025'!$FY$6:$FY$25,0)),"")</f>
        <v>0.0479107777850277</v>
      </c>
      <c r="D89" s="14" t="n">
        <f aca="false">IFERROR(INDEX('Perhitungan IPH Mingguan 2025'!$AI$6:$AI$25,MATCH(LARGE('Perhitungan IPH Mingguan 2025'!$FY$6:$FY$25,4),'Perhitungan IPH Mingguan 2025'!$FY$6:$FY$25,0)),"")</f>
        <v>-0.523560209424089</v>
      </c>
      <c r="E89" s="4" t="n">
        <f aca="false">IFERROR(INDEX('Perhitungan IPH Mingguan 2025'!$AJ$6:$AJ$25,MATCH(LARGE('Perhitungan IPH Mingguan 2025'!$FY$6:$FY$25,4),'Perhitungan IPH Mingguan 2025'!$FY$6:$FY$25,0)),"")</f>
        <v>-0.0250841768508001</v>
      </c>
      <c r="F89" s="21" t="str">
        <f aca="false">IF(ISNUMBER(E89),IF(E89&gt;0,"Penyumbang KENAIKAN IPH","Penyumbang PENURUNAN IPH"),"-")</f>
        <v>Penyumbang PENURUNAN IPH</v>
      </c>
    </row>
    <row r="90" customFormat="false" ht="15" hidden="false" customHeight="false" outlineLevel="0" collapsed="false">
      <c r="A90" s="3" t="n">
        <v>5</v>
      </c>
      <c r="B90" s="5" t="str">
        <f aca="false">IFERROR(INDEX('Perhitungan IPH Mingguan 2025'!$B$6:$B$25,MATCH(LARGE('Perhitungan IPH Mingguan 2025'!$FY$6:$FY$25,5),'Perhitungan IPH Mingguan 2025'!$FY$6:$FY$25,0)),"-")</f>
        <v>bawang putih 01174007</v>
      </c>
      <c r="C90" s="20" t="n">
        <f aca="false">IFERROR(INDEX('Perhitungan IPH Mingguan 2025'!$C$6:$C$25,MATCH(LARGE('Perhitungan IPH Mingguan 2025'!$FY$6:$FY$25,5),'Perhitungan IPH Mingguan 2025'!$FY$6:$FY$25,0)),"")</f>
        <v>0.0128006139283175</v>
      </c>
      <c r="D90" s="14" t="n">
        <f aca="false">IFERROR(INDEX('Perhitungan IPH Mingguan 2025'!$AI$6:$AI$25,MATCH(LARGE('Perhitungan IPH Mingguan 2025'!$FY$6:$FY$25,5),'Perhitungan IPH Mingguan 2025'!$FY$6:$FY$25,0)),"")</f>
        <v>-1.65348670021566</v>
      </c>
      <c r="E90" s="4" t="n">
        <f aca="false">IFERROR(INDEX('Perhitungan IPH Mingguan 2025'!$AJ$6:$AJ$25,MATCH(LARGE('Perhitungan IPH Mingguan 2025'!$FY$6:$FY$25,5),'Perhitungan IPH Mingguan 2025'!$FY$6:$FY$25,0)),"")</f>
        <v>-0.0211656448850683</v>
      </c>
      <c r="F90" s="21" t="str">
        <f aca="false">IF(ISNUMBER(E90),IF(E90&gt;0,"Penyumbang KENAIKAN IPH","Penyumbang PENURUNAN IPH"),"-")</f>
        <v>Penyumbang PENURUNAN IPH</v>
      </c>
    </row>
    <row r="92" customFormat="false" ht="15" hidden="false" customHeight="false" outlineLevel="0" collapsed="false">
      <c r="A92" s="19" t="s">
        <v>278</v>
      </c>
      <c r="B92" s="19"/>
      <c r="C92" s="19"/>
      <c r="D92" s="19"/>
      <c r="E92" s="19"/>
      <c r="F92" s="19"/>
    </row>
    <row r="93" customFormat="false" ht="15" hidden="false" customHeight="false" outlineLevel="0" collapsed="false">
      <c r="A93" s="10" t="s">
        <v>263</v>
      </c>
      <c r="B93" s="10" t="s">
        <v>264</v>
      </c>
      <c r="C93" s="10" t="s">
        <v>174</v>
      </c>
      <c r="D93" s="10" t="s">
        <v>265</v>
      </c>
      <c r="E93" s="10" t="s">
        <v>266</v>
      </c>
      <c r="F93" s="10" t="s">
        <v>267</v>
      </c>
    </row>
    <row r="94" customFormat="false" ht="15" hidden="false" customHeight="false" outlineLevel="0" collapsed="false">
      <c r="A94" s="3" t="n">
        <v>1</v>
      </c>
      <c r="B94" s="5" t="str">
        <f aca="false">IFERROR(INDEX('Perhitungan IPH Mingguan 2025'!$B$6:$B$25,MATCH(LARGE('Perhitungan IPH Mingguan 2025'!$FZ$6:$FZ$25,1),'Perhitungan IPH Mingguan 2025'!$FZ$6:$FZ$25,0)),"-")</f>
        <v>udang lobster 01132004</v>
      </c>
      <c r="C94" s="20" t="n">
        <f aca="false">IFERROR(INDEX('Perhitungan IPH Mingguan 2025'!$C$6:$C$25,MATCH(LARGE('Perhitungan IPH Mingguan 2025'!$FZ$6:$FZ$25,1),'Perhitungan IPH Mingguan 2025'!$FZ$6:$FZ$25,0)),"")</f>
        <v>0.0370107543210236</v>
      </c>
      <c r="D94" s="14" t="n">
        <f aca="false">IFERROR(INDEX('Perhitungan IPH Mingguan 2025'!$AL$6:$AL$25,MATCH(LARGE('Perhitungan IPH Mingguan 2025'!$FZ$6:$FZ$25,1),'Perhitungan IPH Mingguan 2025'!$FZ$6:$FZ$25,0)),"")</f>
        <v>-4.41176470588235</v>
      </c>
      <c r="E94" s="4" t="n">
        <f aca="false">IFERROR(INDEX('Perhitungan IPH Mingguan 2025'!$AM$6:$AM$25,MATCH(LARGE('Perhitungan IPH Mingguan 2025'!$FZ$6:$FZ$25,1),'Perhitungan IPH Mingguan 2025'!$FZ$6:$FZ$25,0)),"")</f>
        <v>-0.163282739651575</v>
      </c>
      <c r="F94" s="21" t="str">
        <f aca="false">IF(ISNUMBER(E94),IF(E94&gt;0,"Penyumbang KENAIKAN IPH","Penyumbang PENURUNAN IPH"),"-")</f>
        <v>Penyumbang PENURUNAN IPH</v>
      </c>
    </row>
    <row r="95" customFormat="false" ht="15" hidden="false" customHeight="false" outlineLevel="0" collapsed="false">
      <c r="A95" s="3" t="n">
        <v>2</v>
      </c>
      <c r="B95" s="5" t="str">
        <f aca="false">IFERROR(INDEX('Perhitungan IPH Mingguan 2025'!$B$6:$B$25,MATCH(LARGE('Perhitungan IPH Mingguan 2025'!$FZ$6:$FZ$25,2),'Perhitungan IPH Mingguan 2025'!$FZ$6:$FZ$25,0)),"-")</f>
        <v>cabai merah 01173012</v>
      </c>
      <c r="C95" s="20" t="n">
        <f aca="false">IFERROR(INDEX('Perhitungan IPH Mingguan 2025'!$C$6:$C$25,MATCH(LARGE('Perhitungan IPH Mingguan 2025'!$FZ$6:$FZ$25,2),'Perhitungan IPH Mingguan 2025'!$FZ$6:$FZ$25,0)),"")</f>
        <v>0.0110208839376634</v>
      </c>
      <c r="D95" s="14" t="n">
        <f aca="false">IFERROR(INDEX('Perhitungan IPH Mingguan 2025'!$AL$6:$AL$25,MATCH(LARGE('Perhitungan IPH Mingguan 2025'!$FZ$6:$FZ$25,2),'Perhitungan IPH Mingguan 2025'!$FZ$6:$FZ$25,0)),"")</f>
        <v>-13.2064421669107</v>
      </c>
      <c r="E95" s="4" t="n">
        <f aca="false">IFERROR(INDEX('Perhitungan IPH Mingguan 2025'!$AM$6:$AM$25,MATCH(LARGE('Perhitungan IPH Mingguan 2025'!$FZ$6:$FZ$25,2),'Perhitungan IPH Mingguan 2025'!$FZ$6:$FZ$25,0)),"")</f>
        <v>-0.145546666350987</v>
      </c>
      <c r="F95" s="21" t="str">
        <f aca="false">IF(ISNUMBER(E95),IF(E95&gt;0,"Penyumbang KENAIKAN IPH","Penyumbang PENURUNAN IPH"),"-")</f>
        <v>Penyumbang PENURUNAN IPH</v>
      </c>
    </row>
    <row r="96" customFormat="false" ht="15" hidden="false" customHeight="false" outlineLevel="0" collapsed="false">
      <c r="A96" s="3" t="n">
        <v>3</v>
      </c>
      <c r="B96" s="5" t="str">
        <f aca="false">IFERROR(INDEX('Perhitungan IPH Mingguan 2025'!$B$6:$B$25,MATCH(LARGE('Perhitungan IPH Mingguan 2025'!$FZ$6:$FZ$25,3),'Perhitungan IPH Mingguan 2025'!$FZ$6:$FZ$25,0)),"-")</f>
        <v>bawang merah 1174006</v>
      </c>
      <c r="C96" s="20" t="n">
        <f aca="false">IFERROR(INDEX('Perhitungan IPH Mingguan 2025'!$C$6:$C$25,MATCH(LARGE('Perhitungan IPH Mingguan 2025'!$FZ$6:$FZ$25,3),'Perhitungan IPH Mingguan 2025'!$FZ$6:$FZ$25,0)),"")</f>
        <v>0.0194434650422287</v>
      </c>
      <c r="D96" s="14" t="n">
        <f aca="false">IFERROR(INDEX('Perhitungan IPH Mingguan 2025'!$AL$6:$AL$25,MATCH(LARGE('Perhitungan IPH Mingguan 2025'!$FZ$6:$FZ$25,3),'Perhitungan IPH Mingguan 2025'!$FZ$6:$FZ$25,0)),"")</f>
        <v>5.98782512451578</v>
      </c>
      <c r="E96" s="4" t="n">
        <f aca="false">IFERROR(INDEX('Perhitungan IPH Mingguan 2025'!$AM$6:$AM$25,MATCH(LARGE('Perhitungan IPH Mingguan 2025'!$FZ$6:$FZ$25,3),'Perhitungan IPH Mingguan 2025'!$FZ$6:$FZ$25,0)),"")</f>
        <v>0.116424068487501</v>
      </c>
      <c r="F96" s="21" t="str">
        <f aca="false">IF(ISNUMBER(E96),IF(E96&gt;0,"Penyumbang KENAIKAN IPH","Penyumbang PENURUNAN IPH"),"-")</f>
        <v>Penyumbang KENAIKAN IPH</v>
      </c>
    </row>
    <row r="97" customFormat="false" ht="15" hidden="false" customHeight="false" outlineLevel="0" collapsed="false">
      <c r="A97" s="3" t="n">
        <v>4</v>
      </c>
      <c r="B97" s="5" t="str">
        <f aca="false">IFERROR(INDEX('Perhitungan IPH Mingguan 2025'!$B$6:$B$25,MATCH(LARGE('Perhitungan IPH Mingguan 2025'!$FZ$6:$FZ$25,4),'Perhitungan IPH Mingguan 2025'!$FZ$6:$FZ$25,0)),"-")</f>
        <v>telur ayam ras 01147002</v>
      </c>
      <c r="C97" s="20" t="n">
        <f aca="false">IFERROR(INDEX('Perhitungan IPH Mingguan 2025'!$C$6:$C$25,MATCH(LARGE('Perhitungan IPH Mingguan 2025'!$FZ$6:$FZ$25,4),'Perhitungan IPH Mingguan 2025'!$FZ$6:$FZ$25,0)),"")</f>
        <v>0.0298777910794593</v>
      </c>
      <c r="D97" s="14" t="n">
        <f aca="false">IFERROR(INDEX('Perhitungan IPH Mingguan 2025'!$AL$6:$AL$25,MATCH(LARGE('Perhitungan IPH Mingguan 2025'!$FZ$6:$FZ$25,4),'Perhitungan IPH Mingguan 2025'!$FZ$6:$FZ$25,0)),"")</f>
        <v>-2.76356192425793</v>
      </c>
      <c r="E97" s="4" t="n">
        <f aca="false">IFERROR(INDEX('Perhitungan IPH Mingguan 2025'!$AM$6:$AM$25,MATCH(LARGE('Perhitungan IPH Mingguan 2025'!$FZ$6:$FZ$25,4),'Perhitungan IPH Mingguan 2025'!$FZ$6:$FZ$25,0)),"")</f>
        <v>-0.082569125808127</v>
      </c>
      <c r="F97" s="21" t="str">
        <f aca="false">IF(ISNUMBER(E97),IF(E97&gt;0,"Penyumbang KENAIKAN IPH","Penyumbang PENURUNAN IPH"),"-")</f>
        <v>Penyumbang PENURUNAN IPH</v>
      </c>
    </row>
    <row r="98" customFormat="false" ht="15" hidden="false" customHeight="false" outlineLevel="0" collapsed="false">
      <c r="A98" s="3" t="n">
        <v>5</v>
      </c>
      <c r="B98" s="5" t="str">
        <f aca="false">IFERROR(INDEX('Perhitungan IPH Mingguan 2025'!$B$6:$B$25,MATCH(LARGE('Perhitungan IPH Mingguan 2025'!$FZ$6:$FZ$25,5),'Perhitungan IPH Mingguan 2025'!$FZ$6:$FZ$25,0)),"-")</f>
        <v>cabai rawit 01173013</v>
      </c>
      <c r="C98" s="20" t="n">
        <f aca="false">IFERROR(INDEX('Perhitungan IPH Mingguan 2025'!$C$6:$C$25,MATCH(LARGE('Perhitungan IPH Mingguan 2025'!$FZ$6:$FZ$25,5),'Perhitungan IPH Mingguan 2025'!$FZ$6:$FZ$25,0)),"")</f>
        <v>0.0177017323628706</v>
      </c>
      <c r="D98" s="14" t="n">
        <f aca="false">IFERROR(INDEX('Perhitungan IPH Mingguan 2025'!$AL$6:$AL$25,MATCH(LARGE('Perhitungan IPH Mingguan 2025'!$FZ$6:$FZ$25,5),'Perhitungan IPH Mingguan 2025'!$FZ$6:$FZ$25,0)),"")</f>
        <v>-4.37908496732027</v>
      </c>
      <c r="E98" s="4" t="n">
        <f aca="false">IFERROR(INDEX('Perhitungan IPH Mingguan 2025'!$AM$6:$AM$25,MATCH(LARGE('Perhitungan IPH Mingguan 2025'!$FZ$6:$FZ$25,5),'Perhitungan IPH Mingguan 2025'!$FZ$6:$FZ$25,0)),"")</f>
        <v>-0.0775173900857733</v>
      </c>
      <c r="F98" s="21" t="str">
        <f aca="false">IF(ISNUMBER(E98),IF(E98&gt;0,"Penyumbang KENAIKAN IPH","Penyumbang PENURUNAN IPH"),"-")</f>
        <v>Penyumbang PENURUNAN IPH</v>
      </c>
    </row>
    <row r="100" customFormat="false" ht="15" hidden="false" customHeight="false" outlineLevel="0" collapsed="false">
      <c r="A100" s="19" t="s">
        <v>279</v>
      </c>
      <c r="B100" s="19"/>
      <c r="C100" s="19"/>
      <c r="D100" s="19"/>
      <c r="E100" s="19"/>
      <c r="F100" s="19"/>
    </row>
    <row r="101" customFormat="false" ht="15" hidden="false" customHeight="false" outlineLevel="0" collapsed="false">
      <c r="A101" s="10" t="s">
        <v>263</v>
      </c>
      <c r="B101" s="10" t="s">
        <v>264</v>
      </c>
      <c r="C101" s="10" t="s">
        <v>174</v>
      </c>
      <c r="D101" s="10" t="s">
        <v>265</v>
      </c>
      <c r="E101" s="10" t="s">
        <v>266</v>
      </c>
      <c r="F101" s="10" t="s">
        <v>267</v>
      </c>
    </row>
    <row r="102" customFormat="false" ht="15" hidden="false" customHeight="false" outlineLevel="0" collapsed="false">
      <c r="A102" s="3" t="n">
        <v>1</v>
      </c>
      <c r="B102" s="5" t="str">
        <f aca="false">IFERROR(INDEX('Perhitungan IPH Mingguan 2025'!$B$6:$B$25,MATCH(LARGE('Perhitungan IPH Mingguan 2025'!$GA$6:$GA$25,1),'Perhitungan IPH Mingguan 2025'!$GA$6:$GA$25,0)),"-")</f>
        <v>bawang merah 1174006</v>
      </c>
      <c r="C102" s="20" t="n">
        <f aca="false">IFERROR(INDEX('Perhitungan IPH Mingguan 2025'!$C$6:$C$25,MATCH(LARGE('Perhitungan IPH Mingguan 2025'!$GA$6:$GA$25,1),'Perhitungan IPH Mingguan 2025'!$GA$6:$GA$25,0)),"")</f>
        <v>0.0194434650422287</v>
      </c>
      <c r="D102" s="14" t="n">
        <f aca="false">IFERROR(INDEX('Perhitungan IPH Mingguan 2025'!$AO$6:$AO$25,MATCH(LARGE('Perhitungan IPH Mingguan 2025'!$GA$6:$GA$25,1),'Perhitungan IPH Mingguan 2025'!$GA$6:$GA$25,0)),"")</f>
        <v>13.5583840619812</v>
      </c>
      <c r="E102" s="4" t="n">
        <f aca="false">IFERROR(INDEX('Perhitungan IPH Mingguan 2025'!$AP$6:$AP$25,MATCH(LARGE('Perhitungan IPH Mingguan 2025'!$GA$6:$GA$25,1),'Perhitungan IPH Mingguan 2025'!$GA$6:$GA$25,0)),"")</f>
        <v>0.263621966538242</v>
      </c>
      <c r="F102" s="21" t="str">
        <f aca="false">IF(ISNUMBER(E102),IF(E102&gt;0,"Penyumbang KENAIKAN IPH","Penyumbang PENURUNAN IPH"),"-")</f>
        <v>Penyumbang KENAIKAN IPH</v>
      </c>
    </row>
    <row r="103" customFormat="false" ht="15" hidden="false" customHeight="false" outlineLevel="0" collapsed="false">
      <c r="A103" s="3" t="n">
        <v>2</v>
      </c>
      <c r="B103" s="5" t="str">
        <f aca="false">IFERROR(INDEX('Perhitungan IPH Mingguan 2025'!$B$6:$B$25,MATCH(LARGE('Perhitungan IPH Mingguan 2025'!$GA$6:$GA$25,2),'Perhitungan IPH Mingguan 2025'!$GA$6:$GA$25,0)),"-")</f>
        <v>udang lobster 01132004</v>
      </c>
      <c r="C103" s="20" t="n">
        <f aca="false">IFERROR(INDEX('Perhitungan IPH Mingguan 2025'!$C$6:$C$25,MATCH(LARGE('Perhitungan IPH Mingguan 2025'!$GA$6:$GA$25,2),'Perhitungan IPH Mingguan 2025'!$GA$6:$GA$25,0)),"")</f>
        <v>0.0370107543210236</v>
      </c>
      <c r="D103" s="14" t="n">
        <f aca="false">IFERROR(INDEX('Perhitungan IPH Mingguan 2025'!$AO$6:$AO$25,MATCH(LARGE('Perhitungan IPH Mingguan 2025'!$GA$6:$GA$25,2),'Perhitungan IPH Mingguan 2025'!$GA$6:$GA$25,0)),"")</f>
        <v>-4.41176470588235</v>
      </c>
      <c r="E103" s="4" t="n">
        <f aca="false">IFERROR(INDEX('Perhitungan IPH Mingguan 2025'!$AP$6:$AP$25,MATCH(LARGE('Perhitungan IPH Mingguan 2025'!$GA$6:$GA$25,2),'Perhitungan IPH Mingguan 2025'!$GA$6:$GA$25,0)),"")</f>
        <v>-0.163282739651575</v>
      </c>
      <c r="F103" s="21" t="str">
        <f aca="false">IF(ISNUMBER(E103),IF(E103&gt;0,"Penyumbang KENAIKAN IPH","Penyumbang PENURUNAN IPH"),"-")</f>
        <v>Penyumbang PENURUNAN IPH</v>
      </c>
    </row>
    <row r="104" customFormat="false" ht="15" hidden="false" customHeight="false" outlineLevel="0" collapsed="false">
      <c r="A104" s="3" t="n">
        <v>3</v>
      </c>
      <c r="B104" s="5" t="str">
        <f aca="false">IFERROR(INDEX('Perhitungan IPH Mingguan 2025'!$B$6:$B$25,MATCH(LARGE('Perhitungan IPH Mingguan 2025'!$GA$6:$GA$25,3),'Perhitungan IPH Mingguan 2025'!$GA$6:$GA$25,0)),"-")</f>
        <v>cabai merah 01173012</v>
      </c>
      <c r="C104" s="20" t="n">
        <f aca="false">IFERROR(INDEX('Perhitungan IPH Mingguan 2025'!$C$6:$C$25,MATCH(LARGE('Perhitungan IPH Mingguan 2025'!$GA$6:$GA$25,3),'Perhitungan IPH Mingguan 2025'!$GA$6:$GA$25,0)),"")</f>
        <v>0.0110208839376634</v>
      </c>
      <c r="D104" s="14" t="n">
        <f aca="false">IFERROR(INDEX('Perhitungan IPH Mingguan 2025'!$AO$6:$AO$25,MATCH(LARGE('Perhitungan IPH Mingguan 2025'!$GA$6:$GA$25,3),'Perhitungan IPH Mingguan 2025'!$GA$6:$GA$25,0)),"")</f>
        <v>-8.89458272327966</v>
      </c>
      <c r="E104" s="4" t="n">
        <f aca="false">IFERROR(INDEX('Perhitungan IPH Mingguan 2025'!$AP$6:$AP$25,MATCH(LARGE('Perhitungan IPH Mingguan 2025'!$GA$6:$GA$25,3),'Perhitungan IPH Mingguan 2025'!$GA$6:$GA$25,0)),"")</f>
        <v>-0.0980261638672111</v>
      </c>
      <c r="F104" s="21" t="str">
        <f aca="false">IF(ISNUMBER(E104),IF(E104&gt;0,"Penyumbang KENAIKAN IPH","Penyumbang PENURUNAN IPH"),"-")</f>
        <v>Penyumbang PENURUNAN IPH</v>
      </c>
    </row>
    <row r="105" customFormat="false" ht="15" hidden="false" customHeight="false" outlineLevel="0" collapsed="false">
      <c r="A105" s="3" t="n">
        <v>4</v>
      </c>
      <c r="B105" s="5" t="str">
        <f aca="false">IFERROR(INDEX('Perhitungan IPH Mingguan 2025'!$B$6:$B$25,MATCH(LARGE('Perhitungan IPH Mingguan 2025'!$GA$6:$GA$25,4),'Perhitungan IPH Mingguan 2025'!$GA$6:$GA$25,0)),"-")</f>
        <v>telur ayam ras 01147002</v>
      </c>
      <c r="C105" s="20" t="n">
        <f aca="false">IFERROR(INDEX('Perhitungan IPH Mingguan 2025'!$C$6:$C$25,MATCH(LARGE('Perhitungan IPH Mingguan 2025'!$GA$6:$GA$25,4),'Perhitungan IPH Mingguan 2025'!$GA$6:$GA$25,0)),"")</f>
        <v>0.0298777910794593</v>
      </c>
      <c r="D105" s="14" t="n">
        <f aca="false">IFERROR(INDEX('Perhitungan IPH Mingguan 2025'!$AO$6:$AO$25,MATCH(LARGE('Perhitungan IPH Mingguan 2025'!$GA$6:$GA$25,4),'Perhitungan IPH Mingguan 2025'!$GA$6:$GA$25,0)),"")</f>
        <v>-3.24974411463664</v>
      </c>
      <c r="E105" s="4" t="n">
        <f aca="false">IFERROR(INDEX('Perhitungan IPH Mingguan 2025'!$AP$6:$AP$25,MATCH(LARGE('Perhitungan IPH Mingguan 2025'!$GA$6:$GA$25,4),'Perhitungan IPH Mingguan 2025'!$GA$6:$GA$25,0)),"")</f>
        <v>-0.097095175718816</v>
      </c>
      <c r="F105" s="21" t="str">
        <f aca="false">IF(ISNUMBER(E105),IF(E105&gt;0,"Penyumbang KENAIKAN IPH","Penyumbang PENURUNAN IPH"),"-")</f>
        <v>Penyumbang PENURUNAN IPH</v>
      </c>
    </row>
    <row r="106" customFormat="false" ht="15" hidden="false" customHeight="false" outlineLevel="0" collapsed="false">
      <c r="A106" s="3" t="n">
        <v>5</v>
      </c>
      <c r="B106" s="5" t="str">
        <f aca="false">IFERROR(INDEX('Perhitungan IPH Mingguan 2025'!$B$6:$B$25,MATCH(LARGE('Perhitungan IPH Mingguan 2025'!$GA$6:$GA$25,5),'Perhitungan IPH Mingguan 2025'!$GA$6:$GA$25,0)),"-")</f>
        <v>daging ayam ras 1124003</v>
      </c>
      <c r="C106" s="20" t="n">
        <f aca="false">IFERROR(INDEX('Perhitungan IPH Mingguan 2025'!$C$6:$C$25,MATCH(LARGE('Perhitungan IPH Mingguan 2025'!$GA$6:$GA$25,5),'Perhitungan IPH Mingguan 2025'!$GA$6:$GA$25,0)),"")</f>
        <v>0.0479107777850277</v>
      </c>
      <c r="D106" s="14" t="n">
        <f aca="false">IFERROR(INDEX('Perhitungan IPH Mingguan 2025'!$AO$6:$AO$25,MATCH(LARGE('Perhitungan IPH Mingguan 2025'!$GA$6:$GA$25,5),'Perhitungan IPH Mingguan 2025'!$GA$6:$GA$25,0)),"")</f>
        <v>-1.35253054101222</v>
      </c>
      <c r="E106" s="4" t="n">
        <f aca="false">IFERROR(INDEX('Perhitungan IPH Mingguan 2025'!$AP$6:$AP$25,MATCH(LARGE('Perhitungan IPH Mingguan 2025'!$GA$6:$GA$25,5),'Perhitungan IPH Mingguan 2025'!$GA$6:$GA$25,0)),"")</f>
        <v>-0.0648007901978998</v>
      </c>
      <c r="F106" s="21" t="str">
        <f aca="false">IF(ISNUMBER(E106),IF(E106&gt;0,"Penyumbang KENAIKAN IPH","Penyumbang PENURUNAN IPH"),"-")</f>
        <v>Penyumbang PENURUNAN IPH</v>
      </c>
    </row>
    <row r="108" customFormat="false" ht="15" hidden="false" customHeight="false" outlineLevel="0" collapsed="false">
      <c r="A108" s="19" t="s">
        <v>280</v>
      </c>
      <c r="B108" s="19"/>
      <c r="C108" s="19"/>
      <c r="D108" s="19"/>
      <c r="E108" s="19"/>
      <c r="F108" s="19"/>
    </row>
    <row r="109" customFormat="false" ht="15" hidden="false" customHeight="false" outlineLevel="0" collapsed="false">
      <c r="A109" s="10" t="s">
        <v>263</v>
      </c>
      <c r="B109" s="10" t="s">
        <v>264</v>
      </c>
      <c r="C109" s="10" t="s">
        <v>174</v>
      </c>
      <c r="D109" s="10" t="s">
        <v>265</v>
      </c>
      <c r="E109" s="10" t="s">
        <v>266</v>
      </c>
      <c r="F109" s="10" t="s">
        <v>267</v>
      </c>
    </row>
    <row r="110" customFormat="false" ht="15" hidden="false" customHeight="false" outlineLevel="0" collapsed="false">
      <c r="A110" s="3" t="n">
        <v>1</v>
      </c>
      <c r="B110" s="5" t="str">
        <f aca="false">IFERROR(INDEX('Perhitungan IPH Mingguan 2025'!$B$6:$B$25,MATCH(LARGE('Perhitungan IPH Mingguan 2025'!$GB$6:$GB$25,1),'Perhitungan IPH Mingguan 2025'!$GB$6:$GB$25,0)),"-")</f>
        <v>beras 1111001</v>
      </c>
      <c r="C110" s="20" t="n">
        <f aca="false">IFERROR(INDEX('Perhitungan IPH Mingguan 2025'!$C$6:$C$25,MATCH(LARGE('Perhitungan IPH Mingguan 2025'!$GB$6:$GB$25,1),'Perhitungan IPH Mingguan 2025'!$GB$6:$GB$25,0)),"")</f>
        <v>0.125089056759346</v>
      </c>
      <c r="D110" s="14" t="str">
        <f aca="false">IFERROR(INDEX('Perhitungan IPH Mingguan 2025'!$AR$6:$AR$25,MATCH(LARGE('Perhitungan IPH Mingguan 2025'!$GB$6:$GB$25,1),'Perhitungan IPH Mingguan 2025'!$GB$6:$GB$25,0)),"")</f>
        <v>n/a</v>
      </c>
      <c r="E110" s="4" t="str">
        <f aca="false">IFERROR(INDEX('Perhitungan IPH Mingguan 2025'!$AS$6:$AS$25,MATCH(LARGE('Perhitungan IPH Mingguan 2025'!$GB$6:$GB$25,1),'Perhitungan IPH Mingguan 2025'!$GB$6:$GB$25,0)),"")</f>
        <v>n/a</v>
      </c>
      <c r="F110" s="21" t="str">
        <f aca="false">IF(ISNUMBER(E110),IF(E110&gt;0,"Penyumbang KENAIKAN IPH","Penyumbang PENURUNAN IPH"),"-")</f>
        <v>-</v>
      </c>
    </row>
    <row r="111" customFormat="false" ht="15" hidden="false" customHeight="false" outlineLevel="0" collapsed="false">
      <c r="A111" s="3" t="n">
        <v>2</v>
      </c>
      <c r="B111" s="5" t="str">
        <f aca="false">IFERROR(INDEX('Perhitungan IPH Mingguan 2025'!$B$6:$B$25,MATCH(LARGE('Perhitungan IPH Mingguan 2025'!$GB$6:$GB$25,2),'Perhitungan IPH Mingguan 2025'!$GB$6:$GB$25,0)),"-")</f>
        <v>beras 1111001</v>
      </c>
      <c r="C111" s="20" t="n">
        <f aca="false">IFERROR(INDEX('Perhitungan IPH Mingguan 2025'!$C$6:$C$25,MATCH(LARGE('Perhitungan IPH Mingguan 2025'!$GB$6:$GB$25,2),'Perhitungan IPH Mingguan 2025'!$GB$6:$GB$25,0)),"")</f>
        <v>0.125089056759346</v>
      </c>
      <c r="D111" s="14" t="str">
        <f aca="false">IFERROR(INDEX('Perhitungan IPH Mingguan 2025'!$AR$6:$AR$25,MATCH(LARGE('Perhitungan IPH Mingguan 2025'!$GB$6:$GB$25,2),'Perhitungan IPH Mingguan 2025'!$GB$6:$GB$25,0)),"")</f>
        <v>n/a</v>
      </c>
      <c r="E111" s="4" t="str">
        <f aca="false">IFERROR(INDEX('Perhitungan IPH Mingguan 2025'!$AS$6:$AS$25,MATCH(LARGE('Perhitungan IPH Mingguan 2025'!$GB$6:$GB$25,2),'Perhitungan IPH Mingguan 2025'!$GB$6:$GB$25,0)),"")</f>
        <v>n/a</v>
      </c>
      <c r="F111" s="21" t="str">
        <f aca="false">IF(ISNUMBER(E111),IF(E111&gt;0,"Penyumbang KENAIKAN IPH","Penyumbang PENURUNAN IPH"),"-")</f>
        <v>-</v>
      </c>
    </row>
    <row r="112" customFormat="false" ht="15" hidden="false" customHeight="false" outlineLevel="0" collapsed="false">
      <c r="A112" s="3" t="n">
        <v>3</v>
      </c>
      <c r="B112" s="5" t="str">
        <f aca="false">IFERROR(INDEX('Perhitungan IPH Mingguan 2025'!$B$6:$B$25,MATCH(LARGE('Perhitungan IPH Mingguan 2025'!$GB$6:$GB$25,3),'Perhitungan IPH Mingguan 2025'!$GB$6:$GB$25,0)),"-")</f>
        <v>beras 1111001</v>
      </c>
      <c r="C112" s="20" t="n">
        <f aca="false">IFERROR(INDEX('Perhitungan IPH Mingguan 2025'!$C$6:$C$25,MATCH(LARGE('Perhitungan IPH Mingguan 2025'!$GB$6:$GB$25,3),'Perhitungan IPH Mingguan 2025'!$GB$6:$GB$25,0)),"")</f>
        <v>0.125089056759346</v>
      </c>
      <c r="D112" s="14" t="str">
        <f aca="false">IFERROR(INDEX('Perhitungan IPH Mingguan 2025'!$AR$6:$AR$25,MATCH(LARGE('Perhitungan IPH Mingguan 2025'!$GB$6:$GB$25,3),'Perhitungan IPH Mingguan 2025'!$GB$6:$GB$25,0)),"")</f>
        <v>n/a</v>
      </c>
      <c r="E112" s="4" t="str">
        <f aca="false">IFERROR(INDEX('Perhitungan IPH Mingguan 2025'!$AS$6:$AS$25,MATCH(LARGE('Perhitungan IPH Mingguan 2025'!$GB$6:$GB$25,3),'Perhitungan IPH Mingguan 2025'!$GB$6:$GB$25,0)),"")</f>
        <v>n/a</v>
      </c>
      <c r="F112" s="21" t="str">
        <f aca="false">IF(ISNUMBER(E112),IF(E112&gt;0,"Penyumbang KENAIKAN IPH","Penyumbang PENURUNAN IPH"),"-")</f>
        <v>-</v>
      </c>
    </row>
    <row r="113" customFormat="false" ht="15" hidden="false" customHeight="false" outlineLevel="0" collapsed="false">
      <c r="A113" s="3" t="n">
        <v>4</v>
      </c>
      <c r="B113" s="5" t="str">
        <f aca="false">IFERROR(INDEX('Perhitungan IPH Mingguan 2025'!$B$6:$B$25,MATCH(LARGE('Perhitungan IPH Mingguan 2025'!$GB$6:$GB$25,4),'Perhitungan IPH Mingguan 2025'!$GB$6:$GB$25,0)),"-")</f>
        <v>beras 1111001</v>
      </c>
      <c r="C113" s="20" t="n">
        <f aca="false">IFERROR(INDEX('Perhitungan IPH Mingguan 2025'!$C$6:$C$25,MATCH(LARGE('Perhitungan IPH Mingguan 2025'!$GB$6:$GB$25,4),'Perhitungan IPH Mingguan 2025'!$GB$6:$GB$25,0)),"")</f>
        <v>0.125089056759346</v>
      </c>
      <c r="D113" s="14" t="str">
        <f aca="false">IFERROR(INDEX('Perhitungan IPH Mingguan 2025'!$AR$6:$AR$25,MATCH(LARGE('Perhitungan IPH Mingguan 2025'!$GB$6:$GB$25,4),'Perhitungan IPH Mingguan 2025'!$GB$6:$GB$25,0)),"")</f>
        <v>n/a</v>
      </c>
      <c r="E113" s="4" t="str">
        <f aca="false">IFERROR(INDEX('Perhitungan IPH Mingguan 2025'!$AS$6:$AS$25,MATCH(LARGE('Perhitungan IPH Mingguan 2025'!$GB$6:$GB$25,4),'Perhitungan IPH Mingguan 2025'!$GB$6:$GB$25,0)),"")</f>
        <v>n/a</v>
      </c>
      <c r="F113" s="21" t="str">
        <f aca="false">IF(ISNUMBER(E113),IF(E113&gt;0,"Penyumbang KENAIKAN IPH","Penyumbang PENURUNAN IPH"),"-")</f>
        <v>-</v>
      </c>
    </row>
    <row r="114" customFormat="false" ht="15" hidden="false" customHeight="false" outlineLevel="0" collapsed="false">
      <c r="A114" s="3" t="n">
        <v>5</v>
      </c>
      <c r="B114" s="5" t="str">
        <f aca="false">IFERROR(INDEX('Perhitungan IPH Mingguan 2025'!$B$6:$B$25,MATCH(LARGE('Perhitungan IPH Mingguan 2025'!$GB$6:$GB$25,5),'Perhitungan IPH Mingguan 2025'!$GB$6:$GB$25,0)),"-")</f>
        <v>beras 1111001</v>
      </c>
      <c r="C114" s="20" t="n">
        <f aca="false">IFERROR(INDEX('Perhitungan IPH Mingguan 2025'!$C$6:$C$25,MATCH(LARGE('Perhitungan IPH Mingguan 2025'!$GB$6:$GB$25,5),'Perhitungan IPH Mingguan 2025'!$GB$6:$GB$25,0)),"")</f>
        <v>0.125089056759346</v>
      </c>
      <c r="D114" s="14" t="str">
        <f aca="false">IFERROR(INDEX('Perhitungan IPH Mingguan 2025'!$AR$6:$AR$25,MATCH(LARGE('Perhitungan IPH Mingguan 2025'!$GB$6:$GB$25,5),'Perhitungan IPH Mingguan 2025'!$GB$6:$GB$25,0)),"")</f>
        <v>n/a</v>
      </c>
      <c r="E114" s="4" t="str">
        <f aca="false">IFERROR(INDEX('Perhitungan IPH Mingguan 2025'!$AS$6:$AS$25,MATCH(LARGE('Perhitungan IPH Mingguan 2025'!$GB$6:$GB$25,5),'Perhitungan IPH Mingguan 2025'!$GB$6:$GB$25,0)),"")</f>
        <v>n/a</v>
      </c>
      <c r="F114" s="21" t="str">
        <f aca="false">IF(ISNUMBER(E114),IF(E114&gt;0,"Penyumbang KENAIKAN IPH","Penyumbang PENURUNAN IPH"),"-")</f>
        <v>-</v>
      </c>
    </row>
    <row r="116" customFormat="false" ht="15" hidden="false" customHeight="false" outlineLevel="0" collapsed="false">
      <c r="A116" s="19" t="s">
        <v>281</v>
      </c>
      <c r="B116" s="19"/>
      <c r="C116" s="19"/>
      <c r="D116" s="19"/>
      <c r="E116" s="19"/>
      <c r="F116" s="19"/>
    </row>
    <row r="117" customFormat="false" ht="15" hidden="false" customHeight="false" outlineLevel="0" collapsed="false">
      <c r="A117" s="10" t="s">
        <v>263</v>
      </c>
      <c r="B117" s="10" t="s">
        <v>264</v>
      </c>
      <c r="C117" s="10" t="s">
        <v>174</v>
      </c>
      <c r="D117" s="10" t="s">
        <v>265</v>
      </c>
      <c r="E117" s="10" t="s">
        <v>266</v>
      </c>
      <c r="F117" s="10" t="s">
        <v>267</v>
      </c>
    </row>
    <row r="118" customFormat="false" ht="15" hidden="false" customHeight="false" outlineLevel="0" collapsed="false">
      <c r="A118" s="3" t="n">
        <v>1</v>
      </c>
      <c r="B118" s="5" t="str">
        <f aca="false">IFERROR(INDEX('Perhitungan IPH Mingguan 2025'!$B$6:$B$25,MATCH(LARGE('Perhitungan IPH Mingguan 2025'!$GC$6:$GC$25,1),'Perhitungan IPH Mingguan 2025'!$GC$6:$GC$25,0)),"-")</f>
        <v>beras 1111001</v>
      </c>
      <c r="C118" s="20" t="n">
        <f aca="false">IFERROR(INDEX('Perhitungan IPH Mingguan 2025'!$C$6:$C$25,MATCH(LARGE('Perhitungan IPH Mingguan 2025'!$GC$6:$GC$25,1),'Perhitungan IPH Mingguan 2025'!$GC$6:$GC$25,0)),"")</f>
        <v>0.125089056759346</v>
      </c>
      <c r="D118" s="14" t="str">
        <f aca="false">IFERROR(INDEX('Perhitungan IPH Mingguan 2025'!$AU$6:$AU$25,MATCH(LARGE('Perhitungan IPH Mingguan 2025'!$GC$6:$GC$25,1),'Perhitungan IPH Mingguan 2025'!$GC$6:$GC$25,0)),"")</f>
        <v>n/a</v>
      </c>
      <c r="E118" s="4" t="str">
        <f aca="false">IFERROR(INDEX('Perhitungan IPH Mingguan 2025'!$AV$6:$AV$25,MATCH(LARGE('Perhitungan IPH Mingguan 2025'!$GC$6:$GC$25,1),'Perhitungan IPH Mingguan 2025'!$GC$6:$GC$25,0)),"")</f>
        <v>n/a</v>
      </c>
      <c r="F118" s="21" t="str">
        <f aca="false">IF(ISNUMBER(E118),IF(E118&gt;0,"Penyumbang KENAIKAN IPH","Penyumbang PENURUNAN IPH"),"-")</f>
        <v>-</v>
      </c>
    </row>
    <row r="119" customFormat="false" ht="15" hidden="false" customHeight="false" outlineLevel="0" collapsed="false">
      <c r="A119" s="3" t="n">
        <v>2</v>
      </c>
      <c r="B119" s="5" t="str">
        <f aca="false">IFERROR(INDEX('Perhitungan IPH Mingguan 2025'!$B$6:$B$25,MATCH(LARGE('Perhitungan IPH Mingguan 2025'!$GC$6:$GC$25,2),'Perhitungan IPH Mingguan 2025'!$GC$6:$GC$25,0)),"-")</f>
        <v>beras 1111001</v>
      </c>
      <c r="C119" s="20" t="n">
        <f aca="false">IFERROR(INDEX('Perhitungan IPH Mingguan 2025'!$C$6:$C$25,MATCH(LARGE('Perhitungan IPH Mingguan 2025'!$GC$6:$GC$25,2),'Perhitungan IPH Mingguan 2025'!$GC$6:$GC$25,0)),"")</f>
        <v>0.125089056759346</v>
      </c>
      <c r="D119" s="14" t="str">
        <f aca="false">IFERROR(INDEX('Perhitungan IPH Mingguan 2025'!$AU$6:$AU$25,MATCH(LARGE('Perhitungan IPH Mingguan 2025'!$GC$6:$GC$25,2),'Perhitungan IPH Mingguan 2025'!$GC$6:$GC$25,0)),"")</f>
        <v>n/a</v>
      </c>
      <c r="E119" s="4" t="str">
        <f aca="false">IFERROR(INDEX('Perhitungan IPH Mingguan 2025'!$AV$6:$AV$25,MATCH(LARGE('Perhitungan IPH Mingguan 2025'!$GC$6:$GC$25,2),'Perhitungan IPH Mingguan 2025'!$GC$6:$GC$25,0)),"")</f>
        <v>n/a</v>
      </c>
      <c r="F119" s="21" t="str">
        <f aca="false">IF(ISNUMBER(E119),IF(E119&gt;0,"Penyumbang KENAIKAN IPH","Penyumbang PENURUNAN IPH"),"-")</f>
        <v>-</v>
      </c>
    </row>
    <row r="120" customFormat="false" ht="15" hidden="false" customHeight="false" outlineLevel="0" collapsed="false">
      <c r="A120" s="3" t="n">
        <v>3</v>
      </c>
      <c r="B120" s="5" t="str">
        <f aca="false">IFERROR(INDEX('Perhitungan IPH Mingguan 2025'!$B$6:$B$25,MATCH(LARGE('Perhitungan IPH Mingguan 2025'!$GC$6:$GC$25,3),'Perhitungan IPH Mingguan 2025'!$GC$6:$GC$25,0)),"-")</f>
        <v>beras 1111001</v>
      </c>
      <c r="C120" s="20" t="n">
        <f aca="false">IFERROR(INDEX('Perhitungan IPH Mingguan 2025'!$C$6:$C$25,MATCH(LARGE('Perhitungan IPH Mingguan 2025'!$GC$6:$GC$25,3),'Perhitungan IPH Mingguan 2025'!$GC$6:$GC$25,0)),"")</f>
        <v>0.125089056759346</v>
      </c>
      <c r="D120" s="14" t="str">
        <f aca="false">IFERROR(INDEX('Perhitungan IPH Mingguan 2025'!$AU$6:$AU$25,MATCH(LARGE('Perhitungan IPH Mingguan 2025'!$GC$6:$GC$25,3),'Perhitungan IPH Mingguan 2025'!$GC$6:$GC$25,0)),"")</f>
        <v>n/a</v>
      </c>
      <c r="E120" s="4" t="str">
        <f aca="false">IFERROR(INDEX('Perhitungan IPH Mingguan 2025'!$AV$6:$AV$25,MATCH(LARGE('Perhitungan IPH Mingguan 2025'!$GC$6:$GC$25,3),'Perhitungan IPH Mingguan 2025'!$GC$6:$GC$25,0)),"")</f>
        <v>n/a</v>
      </c>
      <c r="F120" s="21" t="str">
        <f aca="false">IF(ISNUMBER(E120),IF(E120&gt;0,"Penyumbang KENAIKAN IPH","Penyumbang PENURUNAN IPH"),"-")</f>
        <v>-</v>
      </c>
    </row>
    <row r="121" customFormat="false" ht="15" hidden="false" customHeight="false" outlineLevel="0" collapsed="false">
      <c r="A121" s="3" t="n">
        <v>4</v>
      </c>
      <c r="B121" s="5" t="str">
        <f aca="false">IFERROR(INDEX('Perhitungan IPH Mingguan 2025'!$B$6:$B$25,MATCH(LARGE('Perhitungan IPH Mingguan 2025'!$GC$6:$GC$25,4),'Perhitungan IPH Mingguan 2025'!$GC$6:$GC$25,0)),"-")</f>
        <v>beras 1111001</v>
      </c>
      <c r="C121" s="20" t="n">
        <f aca="false">IFERROR(INDEX('Perhitungan IPH Mingguan 2025'!$C$6:$C$25,MATCH(LARGE('Perhitungan IPH Mingguan 2025'!$GC$6:$GC$25,4),'Perhitungan IPH Mingguan 2025'!$GC$6:$GC$25,0)),"")</f>
        <v>0.125089056759346</v>
      </c>
      <c r="D121" s="14" t="str">
        <f aca="false">IFERROR(INDEX('Perhitungan IPH Mingguan 2025'!$AU$6:$AU$25,MATCH(LARGE('Perhitungan IPH Mingguan 2025'!$GC$6:$GC$25,4),'Perhitungan IPH Mingguan 2025'!$GC$6:$GC$25,0)),"")</f>
        <v>n/a</v>
      </c>
      <c r="E121" s="4" t="str">
        <f aca="false">IFERROR(INDEX('Perhitungan IPH Mingguan 2025'!$AV$6:$AV$25,MATCH(LARGE('Perhitungan IPH Mingguan 2025'!$GC$6:$GC$25,4),'Perhitungan IPH Mingguan 2025'!$GC$6:$GC$25,0)),"")</f>
        <v>n/a</v>
      </c>
      <c r="F121" s="21" t="str">
        <f aca="false">IF(ISNUMBER(E121),IF(E121&gt;0,"Penyumbang KENAIKAN IPH","Penyumbang PENURUNAN IPH"),"-")</f>
        <v>-</v>
      </c>
    </row>
    <row r="122" customFormat="false" ht="15" hidden="false" customHeight="false" outlineLevel="0" collapsed="false">
      <c r="A122" s="3" t="n">
        <v>5</v>
      </c>
      <c r="B122" s="5" t="str">
        <f aca="false">IFERROR(INDEX('Perhitungan IPH Mingguan 2025'!$B$6:$B$25,MATCH(LARGE('Perhitungan IPH Mingguan 2025'!$GC$6:$GC$25,5),'Perhitungan IPH Mingguan 2025'!$GC$6:$GC$25,0)),"-")</f>
        <v>beras 1111001</v>
      </c>
      <c r="C122" s="20" t="n">
        <f aca="false">IFERROR(INDEX('Perhitungan IPH Mingguan 2025'!$C$6:$C$25,MATCH(LARGE('Perhitungan IPH Mingguan 2025'!$GC$6:$GC$25,5),'Perhitungan IPH Mingguan 2025'!$GC$6:$GC$25,0)),"")</f>
        <v>0.125089056759346</v>
      </c>
      <c r="D122" s="14" t="str">
        <f aca="false">IFERROR(INDEX('Perhitungan IPH Mingguan 2025'!$AU$6:$AU$25,MATCH(LARGE('Perhitungan IPH Mingguan 2025'!$GC$6:$GC$25,5),'Perhitungan IPH Mingguan 2025'!$GC$6:$GC$25,0)),"")</f>
        <v>n/a</v>
      </c>
      <c r="E122" s="4" t="str">
        <f aca="false">IFERROR(INDEX('Perhitungan IPH Mingguan 2025'!$AV$6:$AV$25,MATCH(LARGE('Perhitungan IPH Mingguan 2025'!$GC$6:$GC$25,5),'Perhitungan IPH Mingguan 2025'!$GC$6:$GC$25,0)),"")</f>
        <v>n/a</v>
      </c>
      <c r="F122" s="21" t="str">
        <f aca="false">IF(ISNUMBER(E122),IF(E122&gt;0,"Penyumbang KENAIKAN IPH","Penyumbang PENURUNAN IPH"),"-")</f>
        <v>-</v>
      </c>
    </row>
    <row r="124" customFormat="false" ht="15" hidden="false" customHeight="false" outlineLevel="0" collapsed="false">
      <c r="A124" s="19" t="s">
        <v>282</v>
      </c>
      <c r="B124" s="19"/>
      <c r="C124" s="19"/>
      <c r="D124" s="19"/>
      <c r="E124" s="19"/>
      <c r="F124" s="19"/>
    </row>
    <row r="125" customFormat="false" ht="15" hidden="false" customHeight="false" outlineLevel="0" collapsed="false">
      <c r="A125" s="10" t="s">
        <v>263</v>
      </c>
      <c r="B125" s="10" t="s">
        <v>264</v>
      </c>
      <c r="C125" s="10" t="s">
        <v>174</v>
      </c>
      <c r="D125" s="10" t="s">
        <v>265</v>
      </c>
      <c r="E125" s="10" t="s">
        <v>266</v>
      </c>
      <c r="F125" s="10" t="s">
        <v>267</v>
      </c>
    </row>
    <row r="126" customFormat="false" ht="15" hidden="false" customHeight="false" outlineLevel="0" collapsed="false">
      <c r="A126" s="3" t="n">
        <v>1</v>
      </c>
      <c r="B126" s="5" t="str">
        <f aca="false">IFERROR(INDEX('Perhitungan IPH Mingguan 2025'!$B$6:$B$25,MATCH(LARGE('Perhitungan IPH Mingguan 2025'!$GD$6:$GD$25,1),'Perhitungan IPH Mingguan 2025'!$GD$6:$GD$25,0)),"-")</f>
        <v>bawang merah 1174006</v>
      </c>
      <c r="C126" s="20" t="n">
        <f aca="false">IFERROR(INDEX('Perhitungan IPH Mingguan 2025'!$C$6:$C$25,MATCH(LARGE('Perhitungan IPH Mingguan 2025'!$GD$6:$GD$25,1),'Perhitungan IPH Mingguan 2025'!$GD$6:$GD$25,0)),"")</f>
        <v>0.0194434650422287</v>
      </c>
      <c r="D126" s="14" t="n">
        <f aca="false">IFERROR(INDEX('Perhitungan IPH Mingguan 2025'!$AX$6:$AX$25,MATCH(LARGE('Perhitungan IPH Mingguan 2025'!$GD$6:$GD$25,1),'Perhitungan IPH Mingguan 2025'!$GD$6:$GD$25,0)),"")</f>
        <v>40.295358649789</v>
      </c>
      <c r="E126" s="4" t="n">
        <f aca="false">IFERROR(INDEX('Perhitungan IPH Mingguan 2025'!$AY$6:$AY$25,MATCH(LARGE('Perhitungan IPH Mingguan 2025'!$GD$6:$GD$25,1),'Perhitungan IPH Mingguan 2025'!$GD$6:$GD$25,0)),"")</f>
        <v>0.783481397271241</v>
      </c>
      <c r="F126" s="21" t="str">
        <f aca="false">IF(ISNUMBER(E126),IF(E126&gt;0,"Penyumbang KENAIKAN IPH","Penyumbang PENURUNAN IPH"),"-")</f>
        <v>Penyumbang KENAIKAN IPH</v>
      </c>
    </row>
    <row r="127" customFormat="false" ht="15" hidden="false" customHeight="false" outlineLevel="0" collapsed="false">
      <c r="A127" s="3" t="n">
        <v>2</v>
      </c>
      <c r="B127" s="5" t="str">
        <f aca="false">IFERROR(INDEX('Perhitungan IPH Mingguan 2025'!$B$6:$B$25,MATCH(LARGE('Perhitungan IPH Mingguan 2025'!$GD$6:$GD$25,2),'Perhitungan IPH Mingguan 2025'!$GD$6:$GD$25,0)),"-")</f>
        <v>cabai rawit 01173013</v>
      </c>
      <c r="C127" s="20" t="n">
        <f aca="false">IFERROR(INDEX('Perhitungan IPH Mingguan 2025'!$C$6:$C$25,MATCH(LARGE('Perhitungan IPH Mingguan 2025'!$GD$6:$GD$25,2),'Perhitungan IPH Mingguan 2025'!$GD$6:$GD$25,0)),"")</f>
        <v>0.0177017323628706</v>
      </c>
      <c r="D127" s="14" t="n">
        <f aca="false">IFERROR(INDEX('Perhitungan IPH Mingguan 2025'!$AX$6:$AX$25,MATCH(LARGE('Perhitungan IPH Mingguan 2025'!$GD$6:$GD$25,2),'Perhitungan IPH Mingguan 2025'!$GD$6:$GD$25,0)),"")</f>
        <v>29.9885974914481</v>
      </c>
      <c r="E127" s="4" t="n">
        <f aca="false">IFERROR(INDEX('Perhitungan IPH Mingguan 2025'!$AY$6:$AY$25,MATCH(LARGE('Perhitungan IPH Mingguan 2025'!$GD$6:$GD$25,2),'Perhitungan IPH Mingguan 2025'!$GD$6:$GD$25,0)),"")</f>
        <v>0.530850126731467</v>
      </c>
      <c r="F127" s="21" t="str">
        <f aca="false">IF(ISNUMBER(E127),IF(E127&gt;0,"Penyumbang KENAIKAN IPH","Penyumbang PENURUNAN IPH"),"-")</f>
        <v>Penyumbang KENAIKAN IPH</v>
      </c>
    </row>
    <row r="128" customFormat="false" ht="15" hidden="false" customHeight="false" outlineLevel="0" collapsed="false">
      <c r="A128" s="3" t="n">
        <v>3</v>
      </c>
      <c r="B128" s="5" t="str">
        <f aca="false">IFERROR(INDEX('Perhitungan IPH Mingguan 2025'!$B$6:$B$25,MATCH(LARGE('Perhitungan IPH Mingguan 2025'!$GD$6:$GD$25,3),'Perhitungan IPH Mingguan 2025'!$GD$6:$GD$25,0)),"-")</f>
        <v>cabai merah 01173012</v>
      </c>
      <c r="C128" s="20" t="n">
        <f aca="false">IFERROR(INDEX('Perhitungan IPH Mingguan 2025'!$C$6:$C$25,MATCH(LARGE('Perhitungan IPH Mingguan 2025'!$GD$6:$GD$25,3),'Perhitungan IPH Mingguan 2025'!$GD$6:$GD$25,0)),"")</f>
        <v>0.0110208839376634</v>
      </c>
      <c r="D128" s="14" t="n">
        <f aca="false">IFERROR(INDEX('Perhitungan IPH Mingguan 2025'!$AX$6:$AX$25,MATCH(LARGE('Perhitungan IPH Mingguan 2025'!$GD$6:$GD$25,3),'Perhitungan IPH Mingguan 2025'!$GD$6:$GD$25,0)),"")</f>
        <v>28.1618887015177</v>
      </c>
      <c r="E128" s="4" t="n">
        <f aca="false">IFERROR(INDEX('Perhitungan IPH Mingguan 2025'!$AY$6:$AY$25,MATCH(LARGE('Perhitungan IPH Mingguan 2025'!$GD$6:$GD$25,3),'Perhitungan IPH Mingguan 2025'!$GD$6:$GD$25,0)),"")</f>
        <v>0.310368906844821</v>
      </c>
      <c r="F128" s="21" t="str">
        <f aca="false">IF(ISNUMBER(E128),IF(E128&gt;0,"Penyumbang KENAIKAN IPH","Penyumbang PENURUNAN IPH"),"-")</f>
        <v>Penyumbang KENAIKAN IPH</v>
      </c>
    </row>
    <row r="129" customFormat="false" ht="15" hidden="false" customHeight="false" outlineLevel="0" collapsed="false">
      <c r="A129" s="3" t="n">
        <v>4</v>
      </c>
      <c r="B129" s="5" t="str">
        <f aca="false">IFERROR(INDEX('Perhitungan IPH Mingguan 2025'!$B$6:$B$25,MATCH(LARGE('Perhitungan IPH Mingguan 2025'!$GD$6:$GD$25,4),'Perhitungan IPH Mingguan 2025'!$GD$6:$GD$25,0)),"-")</f>
        <v>telur ayam ras 01147002</v>
      </c>
      <c r="C129" s="20" t="n">
        <f aca="false">IFERROR(INDEX('Perhitungan IPH Mingguan 2025'!$C$6:$C$25,MATCH(LARGE('Perhitungan IPH Mingguan 2025'!$GD$6:$GD$25,4),'Perhitungan IPH Mingguan 2025'!$GD$6:$GD$25,0)),"")</f>
        <v>0.0298777910794593</v>
      </c>
      <c r="D129" s="14" t="n">
        <f aca="false">IFERROR(INDEX('Perhitungan IPH Mingguan 2025'!$AX$6:$AX$25,MATCH(LARGE('Perhitungan IPH Mingguan 2025'!$GD$6:$GD$25,4),'Perhitungan IPH Mingguan 2025'!$GD$6:$GD$25,0)),"")</f>
        <v>-4.60662525879917</v>
      </c>
      <c r="E129" s="4" t="n">
        <f aca="false">IFERROR(INDEX('Perhitungan IPH Mingguan 2025'!$AY$6:$AY$25,MATCH(LARGE('Perhitungan IPH Mingguan 2025'!$GD$6:$GD$25,4),'Perhitungan IPH Mingguan 2025'!$GD$6:$GD$25,0)),"")</f>
        <v>-0.137635787063762</v>
      </c>
      <c r="F129" s="21" t="str">
        <f aca="false">IF(ISNUMBER(E129),IF(E129&gt;0,"Penyumbang KENAIKAN IPH","Penyumbang PENURUNAN IPH"),"-")</f>
        <v>Penyumbang PENURUNAN IPH</v>
      </c>
    </row>
    <row r="130" customFormat="false" ht="15" hidden="false" customHeight="false" outlineLevel="0" collapsed="false">
      <c r="A130" s="3" t="n">
        <v>5</v>
      </c>
      <c r="B130" s="5" t="str">
        <f aca="false">IFERROR(INDEX('Perhitungan IPH Mingguan 2025'!$B$6:$B$25,MATCH(LARGE('Perhitungan IPH Mingguan 2025'!$GD$6:$GD$25,5),'Perhitungan IPH Mingguan 2025'!$GD$6:$GD$25,0)),"-")</f>
        <v>daging ayam ras 1124003</v>
      </c>
      <c r="C130" s="20" t="n">
        <f aca="false">IFERROR(INDEX('Perhitungan IPH Mingguan 2025'!$C$6:$C$25,MATCH(LARGE('Perhitungan IPH Mingguan 2025'!$GD$6:$GD$25,5),'Perhitungan IPH Mingguan 2025'!$GD$6:$GD$25,0)),"")</f>
        <v>0.0479107777850277</v>
      </c>
      <c r="D130" s="14" t="n">
        <f aca="false">IFERROR(INDEX('Perhitungan IPH Mingguan 2025'!$AX$6:$AX$25,MATCH(LARGE('Perhitungan IPH Mingguan 2025'!$GD$6:$GD$25,5),'Perhitungan IPH Mingguan 2025'!$GD$6:$GD$25,0)),"")</f>
        <v>-2.01048951048951</v>
      </c>
      <c r="E130" s="4" t="n">
        <f aca="false">IFERROR(INDEX('Perhitungan IPH Mingguan 2025'!$AY$6:$AY$25,MATCH(LARGE('Perhitungan IPH Mingguan 2025'!$GD$6:$GD$25,5),'Perhitungan IPH Mingguan 2025'!$GD$6:$GD$25,0)),"")</f>
        <v>-0.096324116176192</v>
      </c>
      <c r="F130" s="21" t="str">
        <f aca="false">IF(ISNUMBER(E130),IF(E130&gt;0,"Penyumbang KENAIKAN IPH","Penyumbang PENURUNAN IPH"),"-")</f>
        <v>Penyumbang PENURUNAN IPH</v>
      </c>
    </row>
    <row r="132" customFormat="false" ht="15" hidden="false" customHeight="false" outlineLevel="0" collapsed="false">
      <c r="A132" s="19" t="s">
        <v>283</v>
      </c>
      <c r="B132" s="19"/>
      <c r="C132" s="19"/>
      <c r="D132" s="19"/>
      <c r="E132" s="19"/>
      <c r="F132" s="19"/>
    </row>
    <row r="133" customFormat="false" ht="15" hidden="false" customHeight="false" outlineLevel="0" collapsed="false">
      <c r="A133" s="10" t="s">
        <v>263</v>
      </c>
      <c r="B133" s="10" t="s">
        <v>264</v>
      </c>
      <c r="C133" s="10" t="s">
        <v>174</v>
      </c>
      <c r="D133" s="10" t="s">
        <v>265</v>
      </c>
      <c r="E133" s="10" t="s">
        <v>266</v>
      </c>
      <c r="F133" s="10" t="s">
        <v>267</v>
      </c>
    </row>
    <row r="134" customFormat="false" ht="15" hidden="false" customHeight="false" outlineLevel="0" collapsed="false">
      <c r="A134" s="3" t="n">
        <v>1</v>
      </c>
      <c r="B134" s="5" t="str">
        <f aca="false">IFERROR(INDEX('Perhitungan IPH Mingguan 2025'!$B$6:$B$25,MATCH(LARGE('Perhitungan IPH Mingguan 2025'!$GE$6:$GE$25,1),'Perhitungan IPH Mingguan 2025'!$GE$6:$GE$25,0)),"-")</f>
        <v>bawang merah 1174006</v>
      </c>
      <c r="C134" s="20" t="n">
        <f aca="false">IFERROR(INDEX('Perhitungan IPH Mingguan 2025'!$C$6:$C$25,MATCH(LARGE('Perhitungan IPH Mingguan 2025'!$GE$6:$GE$25,1),'Perhitungan IPH Mingguan 2025'!$GE$6:$GE$25,0)),"")</f>
        <v>0.0194434650422287</v>
      </c>
      <c r="D134" s="14" t="n">
        <f aca="false">IFERROR(INDEX('Perhitungan IPH Mingguan 2025'!$BA$6:$BA$25,MATCH(LARGE('Perhitungan IPH Mingguan 2025'!$GE$6:$GE$25,1),'Perhitungan IPH Mingguan 2025'!$GE$6:$GE$25,0)),"")</f>
        <v>40.295358649789</v>
      </c>
      <c r="E134" s="4" t="n">
        <f aca="false">IFERROR(INDEX('Perhitungan IPH Mingguan 2025'!$BB$6:$BB$25,MATCH(LARGE('Perhitungan IPH Mingguan 2025'!$GE$6:$GE$25,1),'Perhitungan IPH Mingguan 2025'!$GE$6:$GE$25,0)),"")</f>
        <v>0.783481397271241</v>
      </c>
      <c r="F134" s="21" t="str">
        <f aca="false">IF(ISNUMBER(E134),IF(E134&gt;0,"Penyumbang KENAIKAN IPH","Penyumbang PENURUNAN IPH"),"-")</f>
        <v>Penyumbang KENAIKAN IPH</v>
      </c>
    </row>
    <row r="135" customFormat="false" ht="15" hidden="false" customHeight="false" outlineLevel="0" collapsed="false">
      <c r="A135" s="3" t="n">
        <v>2</v>
      </c>
      <c r="B135" s="5" t="str">
        <f aca="false">IFERROR(INDEX('Perhitungan IPH Mingguan 2025'!$B$6:$B$25,MATCH(LARGE('Perhitungan IPH Mingguan 2025'!$GE$6:$GE$25,2),'Perhitungan IPH Mingguan 2025'!$GE$6:$GE$25,0)),"-")</f>
        <v>daging ayam ras 1124003</v>
      </c>
      <c r="C135" s="20" t="n">
        <f aca="false">IFERROR(INDEX('Perhitungan IPH Mingguan 2025'!$C$6:$C$25,MATCH(LARGE('Perhitungan IPH Mingguan 2025'!$GE$6:$GE$25,2),'Perhitungan IPH Mingguan 2025'!$GE$6:$GE$25,0)),"")</f>
        <v>0.0479107777850277</v>
      </c>
      <c r="D135" s="14" t="n">
        <f aca="false">IFERROR(INDEX('Perhitungan IPH Mingguan 2025'!$BA$6:$BA$25,MATCH(LARGE('Perhitungan IPH Mingguan 2025'!$GE$6:$GE$25,2),'Perhitungan IPH Mingguan 2025'!$GE$6:$GE$25,0)),"")</f>
        <v>-14.4667832167832</v>
      </c>
      <c r="E135" s="4" t="n">
        <f aca="false">IFERROR(INDEX('Perhitungan IPH Mingguan 2025'!$BB$6:$BB$25,MATCH(LARGE('Perhitungan IPH Mingguan 2025'!$GE$6:$GE$25,2),'Perhitungan IPH Mingguan 2025'!$GE$6:$GE$25,0)),"")</f>
        <v>-0.693114835963469</v>
      </c>
      <c r="F135" s="21" t="str">
        <f aca="false">IF(ISNUMBER(E135),IF(E135&gt;0,"Penyumbang KENAIKAN IPH","Penyumbang PENURUNAN IPH"),"-")</f>
        <v>Penyumbang PENURUNAN IPH</v>
      </c>
    </row>
    <row r="136" customFormat="false" ht="15" hidden="false" customHeight="false" outlineLevel="0" collapsed="false">
      <c r="A136" s="3" t="n">
        <v>3</v>
      </c>
      <c r="B136" s="5" t="str">
        <f aca="false">IFERROR(INDEX('Perhitungan IPH Mingguan 2025'!$B$6:$B$25,MATCH(LARGE('Perhitungan IPH Mingguan 2025'!$GE$6:$GE$25,3),'Perhitungan IPH Mingguan 2025'!$GE$6:$GE$25,0)),"-")</f>
        <v>cabai rawit 01173013</v>
      </c>
      <c r="C136" s="20" t="n">
        <f aca="false">IFERROR(INDEX('Perhitungan IPH Mingguan 2025'!$C$6:$C$25,MATCH(LARGE('Perhitungan IPH Mingguan 2025'!$GE$6:$GE$25,3),'Perhitungan IPH Mingguan 2025'!$GE$6:$GE$25,0)),"")</f>
        <v>0.0177017323628706</v>
      </c>
      <c r="D136" s="14" t="n">
        <f aca="false">IFERROR(INDEX('Perhitungan IPH Mingguan 2025'!$BA$6:$BA$25,MATCH(LARGE('Perhitungan IPH Mingguan 2025'!$GE$6:$GE$25,3),'Perhitungan IPH Mingguan 2025'!$GE$6:$GE$25,0)),"")</f>
        <v>28.6345496009122</v>
      </c>
      <c r="E136" s="4" t="n">
        <f aca="false">IFERROR(INDEX('Perhitungan IPH Mingguan 2025'!$BB$6:$BB$25,MATCH(LARGE('Perhitungan IPH Mingguan 2025'!$GE$6:$GE$25,3),'Perhitungan IPH Mingguan 2025'!$GE$6:$GE$25,0)),"")</f>
        <v>0.506881133366691</v>
      </c>
      <c r="F136" s="21" t="str">
        <f aca="false">IF(ISNUMBER(E136),IF(E136&gt;0,"Penyumbang KENAIKAN IPH","Penyumbang PENURUNAN IPH"),"-")</f>
        <v>Penyumbang KENAIKAN IPH</v>
      </c>
    </row>
    <row r="137" customFormat="false" ht="15" hidden="false" customHeight="false" outlineLevel="0" collapsed="false">
      <c r="A137" s="3" t="n">
        <v>4</v>
      </c>
      <c r="B137" s="5" t="str">
        <f aca="false">IFERROR(INDEX('Perhitungan IPH Mingguan 2025'!$B$6:$B$25,MATCH(LARGE('Perhitungan IPH Mingguan 2025'!$GE$6:$GE$25,4),'Perhitungan IPH Mingguan 2025'!$GE$6:$GE$25,0)),"-")</f>
        <v>udang lobster 01132004</v>
      </c>
      <c r="C137" s="20" t="n">
        <f aca="false">IFERROR(INDEX('Perhitungan IPH Mingguan 2025'!$C$6:$C$25,MATCH(LARGE('Perhitungan IPH Mingguan 2025'!$GE$6:$GE$25,4),'Perhitungan IPH Mingguan 2025'!$GE$6:$GE$25,0)),"")</f>
        <v>0.0370107543210236</v>
      </c>
      <c r="D137" s="14" t="n">
        <f aca="false">IFERROR(INDEX('Perhitungan IPH Mingguan 2025'!$BA$6:$BA$25,MATCH(LARGE('Perhitungan IPH Mingguan 2025'!$GE$6:$GE$25,4),'Perhitungan IPH Mingguan 2025'!$GE$6:$GE$25,0)),"")</f>
        <v>-8.1385979049154</v>
      </c>
      <c r="E137" s="4" t="n">
        <f aca="false">IFERROR(INDEX('Perhitungan IPH Mingguan 2025'!$BB$6:$BB$25,MATCH(LARGE('Perhitungan IPH Mingguan 2025'!$GE$6:$GE$25,4),'Perhitungan IPH Mingguan 2025'!$GE$6:$GE$25,0)),"")</f>
        <v>-0.301215647576421</v>
      </c>
      <c r="F137" s="21" t="str">
        <f aca="false">IF(ISNUMBER(E137),IF(E137&gt;0,"Penyumbang KENAIKAN IPH","Penyumbang PENURUNAN IPH"),"-")</f>
        <v>Penyumbang PENURUNAN IPH</v>
      </c>
    </row>
    <row r="138" customFormat="false" ht="15" hidden="false" customHeight="false" outlineLevel="0" collapsed="false">
      <c r="A138" s="3" t="n">
        <v>5</v>
      </c>
      <c r="B138" s="5" t="str">
        <f aca="false">IFERROR(INDEX('Perhitungan IPH Mingguan 2025'!$B$6:$B$25,MATCH(LARGE('Perhitungan IPH Mingguan 2025'!$GE$6:$GE$25,5),'Perhitungan IPH Mingguan 2025'!$GE$6:$GE$25,0)),"-")</f>
        <v>telur ayam ras 01147002</v>
      </c>
      <c r="C138" s="20" t="n">
        <f aca="false">IFERROR(INDEX('Perhitungan IPH Mingguan 2025'!$C$6:$C$25,MATCH(LARGE('Perhitungan IPH Mingguan 2025'!$GE$6:$GE$25,5),'Perhitungan IPH Mingguan 2025'!$GE$6:$GE$25,0)),"")</f>
        <v>0.0298777910794593</v>
      </c>
      <c r="D138" s="14" t="n">
        <f aca="false">IFERROR(INDEX('Perhitungan IPH Mingguan 2025'!$BA$6:$BA$25,MATCH(LARGE('Perhitungan IPH Mingguan 2025'!$GE$6:$GE$25,5),'Perhitungan IPH Mingguan 2025'!$GE$6:$GE$25,0)),"")</f>
        <v>-8.04865424430641</v>
      </c>
      <c r="E138" s="4" t="n">
        <f aca="false">IFERROR(INDEX('Perhitungan IPH Mingguan 2025'!$BB$6:$BB$25,MATCH(LARGE('Perhitungan IPH Mingguan 2025'!$GE$6:$GE$25,5),'Perhitungan IPH Mingguan 2025'!$GE$6:$GE$25,0)),"")</f>
        <v>-0.24047600998219</v>
      </c>
      <c r="F138" s="21" t="str">
        <f aca="false">IF(ISNUMBER(E138),IF(E138&gt;0,"Penyumbang KENAIKAN IPH","Penyumbang PENURUNAN IPH"),"-")</f>
        <v>Penyumbang PENURUNAN IPH</v>
      </c>
    </row>
    <row r="140" customFormat="false" ht="15" hidden="false" customHeight="false" outlineLevel="0" collapsed="false">
      <c r="A140" s="19" t="s">
        <v>284</v>
      </c>
      <c r="B140" s="19"/>
      <c r="C140" s="19"/>
      <c r="D140" s="19"/>
      <c r="E140" s="19"/>
      <c r="F140" s="19"/>
    </row>
    <row r="141" customFormat="false" ht="15" hidden="false" customHeight="false" outlineLevel="0" collapsed="false">
      <c r="A141" s="10" t="s">
        <v>263</v>
      </c>
      <c r="B141" s="10" t="s">
        <v>264</v>
      </c>
      <c r="C141" s="10" t="s">
        <v>174</v>
      </c>
      <c r="D141" s="10" t="s">
        <v>265</v>
      </c>
      <c r="E141" s="10" t="s">
        <v>266</v>
      </c>
      <c r="F141" s="10" t="s">
        <v>267</v>
      </c>
    </row>
    <row r="142" customFormat="false" ht="15" hidden="false" customHeight="false" outlineLevel="0" collapsed="false">
      <c r="A142" s="3" t="n">
        <v>1</v>
      </c>
      <c r="B142" s="5" t="str">
        <f aca="false">IFERROR(INDEX('Perhitungan IPH Mingguan 2025'!$B$6:$B$25,MATCH(LARGE('Perhitungan IPH Mingguan 2025'!$GF$6:$GF$25,1),'Perhitungan IPH Mingguan 2025'!$GF$6:$GF$25,0)),"-")</f>
        <v>daging ayam ras 1124003</v>
      </c>
      <c r="C142" s="20" t="n">
        <f aca="false">IFERROR(INDEX('Perhitungan IPH Mingguan 2025'!$C$6:$C$25,MATCH(LARGE('Perhitungan IPH Mingguan 2025'!$GF$6:$GF$25,1),'Perhitungan IPH Mingguan 2025'!$GF$6:$GF$25,0)),"")</f>
        <v>0.0479107777850277</v>
      </c>
      <c r="D142" s="14" t="n">
        <f aca="false">IFERROR(INDEX('Perhitungan IPH Mingguan 2025'!$BD$6:$BD$25,MATCH(LARGE('Perhitungan IPH Mingguan 2025'!$GF$6:$GF$25,1),'Perhitungan IPH Mingguan 2025'!$GF$6:$GF$25,0)),"")</f>
        <v>-16.958041958042</v>
      </c>
      <c r="E142" s="4" t="n">
        <f aca="false">IFERROR(INDEX('Perhitungan IPH Mingguan 2025'!$BE$6:$BE$25,MATCH(LARGE('Perhitungan IPH Mingguan 2025'!$GF$6:$GF$25,1),'Perhitungan IPH Mingguan 2025'!$GF$6:$GF$25,0)),"")</f>
        <v>-0.812472979920924</v>
      </c>
      <c r="F142" s="21" t="str">
        <f aca="false">IF(ISNUMBER(E142),IF(E142&gt;0,"Penyumbang KENAIKAN IPH","Penyumbang PENURUNAN IPH"),"-")</f>
        <v>Penyumbang PENURUNAN IPH</v>
      </c>
    </row>
    <row r="143" customFormat="false" ht="15" hidden="false" customHeight="false" outlineLevel="0" collapsed="false">
      <c r="A143" s="3" t="n">
        <v>2</v>
      </c>
      <c r="B143" s="5" t="str">
        <f aca="false">IFERROR(INDEX('Perhitungan IPH Mingguan 2025'!$B$6:$B$25,MATCH(LARGE('Perhitungan IPH Mingguan 2025'!$GF$6:$GF$25,2),'Perhitungan IPH Mingguan 2025'!$GF$6:$GF$25,0)),"-")</f>
        <v>bawang merah 1174006</v>
      </c>
      <c r="C143" s="20" t="n">
        <f aca="false">IFERROR(INDEX('Perhitungan IPH Mingguan 2025'!$C$6:$C$25,MATCH(LARGE('Perhitungan IPH Mingguan 2025'!$GF$6:$GF$25,2),'Perhitungan IPH Mingguan 2025'!$GF$6:$GF$25,0)),"")</f>
        <v>0.0194434650422287</v>
      </c>
      <c r="D143" s="14" t="n">
        <f aca="false">IFERROR(INDEX('Perhitungan IPH Mingguan 2025'!$BD$6:$BD$25,MATCH(LARGE('Perhitungan IPH Mingguan 2025'!$GF$6:$GF$25,2),'Perhitungan IPH Mingguan 2025'!$GF$6:$GF$25,0)),"")</f>
        <v>38.6919831223629</v>
      </c>
      <c r="E143" s="4" t="n">
        <f aca="false">IFERROR(INDEX('Perhitungan IPH Mingguan 2025'!$BE$6:$BE$25,MATCH(LARGE('Perhitungan IPH Mingguan 2025'!$GF$6:$GF$25,2),'Perhitungan IPH Mingguan 2025'!$GF$6:$GF$25,0)),"")</f>
        <v>0.752306221254166</v>
      </c>
      <c r="F143" s="21" t="str">
        <f aca="false">IF(ISNUMBER(E143),IF(E143&gt;0,"Penyumbang KENAIKAN IPH","Penyumbang PENURUNAN IPH"),"-")</f>
        <v>Penyumbang KENAIKAN IPH</v>
      </c>
    </row>
    <row r="144" customFormat="false" ht="15" hidden="false" customHeight="false" outlineLevel="0" collapsed="false">
      <c r="A144" s="3" t="n">
        <v>3</v>
      </c>
      <c r="B144" s="5" t="str">
        <f aca="false">IFERROR(INDEX('Perhitungan IPH Mingguan 2025'!$B$6:$B$25,MATCH(LARGE('Perhitungan IPH Mingguan 2025'!$GF$6:$GF$25,3),'Perhitungan IPH Mingguan 2025'!$GF$6:$GF$25,0)),"-")</f>
        <v>udang lobster 01132004</v>
      </c>
      <c r="C144" s="20" t="n">
        <f aca="false">IFERROR(INDEX('Perhitungan IPH Mingguan 2025'!$C$6:$C$25,MATCH(LARGE('Perhitungan IPH Mingguan 2025'!$GF$6:$GF$25,3),'Perhitungan IPH Mingguan 2025'!$GF$6:$GF$25,0)),"")</f>
        <v>0.0370107543210236</v>
      </c>
      <c r="D144" s="14" t="n">
        <f aca="false">IFERROR(INDEX('Perhitungan IPH Mingguan 2025'!$BD$6:$BD$25,MATCH(LARGE('Perhitungan IPH Mingguan 2025'!$GF$6:$GF$25,3),'Perhitungan IPH Mingguan 2025'!$GF$6:$GF$25,0)),"")</f>
        <v>-8.1385979049154</v>
      </c>
      <c r="E144" s="4" t="n">
        <f aca="false">IFERROR(INDEX('Perhitungan IPH Mingguan 2025'!$BE$6:$BE$25,MATCH(LARGE('Perhitungan IPH Mingguan 2025'!$GF$6:$GF$25,3),'Perhitungan IPH Mingguan 2025'!$GF$6:$GF$25,0)),"")</f>
        <v>-0.301215647576421</v>
      </c>
      <c r="F144" s="21" t="str">
        <f aca="false">IF(ISNUMBER(E144),IF(E144&gt;0,"Penyumbang KENAIKAN IPH","Penyumbang PENURUNAN IPH"),"-")</f>
        <v>Penyumbang PENURUNAN IPH</v>
      </c>
    </row>
    <row r="145" customFormat="false" ht="15" hidden="false" customHeight="false" outlineLevel="0" collapsed="false">
      <c r="A145" s="3" t="n">
        <v>4</v>
      </c>
      <c r="B145" s="5" t="str">
        <f aca="false">IFERROR(INDEX('Perhitungan IPH Mingguan 2025'!$B$6:$B$25,MATCH(LARGE('Perhitungan IPH Mingguan 2025'!$GF$6:$GF$25,4),'Perhitungan IPH Mingguan 2025'!$GF$6:$GF$25,0)),"-")</f>
        <v>telur ayam ras 01147002</v>
      </c>
      <c r="C145" s="20" t="n">
        <f aca="false">IFERROR(INDEX('Perhitungan IPH Mingguan 2025'!$C$6:$C$25,MATCH(LARGE('Perhitungan IPH Mingguan 2025'!$GF$6:$GF$25,4),'Perhitungan IPH Mingguan 2025'!$GF$6:$GF$25,0)),"")</f>
        <v>0.0298777910794593</v>
      </c>
      <c r="D145" s="14" t="n">
        <f aca="false">IFERROR(INDEX('Perhitungan IPH Mingguan 2025'!$BD$6:$BD$25,MATCH(LARGE('Perhitungan IPH Mingguan 2025'!$GF$6:$GF$25,4),'Perhitungan IPH Mingguan 2025'!$GF$6:$GF$25,0)),"")</f>
        <v>-9.52380952380952</v>
      </c>
      <c r="E145" s="4" t="n">
        <f aca="false">IFERROR(INDEX('Perhitungan IPH Mingguan 2025'!$BE$6:$BE$25,MATCH(LARGE('Perhitungan IPH Mingguan 2025'!$GF$6:$GF$25,4),'Perhitungan IPH Mingguan 2025'!$GF$6:$GF$25,0)),"")</f>
        <v>-0.284550391232946</v>
      </c>
      <c r="F145" s="21" t="str">
        <f aca="false">IF(ISNUMBER(E145),IF(E145&gt;0,"Penyumbang KENAIKAN IPH","Penyumbang PENURUNAN IPH"),"-")</f>
        <v>Penyumbang PENURUNAN IPH</v>
      </c>
    </row>
    <row r="146" customFormat="false" ht="15" hidden="false" customHeight="false" outlineLevel="0" collapsed="false">
      <c r="A146" s="3" t="n">
        <v>5</v>
      </c>
      <c r="B146" s="5" t="str">
        <f aca="false">IFERROR(INDEX('Perhitungan IPH Mingguan 2025'!$B$6:$B$25,MATCH(LARGE('Perhitungan IPH Mingguan 2025'!$GF$6:$GF$25,5),'Perhitungan IPH Mingguan 2025'!$GF$6:$GF$25,0)),"-")</f>
        <v>pisang ambon 1162001</v>
      </c>
      <c r="C146" s="20" t="n">
        <f aca="false">IFERROR(INDEX('Perhitungan IPH Mingguan 2025'!$C$6:$C$25,MATCH(LARGE('Perhitungan IPH Mingguan 2025'!$GF$6:$GF$25,5),'Perhitungan IPH Mingguan 2025'!$GF$6:$GF$25,0)),"")</f>
        <v>0.0406365728580274</v>
      </c>
      <c r="D146" s="14" t="n">
        <f aca="false">IFERROR(INDEX('Perhitungan IPH Mingguan 2025'!$BD$6:$BD$25,MATCH(LARGE('Perhitungan IPH Mingguan 2025'!$GF$6:$GF$25,5),'Perhitungan IPH Mingguan 2025'!$GF$6:$GF$25,0)),"")</f>
        <v>-3.07692307692308</v>
      </c>
      <c r="E146" s="4" t="n">
        <f aca="false">IFERROR(INDEX('Perhitungan IPH Mingguan 2025'!$BE$6:$BE$25,MATCH(LARGE('Perhitungan IPH Mingguan 2025'!$GF$6:$GF$25,5),'Perhitungan IPH Mingguan 2025'!$GF$6:$GF$25,0)),"")</f>
        <v>-0.12503560879393</v>
      </c>
      <c r="F146" s="21" t="str">
        <f aca="false">IF(ISNUMBER(E146),IF(E146&gt;0,"Penyumbang KENAIKAN IPH","Penyumbang PENURUNAN IPH"),"-")</f>
        <v>Penyumbang PENURUNAN IPH</v>
      </c>
    </row>
    <row r="148" customFormat="false" ht="15" hidden="false" customHeight="false" outlineLevel="0" collapsed="false">
      <c r="A148" s="19" t="s">
        <v>285</v>
      </c>
      <c r="B148" s="19"/>
      <c r="C148" s="19"/>
      <c r="D148" s="19"/>
      <c r="E148" s="19"/>
      <c r="F148" s="19"/>
    </row>
    <row r="149" customFormat="false" ht="15" hidden="false" customHeight="false" outlineLevel="0" collapsed="false">
      <c r="A149" s="10" t="s">
        <v>263</v>
      </c>
      <c r="B149" s="10" t="s">
        <v>264</v>
      </c>
      <c r="C149" s="10" t="s">
        <v>174</v>
      </c>
      <c r="D149" s="10" t="s">
        <v>265</v>
      </c>
      <c r="E149" s="10" t="s">
        <v>266</v>
      </c>
      <c r="F149" s="10" t="s">
        <v>267</v>
      </c>
    </row>
    <row r="150" customFormat="false" ht="15" hidden="false" customHeight="false" outlineLevel="0" collapsed="false">
      <c r="A150" s="3" t="n">
        <v>1</v>
      </c>
      <c r="B150" s="5" t="str">
        <f aca="false">IFERROR(INDEX('Perhitungan IPH Mingguan 2025'!$B$6:$B$25,MATCH(LARGE('Perhitungan IPH Mingguan 2025'!$GG$6:$GG$25,1),'Perhitungan IPH Mingguan 2025'!$GG$6:$GG$25,0)),"-")</f>
        <v>daging ayam ras 1124003</v>
      </c>
      <c r="C150" s="20" t="n">
        <f aca="false">IFERROR(INDEX('Perhitungan IPH Mingguan 2025'!$C$6:$C$25,MATCH(LARGE('Perhitungan IPH Mingguan 2025'!$GG$6:$GG$25,1),'Perhitungan IPH Mingguan 2025'!$GG$6:$GG$25,0)),"")</f>
        <v>0.0479107777850277</v>
      </c>
      <c r="D150" s="14" t="n">
        <f aca="false">IFERROR(INDEX('Perhitungan IPH Mingguan 2025'!$BG$6:$BG$25,MATCH(LARGE('Perhitungan IPH Mingguan 2025'!$GG$6:$GG$25,1),'Perhitungan IPH Mingguan 2025'!$GG$6:$GG$25,0)),"")</f>
        <v>-16.958041958042</v>
      </c>
      <c r="E150" s="4" t="n">
        <f aca="false">IFERROR(INDEX('Perhitungan IPH Mingguan 2025'!$BH$6:$BH$25,MATCH(LARGE('Perhitungan IPH Mingguan 2025'!$GG$6:$GG$25,1),'Perhitungan IPH Mingguan 2025'!$GG$6:$GG$25,0)),"")</f>
        <v>-0.812472979920924</v>
      </c>
      <c r="F150" s="21" t="str">
        <f aca="false">IF(ISNUMBER(E150),IF(E150&gt;0,"Penyumbang KENAIKAN IPH","Penyumbang PENURUNAN IPH"),"-")</f>
        <v>Penyumbang PENURUNAN IPH</v>
      </c>
    </row>
    <row r="151" customFormat="false" ht="15" hidden="false" customHeight="false" outlineLevel="0" collapsed="false">
      <c r="A151" s="3" t="n">
        <v>2</v>
      </c>
      <c r="B151" s="5" t="str">
        <f aca="false">IFERROR(INDEX('Perhitungan IPH Mingguan 2025'!$B$6:$B$25,MATCH(LARGE('Perhitungan IPH Mingguan 2025'!$GG$6:$GG$25,2),'Perhitungan IPH Mingguan 2025'!$GG$6:$GG$25,0)),"-")</f>
        <v>cabai rawit 01173013</v>
      </c>
      <c r="C151" s="20" t="n">
        <f aca="false">IFERROR(INDEX('Perhitungan IPH Mingguan 2025'!$C$6:$C$25,MATCH(LARGE('Perhitungan IPH Mingguan 2025'!$GG$6:$GG$25,2),'Perhitungan IPH Mingguan 2025'!$GG$6:$GG$25,0)),"")</f>
        <v>0.0177017323628706</v>
      </c>
      <c r="D151" s="14" t="n">
        <f aca="false">IFERROR(INDEX('Perhitungan IPH Mingguan 2025'!$BG$6:$BG$25,MATCH(LARGE('Perhitungan IPH Mingguan 2025'!$GG$6:$GG$25,2),'Perhitungan IPH Mingguan 2025'!$GG$6:$GG$25,0)),"")</f>
        <v>-37.8943367540859</v>
      </c>
      <c r="E151" s="4" t="n">
        <f aca="false">IFERROR(INDEX('Perhitungan IPH Mingguan 2025'!$BH$6:$BH$25,MATCH(LARGE('Perhitungan IPH Mingguan 2025'!$GG$6:$GG$25,2),'Perhitungan IPH Mingguan 2025'!$GG$6:$GG$25,0)),"")</f>
        <v>-0.670795407289319</v>
      </c>
      <c r="F151" s="21" t="str">
        <f aca="false">IF(ISNUMBER(E151),IF(E151&gt;0,"Penyumbang KENAIKAN IPH","Penyumbang PENURUNAN IPH"),"-")</f>
        <v>Penyumbang PENURUNAN IPH</v>
      </c>
    </row>
    <row r="152" customFormat="false" ht="15" hidden="false" customHeight="false" outlineLevel="0" collapsed="false">
      <c r="A152" s="3" t="n">
        <v>3</v>
      </c>
      <c r="B152" s="5" t="str">
        <f aca="false">IFERROR(INDEX('Perhitungan IPH Mingguan 2025'!$B$6:$B$25,MATCH(LARGE('Perhitungan IPH Mingguan 2025'!$GG$6:$GG$25,3),'Perhitungan IPH Mingguan 2025'!$GG$6:$GG$25,0)),"-")</f>
        <v>bawang merah 1174006</v>
      </c>
      <c r="C152" s="20" t="n">
        <f aca="false">IFERROR(INDEX('Perhitungan IPH Mingguan 2025'!$C$6:$C$25,MATCH(LARGE('Perhitungan IPH Mingguan 2025'!$GG$6:$GG$25,3),'Perhitungan IPH Mingguan 2025'!$GG$6:$GG$25,0)),"")</f>
        <v>0.0194434650422287</v>
      </c>
      <c r="D152" s="14" t="n">
        <f aca="false">IFERROR(INDEX('Perhitungan IPH Mingguan 2025'!$BG$6:$BG$25,MATCH(LARGE('Perhitungan IPH Mingguan 2025'!$GG$6:$GG$25,3),'Perhitungan IPH Mingguan 2025'!$GG$6:$GG$25,0)),"")</f>
        <v>17.5808720112518</v>
      </c>
      <c r="E152" s="4" t="n">
        <f aca="false">IFERROR(INDEX('Perhitungan IPH Mingguan 2025'!$BH$6:$BH$25,MATCH(LARGE('Perhitungan IPH Mingguan 2025'!$GG$6:$GG$25,3),'Perhitungan IPH Mingguan 2025'!$GG$6:$GG$25,0)),"")</f>
        <v>0.341833070362671</v>
      </c>
      <c r="F152" s="21" t="str">
        <f aca="false">IF(ISNUMBER(E152),IF(E152&gt;0,"Penyumbang KENAIKAN IPH","Penyumbang PENURUNAN IPH"),"-")</f>
        <v>Penyumbang KENAIKAN IPH</v>
      </c>
    </row>
    <row r="153" customFormat="false" ht="15" hidden="false" customHeight="false" outlineLevel="0" collapsed="false">
      <c r="A153" s="3" t="n">
        <v>4</v>
      </c>
      <c r="B153" s="5" t="str">
        <f aca="false">IFERROR(INDEX('Perhitungan IPH Mingguan 2025'!$B$6:$B$25,MATCH(LARGE('Perhitungan IPH Mingguan 2025'!$GG$6:$GG$25,4),'Perhitungan IPH Mingguan 2025'!$GG$6:$GG$25,0)),"-")</f>
        <v>pisang ambon 1162001</v>
      </c>
      <c r="C153" s="20" t="n">
        <f aca="false">IFERROR(INDEX('Perhitungan IPH Mingguan 2025'!$C$6:$C$25,MATCH(LARGE('Perhitungan IPH Mingguan 2025'!$GG$6:$GG$25,4),'Perhitungan IPH Mingguan 2025'!$GG$6:$GG$25,0)),"")</f>
        <v>0.0406365728580274</v>
      </c>
      <c r="D153" s="14" t="n">
        <f aca="false">IFERROR(INDEX('Perhitungan IPH Mingguan 2025'!$BG$6:$BG$25,MATCH(LARGE('Perhitungan IPH Mingguan 2025'!$GG$6:$GG$25,4),'Perhitungan IPH Mingguan 2025'!$GG$6:$GG$25,0)),"")</f>
        <v>-7.69230769230769</v>
      </c>
      <c r="E153" s="4" t="n">
        <f aca="false">IFERROR(INDEX('Perhitungan IPH Mingguan 2025'!$BH$6:$BH$25,MATCH(LARGE('Perhitungan IPH Mingguan 2025'!$GG$6:$GG$25,4),'Perhitungan IPH Mingguan 2025'!$GG$6:$GG$25,0)),"")</f>
        <v>-0.312589021984826</v>
      </c>
      <c r="F153" s="21" t="str">
        <f aca="false">IF(ISNUMBER(E153),IF(E153&gt;0,"Penyumbang KENAIKAN IPH","Penyumbang PENURUNAN IPH"),"-")</f>
        <v>Penyumbang PENURUNAN IPH</v>
      </c>
    </row>
    <row r="154" customFormat="false" ht="15" hidden="false" customHeight="false" outlineLevel="0" collapsed="false">
      <c r="A154" s="3" t="n">
        <v>5</v>
      </c>
      <c r="B154" s="5" t="str">
        <f aca="false">IFERROR(INDEX('Perhitungan IPH Mingguan 2025'!$B$6:$B$25,MATCH(LARGE('Perhitungan IPH Mingguan 2025'!$GG$6:$GG$25,5),'Perhitungan IPH Mingguan 2025'!$GG$6:$GG$25,0)),"-")</f>
        <v>udang lobster 01132004</v>
      </c>
      <c r="C154" s="20" t="n">
        <f aca="false">IFERROR(INDEX('Perhitungan IPH Mingguan 2025'!$C$6:$C$25,MATCH(LARGE('Perhitungan IPH Mingguan 2025'!$GG$6:$GG$25,5),'Perhitungan IPH Mingguan 2025'!$GG$6:$GG$25,0)),"")</f>
        <v>0.0370107543210236</v>
      </c>
      <c r="D154" s="14" t="n">
        <f aca="false">IFERROR(INDEX('Perhitungan IPH Mingguan 2025'!$BG$6:$BG$25,MATCH(LARGE('Perhitungan IPH Mingguan 2025'!$GG$6:$GG$25,5),'Perhitungan IPH Mingguan 2025'!$GG$6:$GG$25,0)),"")</f>
        <v>-8.1385979049154</v>
      </c>
      <c r="E154" s="4" t="n">
        <f aca="false">IFERROR(INDEX('Perhitungan IPH Mingguan 2025'!$BH$6:$BH$25,MATCH(LARGE('Perhitungan IPH Mingguan 2025'!$GG$6:$GG$25,5),'Perhitungan IPH Mingguan 2025'!$GG$6:$GG$25,0)),"")</f>
        <v>-0.301215647576421</v>
      </c>
      <c r="F154" s="21" t="str">
        <f aca="false">IF(ISNUMBER(E154),IF(E154&gt;0,"Penyumbang KENAIKAN IPH","Penyumbang PENURUNAN IPH"),"-")</f>
        <v>Penyumbang PENURUNAN IPH</v>
      </c>
    </row>
    <row r="156" customFormat="false" ht="15" hidden="false" customHeight="false" outlineLevel="0" collapsed="false">
      <c r="A156" s="19" t="s">
        <v>286</v>
      </c>
      <c r="B156" s="19"/>
      <c r="C156" s="19"/>
      <c r="D156" s="19"/>
      <c r="E156" s="19"/>
      <c r="F156" s="19"/>
    </row>
    <row r="157" customFormat="false" ht="15" hidden="false" customHeight="false" outlineLevel="0" collapsed="false">
      <c r="A157" s="10" t="s">
        <v>263</v>
      </c>
      <c r="B157" s="10" t="s">
        <v>264</v>
      </c>
      <c r="C157" s="10" t="s">
        <v>174</v>
      </c>
      <c r="D157" s="10" t="s">
        <v>265</v>
      </c>
      <c r="E157" s="10" t="s">
        <v>266</v>
      </c>
      <c r="F157" s="10" t="s">
        <v>267</v>
      </c>
    </row>
    <row r="158" customFormat="false" ht="15" hidden="false" customHeight="false" outlineLevel="0" collapsed="false">
      <c r="A158" s="3" t="n">
        <v>1</v>
      </c>
      <c r="B158" s="5" t="str">
        <f aca="false">IFERROR(INDEX('Perhitungan IPH Mingguan 2025'!$B$6:$B$25,MATCH(LARGE('Perhitungan IPH Mingguan 2025'!$GH$6:$GH$25,1),'Perhitungan IPH Mingguan 2025'!$GH$6:$GH$25,0)),"-")</f>
        <v>cabai rawit 01173013</v>
      </c>
      <c r="C158" s="20" t="n">
        <f aca="false">IFERROR(INDEX('Perhitungan IPH Mingguan 2025'!$C$6:$C$25,MATCH(LARGE('Perhitungan IPH Mingguan 2025'!$GH$6:$GH$25,1),'Perhitungan IPH Mingguan 2025'!$GH$6:$GH$25,0)),"")</f>
        <v>0.0177017323628706</v>
      </c>
      <c r="D158" s="14" t="n">
        <f aca="false">IFERROR(INDEX('Perhitungan IPH Mingguan 2025'!$BJ$6:$BJ$25,MATCH(LARGE('Perhitungan IPH Mingguan 2025'!$GH$6:$GH$25,1),'Perhitungan IPH Mingguan 2025'!$GH$6:$GH$25,0)),"")</f>
        <v>-44.5544554455446</v>
      </c>
      <c r="E158" s="4" t="n">
        <f aca="false">IFERROR(INDEX('Perhitungan IPH Mingguan 2025'!$BK$6:$BK$25,MATCH(LARGE('Perhitungan IPH Mingguan 2025'!$GH$6:$GH$25,1),'Perhitungan IPH Mingguan 2025'!$GH$6:$GH$25,0)),"")</f>
        <v>-0.788691045870472</v>
      </c>
      <c r="F158" s="21" t="str">
        <f aca="false">IF(ISNUMBER(E158),IF(E158&gt;0,"Penyumbang KENAIKAN IPH","Penyumbang PENURUNAN IPH"),"-")</f>
        <v>Penyumbang PENURUNAN IPH</v>
      </c>
    </row>
    <row r="159" customFormat="false" ht="15" hidden="false" customHeight="false" outlineLevel="0" collapsed="false">
      <c r="A159" s="3" t="n">
        <v>2</v>
      </c>
      <c r="B159" s="5" t="str">
        <f aca="false">IFERROR(INDEX('Perhitungan IPH Mingguan 2025'!$B$6:$B$25,MATCH(LARGE('Perhitungan IPH Mingguan 2025'!$GH$6:$GH$25,2),'Perhitungan IPH Mingguan 2025'!$GH$6:$GH$25,0)),"-")</f>
        <v>daging sapi 01121001</v>
      </c>
      <c r="C159" s="20" t="n">
        <f aca="false">IFERROR(INDEX('Perhitungan IPH Mingguan 2025'!$C$6:$C$25,MATCH(LARGE('Perhitungan IPH Mingguan 2025'!$GH$6:$GH$25,2),'Perhitungan IPH Mingguan 2025'!$GH$6:$GH$25,0)),"")</f>
        <v>0.0598704213474298</v>
      </c>
      <c r="D159" s="14" t="n">
        <f aca="false">IFERROR(INDEX('Perhitungan IPH Mingguan 2025'!$BJ$6:$BJ$25,MATCH(LARGE('Perhitungan IPH Mingguan 2025'!$GH$6:$GH$25,2),'Perhitungan IPH Mingguan 2025'!$GH$6:$GH$25,0)),"")</f>
        <v>-6.64857530529171</v>
      </c>
      <c r="E159" s="4" t="n">
        <f aca="false">IFERROR(INDEX('Perhitungan IPH Mingguan 2025'!$BK$6:$BK$25,MATCH(LARGE('Perhitungan IPH Mingguan 2025'!$GH$6:$GH$25,2),'Perhitungan IPH Mingguan 2025'!$GH$6:$GH$25,0)),"")</f>
        <v>-0.398053004887931</v>
      </c>
      <c r="F159" s="21" t="str">
        <f aca="false">IF(ISNUMBER(E159),IF(E159&gt;0,"Penyumbang KENAIKAN IPH","Penyumbang PENURUNAN IPH"),"-")</f>
        <v>Penyumbang PENURUNAN IPH</v>
      </c>
    </row>
    <row r="160" customFormat="false" ht="15" hidden="false" customHeight="false" outlineLevel="0" collapsed="false">
      <c r="A160" s="3" t="n">
        <v>3</v>
      </c>
      <c r="B160" s="5" t="str">
        <f aca="false">IFERROR(INDEX('Perhitungan IPH Mingguan 2025'!$B$6:$B$25,MATCH(LARGE('Perhitungan IPH Mingguan 2025'!$GH$6:$GH$25,3),'Perhitungan IPH Mingguan 2025'!$GH$6:$GH$25,0)),"-")</f>
        <v>cabai merah 01173012</v>
      </c>
      <c r="C160" s="20" t="n">
        <f aca="false">IFERROR(INDEX('Perhitungan IPH Mingguan 2025'!$C$6:$C$25,MATCH(LARGE('Perhitungan IPH Mingguan 2025'!$GH$6:$GH$25,3),'Perhitungan IPH Mingguan 2025'!$GH$6:$GH$25,0)),"")</f>
        <v>0.0110208839376634</v>
      </c>
      <c r="D160" s="14" t="n">
        <f aca="false">IFERROR(INDEX('Perhitungan IPH Mingguan 2025'!$BJ$6:$BJ$25,MATCH(LARGE('Perhitungan IPH Mingguan 2025'!$GH$6:$GH$25,3),'Perhitungan IPH Mingguan 2025'!$GH$6:$GH$25,0)),"")</f>
        <v>-26.672777268561</v>
      </c>
      <c r="E160" s="4" t="n">
        <f aca="false">IFERROR(INDEX('Perhitungan IPH Mingguan 2025'!$BK$6:$BK$25,MATCH(LARGE('Perhitungan IPH Mingguan 2025'!$GH$6:$GH$25,3),'Perhitungan IPH Mingguan 2025'!$GH$6:$GH$25,0)),"")</f>
        <v>-0.293957582571957</v>
      </c>
      <c r="F160" s="21" t="str">
        <f aca="false">IF(ISNUMBER(E160),IF(E160&gt;0,"Penyumbang KENAIKAN IPH","Penyumbang PENURUNAN IPH"),"-")</f>
        <v>Penyumbang PENURUNAN IPH</v>
      </c>
    </row>
    <row r="161" customFormat="false" ht="15" hidden="false" customHeight="false" outlineLevel="0" collapsed="false">
      <c r="A161" s="3" t="n">
        <v>4</v>
      </c>
      <c r="B161" s="5" t="str">
        <f aca="false">IFERROR(INDEX('Perhitungan IPH Mingguan 2025'!$B$6:$B$25,MATCH(LARGE('Perhitungan IPH Mingguan 2025'!$GH$6:$GH$25,4),'Perhitungan IPH Mingguan 2025'!$GH$6:$GH$25,0)),"-")</f>
        <v>bawang merah 1174006</v>
      </c>
      <c r="C161" s="20" t="n">
        <f aca="false">IFERROR(INDEX('Perhitungan IPH Mingguan 2025'!$C$6:$C$25,MATCH(LARGE('Perhitungan IPH Mingguan 2025'!$GH$6:$GH$25,4),'Perhitungan IPH Mingguan 2025'!$GH$6:$GH$25,0)),"")</f>
        <v>0.0194434650422287</v>
      </c>
      <c r="D161" s="14" t="n">
        <f aca="false">IFERROR(INDEX('Perhitungan IPH Mingguan 2025'!$BJ$6:$BJ$25,MATCH(LARGE('Perhitungan IPH Mingguan 2025'!$GH$6:$GH$25,4),'Perhitungan IPH Mingguan 2025'!$GH$6:$GH$25,0)),"")</f>
        <v>-14.2329020332717</v>
      </c>
      <c r="E161" s="4" t="n">
        <f aca="false">IFERROR(INDEX('Perhitungan IPH Mingguan 2025'!$BK$6:$BK$25,MATCH(LARGE('Perhitungan IPH Mingguan 2025'!$GH$6:$GH$25,4),'Perhitungan IPH Mingguan 2025'!$GH$6:$GH$25,0)),"")</f>
        <v>-0.276736933133384</v>
      </c>
      <c r="F161" s="21" t="str">
        <f aca="false">IF(ISNUMBER(E161),IF(E161&gt;0,"Penyumbang KENAIKAN IPH","Penyumbang PENURUNAN IPH"),"-")</f>
        <v>Penyumbang PENURUNAN IPH</v>
      </c>
    </row>
    <row r="162" customFormat="false" ht="15" hidden="false" customHeight="false" outlineLevel="0" collapsed="false">
      <c r="A162" s="3" t="n">
        <v>5</v>
      </c>
      <c r="B162" s="5" t="str">
        <f aca="false">IFERROR(INDEX('Perhitungan IPH Mingguan 2025'!$B$6:$B$25,MATCH(LARGE('Perhitungan IPH Mingguan 2025'!$GH$6:$GH$25,5),'Perhitungan IPH Mingguan 2025'!$GH$6:$GH$25,0)),"-")</f>
        <v>ikan kembung 01131028</v>
      </c>
      <c r="C162" s="20" t="n">
        <f aca="false">IFERROR(INDEX('Perhitungan IPH Mingguan 2025'!$C$6:$C$25,MATCH(LARGE('Perhitungan IPH Mingguan 2025'!$GH$6:$GH$25,5),'Perhitungan IPH Mingguan 2025'!$GH$6:$GH$25,0)),"")</f>
        <v>0.0207715409161349</v>
      </c>
      <c r="D162" s="14" t="n">
        <f aca="false">IFERROR(INDEX('Perhitungan IPH Mingguan 2025'!$BJ$6:$BJ$25,MATCH(LARGE('Perhitungan IPH Mingguan 2025'!$GH$6:$GH$25,5),'Perhitungan IPH Mingguan 2025'!$GH$6:$GH$25,0)),"")</f>
        <v>-12.8856624319419</v>
      </c>
      <c r="E162" s="4" t="n">
        <f aca="false">IFERROR(INDEX('Perhitungan IPH Mingguan 2025'!$BK$6:$BK$25,MATCH(LARGE('Perhitungan IPH Mingguan 2025'!$GH$6:$GH$25,5),'Perhitungan IPH Mingguan 2025'!$GH$6:$GH$25,0)),"")</f>
        <v>-0.267655064436584</v>
      </c>
      <c r="F162" s="21" t="str">
        <f aca="false">IF(ISNUMBER(E162),IF(E162&gt;0,"Penyumbang KENAIKAN IPH","Penyumbang PENURUNAN IPH"),"-")</f>
        <v>Penyumbang PENURUNAN IPH</v>
      </c>
    </row>
    <row r="164" customFormat="false" ht="15" hidden="false" customHeight="false" outlineLevel="0" collapsed="false">
      <c r="A164" s="19" t="s">
        <v>287</v>
      </c>
      <c r="B164" s="19"/>
      <c r="C164" s="19"/>
      <c r="D164" s="19"/>
      <c r="E164" s="19"/>
      <c r="F164" s="19"/>
    </row>
    <row r="165" customFormat="false" ht="15" hidden="false" customHeight="false" outlineLevel="0" collapsed="false">
      <c r="A165" s="10" t="s">
        <v>263</v>
      </c>
      <c r="B165" s="10" t="s">
        <v>264</v>
      </c>
      <c r="C165" s="10" t="s">
        <v>174</v>
      </c>
      <c r="D165" s="10" t="s">
        <v>265</v>
      </c>
      <c r="E165" s="10" t="s">
        <v>266</v>
      </c>
      <c r="F165" s="10" t="s">
        <v>267</v>
      </c>
    </row>
    <row r="166" customFormat="false" ht="15" hidden="false" customHeight="false" outlineLevel="0" collapsed="false">
      <c r="A166" s="3" t="n">
        <v>1</v>
      </c>
      <c r="B166" s="5" t="str">
        <f aca="false">IFERROR(INDEX('Perhitungan IPH Mingguan 2025'!$B$6:$B$25,MATCH(LARGE('Perhitungan IPH Mingguan 2025'!$GI$6:$GI$25,1),'Perhitungan IPH Mingguan 2025'!$GI$6:$GI$25,0)),"-")</f>
        <v>cabai rawit 01173013</v>
      </c>
      <c r="C166" s="20" t="n">
        <f aca="false">IFERROR(INDEX('Perhitungan IPH Mingguan 2025'!$C$6:$C$25,MATCH(LARGE('Perhitungan IPH Mingguan 2025'!$GI$6:$GI$25,1),'Perhitungan IPH Mingguan 2025'!$GI$6:$GI$25,0)),"")</f>
        <v>0.0177017323628706</v>
      </c>
      <c r="D166" s="14" t="n">
        <f aca="false">IFERROR(INDEX('Perhitungan IPH Mingguan 2025'!$BM$6:$BM$25,MATCH(LARGE('Perhitungan IPH Mingguan 2025'!$GI$6:$GI$25,1),'Perhitungan IPH Mingguan 2025'!$GI$6:$GI$25,0)),"")</f>
        <v>-46.9306930693069</v>
      </c>
      <c r="E166" s="4" t="n">
        <f aca="false">IFERROR(INDEX('Perhitungan IPH Mingguan 2025'!$BN$6:$BN$25,MATCH(LARGE('Perhitungan IPH Mingguan 2025'!$GI$6:$GI$25,1),'Perhitungan IPH Mingguan 2025'!$GI$6:$GI$25,0)),"")</f>
        <v>-0.830754568316897</v>
      </c>
      <c r="F166" s="21" t="str">
        <f aca="false">IF(ISNUMBER(E166),IF(E166&gt;0,"Penyumbang KENAIKAN IPH","Penyumbang PENURUNAN IPH"),"-")</f>
        <v>Penyumbang PENURUNAN IPH</v>
      </c>
    </row>
    <row r="167" customFormat="false" ht="15" hidden="false" customHeight="false" outlineLevel="0" collapsed="false">
      <c r="A167" s="3" t="n">
        <v>2</v>
      </c>
      <c r="B167" s="5" t="str">
        <f aca="false">IFERROR(INDEX('Perhitungan IPH Mingguan 2025'!$B$6:$B$25,MATCH(LARGE('Perhitungan IPH Mingguan 2025'!$GI$6:$GI$25,2),'Perhitungan IPH Mingguan 2025'!$GI$6:$GI$25,0)),"-")</f>
        <v>daging sapi 01121001</v>
      </c>
      <c r="C167" s="20" t="n">
        <f aca="false">IFERROR(INDEX('Perhitungan IPH Mingguan 2025'!$C$6:$C$25,MATCH(LARGE('Perhitungan IPH Mingguan 2025'!$GI$6:$GI$25,2),'Perhitungan IPH Mingguan 2025'!$GI$6:$GI$25,0)),"")</f>
        <v>0.0598704213474298</v>
      </c>
      <c r="D167" s="14" t="n">
        <f aca="false">IFERROR(INDEX('Perhitungan IPH Mingguan 2025'!$BM$6:$BM$25,MATCH(LARGE('Perhitungan IPH Mingguan 2025'!$GI$6:$GI$25,2),'Perhitungan IPH Mingguan 2025'!$GI$6:$GI$25,0)),"")</f>
        <v>-6.64857530529171</v>
      </c>
      <c r="E167" s="4" t="n">
        <f aca="false">IFERROR(INDEX('Perhitungan IPH Mingguan 2025'!$BN$6:$BN$25,MATCH(LARGE('Perhitungan IPH Mingguan 2025'!$GI$6:$GI$25,2),'Perhitungan IPH Mingguan 2025'!$GI$6:$GI$25,0)),"")</f>
        <v>-0.398053004887931</v>
      </c>
      <c r="F167" s="21" t="str">
        <f aca="false">IF(ISNUMBER(E167),IF(E167&gt;0,"Penyumbang KENAIKAN IPH","Penyumbang PENURUNAN IPH"),"-")</f>
        <v>Penyumbang PENURUNAN IPH</v>
      </c>
    </row>
    <row r="168" customFormat="false" ht="15" hidden="false" customHeight="false" outlineLevel="0" collapsed="false">
      <c r="A168" s="3" t="n">
        <v>3</v>
      </c>
      <c r="B168" s="5" t="str">
        <f aca="false">IFERROR(INDEX('Perhitungan IPH Mingguan 2025'!$B$6:$B$25,MATCH(LARGE('Perhitungan IPH Mingguan 2025'!$GI$6:$GI$25,3),'Perhitungan IPH Mingguan 2025'!$GI$6:$GI$25,0)),"-")</f>
        <v>ikan kembung 01131028</v>
      </c>
      <c r="C168" s="20" t="n">
        <f aca="false">IFERROR(INDEX('Perhitungan IPH Mingguan 2025'!$C$6:$C$25,MATCH(LARGE('Perhitungan IPH Mingguan 2025'!$GI$6:$GI$25,3),'Perhitungan IPH Mingguan 2025'!$GI$6:$GI$25,0)),"")</f>
        <v>0.0207715409161349</v>
      </c>
      <c r="D168" s="14" t="n">
        <f aca="false">IFERROR(INDEX('Perhitungan IPH Mingguan 2025'!$BM$6:$BM$25,MATCH(LARGE('Perhitungan IPH Mingguan 2025'!$GI$6:$GI$25,3),'Perhitungan IPH Mingguan 2025'!$GI$6:$GI$25,0)),"")</f>
        <v>-12.8856624319419</v>
      </c>
      <c r="E168" s="4" t="n">
        <f aca="false">IFERROR(INDEX('Perhitungan IPH Mingguan 2025'!$BN$6:$BN$25,MATCH(LARGE('Perhitungan IPH Mingguan 2025'!$GI$6:$GI$25,3),'Perhitungan IPH Mingguan 2025'!$GI$6:$GI$25,0)),"")</f>
        <v>-0.267655064436584</v>
      </c>
      <c r="F168" s="21" t="str">
        <f aca="false">IF(ISNUMBER(E168),IF(E168&gt;0,"Penyumbang KENAIKAN IPH","Penyumbang PENURUNAN IPH"),"-")</f>
        <v>Penyumbang PENURUNAN IPH</v>
      </c>
    </row>
    <row r="169" customFormat="false" ht="15" hidden="false" customHeight="false" outlineLevel="0" collapsed="false">
      <c r="A169" s="3" t="n">
        <v>4</v>
      </c>
      <c r="B169" s="5" t="str">
        <f aca="false">IFERROR(INDEX('Perhitungan IPH Mingguan 2025'!$B$6:$B$25,MATCH(LARGE('Perhitungan IPH Mingguan 2025'!$GI$6:$GI$25,4),'Perhitungan IPH Mingguan 2025'!$GI$6:$GI$25,0)),"-")</f>
        <v>cabai merah 01173012</v>
      </c>
      <c r="C169" s="20" t="n">
        <f aca="false">IFERROR(INDEX('Perhitungan IPH Mingguan 2025'!$C$6:$C$25,MATCH(LARGE('Perhitungan IPH Mingguan 2025'!$GI$6:$GI$25,4),'Perhitungan IPH Mingguan 2025'!$GI$6:$GI$25,0)),"")</f>
        <v>0.0110208839376634</v>
      </c>
      <c r="D169" s="14" t="n">
        <f aca="false">IFERROR(INDEX('Perhitungan IPH Mingguan 2025'!$BM$6:$BM$25,MATCH(LARGE('Perhitungan IPH Mingguan 2025'!$GI$6:$GI$25,4),'Perhitungan IPH Mingguan 2025'!$GI$6:$GI$25,0)),"")</f>
        <v>-23.1530705774519</v>
      </c>
      <c r="E169" s="4" t="n">
        <f aca="false">IFERROR(INDEX('Perhitungan IPH Mingguan 2025'!$BN$6:$BN$25,MATCH(LARGE('Perhitungan IPH Mingguan 2025'!$GI$6:$GI$25,4),'Perhitungan IPH Mingguan 2025'!$GI$6:$GI$25,0)),"")</f>
        <v>-0.255167303634627</v>
      </c>
      <c r="F169" s="21" t="str">
        <f aca="false">IF(ISNUMBER(E169),IF(E169&gt;0,"Penyumbang KENAIKAN IPH","Penyumbang PENURUNAN IPH"),"-")</f>
        <v>Penyumbang PENURUNAN IPH</v>
      </c>
    </row>
    <row r="170" customFormat="false" ht="15" hidden="false" customHeight="false" outlineLevel="0" collapsed="false">
      <c r="A170" s="3" t="n">
        <v>5</v>
      </c>
      <c r="B170" s="5" t="str">
        <f aca="false">IFERROR(INDEX('Perhitungan IPH Mingguan 2025'!$B$6:$B$25,MATCH(LARGE('Perhitungan IPH Mingguan 2025'!$GI$6:$GI$25,5),'Perhitungan IPH Mingguan 2025'!$GI$6:$GI$25,0)),"-")</f>
        <v>bawang merah 1174006</v>
      </c>
      <c r="C170" s="20" t="n">
        <f aca="false">IFERROR(INDEX('Perhitungan IPH Mingguan 2025'!$C$6:$C$25,MATCH(LARGE('Perhitungan IPH Mingguan 2025'!$GI$6:$GI$25,5),'Perhitungan IPH Mingguan 2025'!$GI$6:$GI$25,0)),"")</f>
        <v>0.0194434650422287</v>
      </c>
      <c r="D170" s="14" t="n">
        <f aca="false">IFERROR(INDEX('Perhitungan IPH Mingguan 2025'!$BM$6:$BM$25,MATCH(LARGE('Perhitungan IPH Mingguan 2025'!$GI$6:$GI$25,5),'Perhitungan IPH Mingguan 2025'!$GI$6:$GI$25,0)),"")</f>
        <v>-13.0499075785582</v>
      </c>
      <c r="E170" s="4" t="n">
        <f aca="false">IFERROR(INDEX('Perhitungan IPH Mingguan 2025'!$BN$6:$BN$25,MATCH(LARGE('Perhitungan IPH Mingguan 2025'!$GI$6:$GI$25,5),'Perhitungan IPH Mingguan 2025'!$GI$6:$GI$25,0)),"")</f>
        <v>-0.253735421808012</v>
      </c>
      <c r="F170" s="21" t="str">
        <f aca="false">IF(ISNUMBER(E170),IF(E170&gt;0,"Penyumbang KENAIKAN IPH","Penyumbang PENURUNAN IPH"),"-")</f>
        <v>Penyumbang PENURUNAN IPH</v>
      </c>
    </row>
    <row r="172" customFormat="false" ht="15" hidden="false" customHeight="false" outlineLevel="0" collapsed="false">
      <c r="A172" s="19" t="s">
        <v>288</v>
      </c>
      <c r="B172" s="19"/>
      <c r="C172" s="19"/>
      <c r="D172" s="19"/>
      <c r="E172" s="19"/>
      <c r="F172" s="19"/>
    </row>
    <row r="173" customFormat="false" ht="15" hidden="false" customHeight="false" outlineLevel="0" collapsed="false">
      <c r="A173" s="10" t="s">
        <v>263</v>
      </c>
      <c r="B173" s="10" t="s">
        <v>264</v>
      </c>
      <c r="C173" s="10" t="s">
        <v>174</v>
      </c>
      <c r="D173" s="10" t="s">
        <v>265</v>
      </c>
      <c r="E173" s="10" t="s">
        <v>266</v>
      </c>
      <c r="F173" s="10" t="s">
        <v>267</v>
      </c>
    </row>
    <row r="174" customFormat="false" ht="15" hidden="false" customHeight="false" outlineLevel="0" collapsed="false">
      <c r="A174" s="3" t="n">
        <v>1</v>
      </c>
      <c r="B174" s="5" t="str">
        <f aca="false">IFERROR(INDEX('Perhitungan IPH Mingguan 2025'!$B$6:$B$25,MATCH(LARGE('Perhitungan IPH Mingguan 2025'!$GJ$6:$GJ$25,1),'Perhitungan IPH Mingguan 2025'!$GJ$6:$GJ$25,0)),"-")</f>
        <v>cabai rawit 01173013</v>
      </c>
      <c r="C174" s="20" t="n">
        <f aca="false">IFERROR(INDEX('Perhitungan IPH Mingguan 2025'!$C$6:$C$25,MATCH(LARGE('Perhitungan IPH Mingguan 2025'!$GJ$6:$GJ$25,1),'Perhitungan IPH Mingguan 2025'!$GJ$6:$GJ$25,0)),"")</f>
        <v>0.0177017323628706</v>
      </c>
      <c r="D174" s="14" t="n">
        <f aca="false">IFERROR(INDEX('Perhitungan IPH Mingguan 2025'!$BP$6:$BP$25,MATCH(LARGE('Perhitungan IPH Mingguan 2025'!$GJ$6:$GJ$25,1),'Perhitungan IPH Mingguan 2025'!$GJ$6:$GJ$25,0)),"")</f>
        <v>-60.3960396039604</v>
      </c>
      <c r="E174" s="4" t="n">
        <f aca="false">IFERROR(INDEX('Perhitungan IPH Mingguan 2025'!$BQ$6:$BQ$25,MATCH(LARGE('Perhitungan IPH Mingguan 2025'!$GJ$6:$GJ$25,1),'Perhitungan IPH Mingguan 2025'!$GJ$6:$GJ$25,0)),"")</f>
        <v>-1.06911452884664</v>
      </c>
      <c r="F174" s="21" t="str">
        <f aca="false">IF(ISNUMBER(E174),IF(E174&gt;0,"Penyumbang KENAIKAN IPH","Penyumbang PENURUNAN IPH"),"-")</f>
        <v>Penyumbang PENURUNAN IPH</v>
      </c>
    </row>
    <row r="175" customFormat="false" ht="15" hidden="false" customHeight="false" outlineLevel="0" collapsed="false">
      <c r="A175" s="3" t="n">
        <v>2</v>
      </c>
      <c r="B175" s="5" t="str">
        <f aca="false">IFERROR(INDEX('Perhitungan IPH Mingguan 2025'!$B$6:$B$25,MATCH(LARGE('Perhitungan IPH Mingguan 2025'!$GJ$6:$GJ$25,2),'Perhitungan IPH Mingguan 2025'!$GJ$6:$GJ$25,0)),"-")</f>
        <v>daging sapi 01121001</v>
      </c>
      <c r="C175" s="20" t="n">
        <f aca="false">IFERROR(INDEX('Perhitungan IPH Mingguan 2025'!$C$6:$C$25,MATCH(LARGE('Perhitungan IPH Mingguan 2025'!$GJ$6:$GJ$25,2),'Perhitungan IPH Mingguan 2025'!$GJ$6:$GJ$25,0)),"")</f>
        <v>0.0598704213474298</v>
      </c>
      <c r="D175" s="14" t="n">
        <f aca="false">IFERROR(INDEX('Perhitungan IPH Mingguan 2025'!$BP$6:$BP$25,MATCH(LARGE('Perhitungan IPH Mingguan 2025'!$GJ$6:$GJ$25,2),'Perhitungan IPH Mingguan 2025'!$GJ$6:$GJ$25,0)),"")</f>
        <v>-6.64857530529171</v>
      </c>
      <c r="E175" s="4" t="n">
        <f aca="false">IFERROR(INDEX('Perhitungan IPH Mingguan 2025'!$BQ$6:$BQ$25,MATCH(LARGE('Perhitungan IPH Mingguan 2025'!$GJ$6:$GJ$25,2),'Perhitungan IPH Mingguan 2025'!$GJ$6:$GJ$25,0)),"")</f>
        <v>-0.398053004887931</v>
      </c>
      <c r="F175" s="21" t="str">
        <f aca="false">IF(ISNUMBER(E175),IF(E175&gt;0,"Penyumbang KENAIKAN IPH","Penyumbang PENURUNAN IPH"),"-")</f>
        <v>Penyumbang PENURUNAN IPH</v>
      </c>
    </row>
    <row r="176" customFormat="false" ht="15" hidden="false" customHeight="false" outlineLevel="0" collapsed="false">
      <c r="A176" s="3" t="n">
        <v>3</v>
      </c>
      <c r="B176" s="5" t="str">
        <f aca="false">IFERROR(INDEX('Perhitungan IPH Mingguan 2025'!$B$6:$B$25,MATCH(LARGE('Perhitungan IPH Mingguan 2025'!$GJ$6:$GJ$25,3),'Perhitungan IPH Mingguan 2025'!$GJ$6:$GJ$25,0)),"-")</f>
        <v>cabai merah 01173012</v>
      </c>
      <c r="C176" s="20" t="n">
        <f aca="false">IFERROR(INDEX('Perhitungan IPH Mingguan 2025'!$C$6:$C$25,MATCH(LARGE('Perhitungan IPH Mingguan 2025'!$GJ$6:$GJ$25,3),'Perhitungan IPH Mingguan 2025'!$GJ$6:$GJ$25,0)),"")</f>
        <v>0.0110208839376634</v>
      </c>
      <c r="D176" s="14" t="n">
        <f aca="false">IFERROR(INDEX('Perhitungan IPH Mingguan 2025'!$BP$6:$BP$25,MATCH(LARGE('Perhitungan IPH Mingguan 2025'!$GJ$6:$GJ$25,3),'Perhitungan IPH Mingguan 2025'!$GJ$6:$GJ$25,0)),"")</f>
        <v>-29.6058661778185</v>
      </c>
      <c r="E176" s="4" t="n">
        <f aca="false">IFERROR(INDEX('Perhitungan IPH Mingguan 2025'!$BQ$6:$BQ$25,MATCH(LARGE('Perhitungan IPH Mingguan 2025'!$GJ$6:$GJ$25,3),'Perhitungan IPH Mingguan 2025'!$GJ$6:$GJ$25,0)),"")</f>
        <v>-0.326282815019732</v>
      </c>
      <c r="F176" s="21" t="str">
        <f aca="false">IF(ISNUMBER(E176),IF(E176&gt;0,"Penyumbang KENAIKAN IPH","Penyumbang PENURUNAN IPH"),"-")</f>
        <v>Penyumbang PENURUNAN IPH</v>
      </c>
    </row>
    <row r="177" customFormat="false" ht="15" hidden="false" customHeight="false" outlineLevel="0" collapsed="false">
      <c r="A177" s="3" t="n">
        <v>4</v>
      </c>
      <c r="B177" s="5" t="str">
        <f aca="false">IFERROR(INDEX('Perhitungan IPH Mingguan 2025'!$B$6:$B$25,MATCH(LARGE('Perhitungan IPH Mingguan 2025'!$GJ$6:$GJ$25,4),'Perhitungan IPH Mingguan 2025'!$GJ$6:$GJ$25,0)),"-")</f>
        <v>ikan kembung 01131028</v>
      </c>
      <c r="C177" s="20" t="n">
        <f aca="false">IFERROR(INDEX('Perhitungan IPH Mingguan 2025'!$C$6:$C$25,MATCH(LARGE('Perhitungan IPH Mingguan 2025'!$GJ$6:$GJ$25,4),'Perhitungan IPH Mingguan 2025'!$GJ$6:$GJ$25,0)),"")</f>
        <v>0.0207715409161349</v>
      </c>
      <c r="D177" s="14" t="n">
        <f aca="false">IFERROR(INDEX('Perhitungan IPH Mingguan 2025'!$BP$6:$BP$25,MATCH(LARGE('Perhitungan IPH Mingguan 2025'!$GJ$6:$GJ$25,4),'Perhitungan IPH Mingguan 2025'!$GJ$6:$GJ$25,0)),"")</f>
        <v>-12.8856624319419</v>
      </c>
      <c r="E177" s="4" t="n">
        <f aca="false">IFERROR(INDEX('Perhitungan IPH Mingguan 2025'!$BQ$6:$BQ$25,MATCH(LARGE('Perhitungan IPH Mingguan 2025'!$GJ$6:$GJ$25,4),'Perhitungan IPH Mingguan 2025'!$GJ$6:$GJ$25,0)),"")</f>
        <v>-0.267655064436584</v>
      </c>
      <c r="F177" s="21" t="str">
        <f aca="false">IF(ISNUMBER(E177),IF(E177&gt;0,"Penyumbang KENAIKAN IPH","Penyumbang PENURUNAN IPH"),"-")</f>
        <v>Penyumbang PENURUNAN IPH</v>
      </c>
    </row>
    <row r="178" customFormat="false" ht="15" hidden="false" customHeight="false" outlineLevel="0" collapsed="false">
      <c r="A178" s="3" t="n">
        <v>5</v>
      </c>
      <c r="B178" s="5" t="str">
        <f aca="false">IFERROR(INDEX('Perhitungan IPH Mingguan 2025'!$B$6:$B$25,MATCH(LARGE('Perhitungan IPH Mingguan 2025'!$GJ$6:$GJ$25,5),'Perhitungan IPH Mingguan 2025'!$GJ$6:$GJ$25,0)),"-")</f>
        <v>pisang ambon 1162001</v>
      </c>
      <c r="C178" s="20" t="n">
        <f aca="false">IFERROR(INDEX('Perhitungan IPH Mingguan 2025'!$C$6:$C$25,MATCH(LARGE('Perhitungan IPH Mingguan 2025'!$GJ$6:$GJ$25,5),'Perhitungan IPH Mingguan 2025'!$GJ$6:$GJ$25,0)),"")</f>
        <v>0.0406365728580274</v>
      </c>
      <c r="D178" s="14" t="n">
        <f aca="false">IFERROR(INDEX('Perhitungan IPH Mingguan 2025'!$BP$6:$BP$25,MATCH(LARGE('Perhitungan IPH Mingguan 2025'!$GJ$6:$GJ$25,5),'Perhitungan IPH Mingguan 2025'!$GJ$6:$GJ$25,0)),"")</f>
        <v>-5.41871921182266</v>
      </c>
      <c r="E178" s="4" t="n">
        <f aca="false">IFERROR(INDEX('Perhitungan IPH Mingguan 2025'!$BQ$6:$BQ$25,MATCH(LARGE('Perhitungan IPH Mingguan 2025'!$GJ$6:$GJ$25,5),'Perhitungan IPH Mingguan 2025'!$GJ$6:$GJ$25,0)),"")</f>
        <v>-0.220198178048424</v>
      </c>
      <c r="F178" s="21" t="str">
        <f aca="false">IF(ISNUMBER(E178),IF(E178&gt;0,"Penyumbang KENAIKAN IPH","Penyumbang PENURUNAN IPH"),"-")</f>
        <v>Penyumbang PENURUNAN IPH</v>
      </c>
    </row>
    <row r="180" customFormat="false" ht="15" hidden="false" customHeight="false" outlineLevel="0" collapsed="false">
      <c r="A180" s="19" t="s">
        <v>289</v>
      </c>
      <c r="B180" s="19"/>
      <c r="C180" s="19"/>
      <c r="D180" s="19"/>
      <c r="E180" s="19"/>
      <c r="F180" s="19"/>
    </row>
    <row r="181" customFormat="false" ht="15" hidden="false" customHeight="false" outlineLevel="0" collapsed="false">
      <c r="A181" s="10" t="s">
        <v>263</v>
      </c>
      <c r="B181" s="10" t="s">
        <v>264</v>
      </c>
      <c r="C181" s="10" t="s">
        <v>174</v>
      </c>
      <c r="D181" s="10" t="s">
        <v>265</v>
      </c>
      <c r="E181" s="10" t="s">
        <v>266</v>
      </c>
      <c r="F181" s="10" t="s">
        <v>267</v>
      </c>
    </row>
    <row r="182" customFormat="false" ht="15" hidden="false" customHeight="false" outlineLevel="0" collapsed="false">
      <c r="A182" s="3" t="n">
        <v>1</v>
      </c>
      <c r="B182" s="5" t="str">
        <f aca="false">IFERROR(INDEX('Perhitungan IPH Mingguan 2025'!$B$6:$B$25,MATCH(LARGE('Perhitungan IPH Mingguan 2025'!$GK$6:$GK$25,1),'Perhitungan IPH Mingguan 2025'!$GK$6:$GK$25,0)),"-")</f>
        <v>cabai rawit 01173013</v>
      </c>
      <c r="C182" s="20" t="n">
        <f aca="false">IFERROR(INDEX('Perhitungan IPH Mingguan 2025'!$C$6:$C$25,MATCH(LARGE('Perhitungan IPH Mingguan 2025'!$GK$6:$GK$25,1),'Perhitungan IPH Mingguan 2025'!$GK$6:$GK$25,0)),"")</f>
        <v>0.0177017323628706</v>
      </c>
      <c r="D182" s="14" t="n">
        <f aca="false">IFERROR(INDEX('Perhitungan IPH Mingguan 2025'!$BS$6:$BS$25,MATCH(LARGE('Perhitungan IPH Mingguan 2025'!$GK$6:$GK$25,1),'Perhitungan IPH Mingguan 2025'!$GK$6:$GK$25,0)),"")</f>
        <v>-60.3960396039604</v>
      </c>
      <c r="E182" s="4" t="n">
        <f aca="false">IFERROR(INDEX('Perhitungan IPH Mingguan 2025'!$BT$6:$BT$25,MATCH(LARGE('Perhitungan IPH Mingguan 2025'!$GK$6:$GK$25,1),'Perhitungan IPH Mingguan 2025'!$GK$6:$GK$25,0)),"")</f>
        <v>-1.06911452884664</v>
      </c>
      <c r="F182" s="21" t="str">
        <f aca="false">IF(ISNUMBER(E182),IF(E182&gt;0,"Penyumbang KENAIKAN IPH","Penyumbang PENURUNAN IPH"),"-")</f>
        <v>Penyumbang PENURUNAN IPH</v>
      </c>
    </row>
    <row r="183" customFormat="false" ht="15" hidden="false" customHeight="false" outlineLevel="0" collapsed="false">
      <c r="A183" s="3" t="n">
        <v>2</v>
      </c>
      <c r="B183" s="5" t="str">
        <f aca="false">IFERROR(INDEX('Perhitungan IPH Mingguan 2025'!$B$6:$B$25,MATCH(LARGE('Perhitungan IPH Mingguan 2025'!$GK$6:$GK$25,2),'Perhitungan IPH Mingguan 2025'!$GK$6:$GK$25,0)),"-")</f>
        <v>daging sapi 01121001</v>
      </c>
      <c r="C183" s="20" t="n">
        <f aca="false">IFERROR(INDEX('Perhitungan IPH Mingguan 2025'!$C$6:$C$25,MATCH(LARGE('Perhitungan IPH Mingguan 2025'!$GK$6:$GK$25,2),'Perhitungan IPH Mingguan 2025'!$GK$6:$GK$25,0)),"")</f>
        <v>0.0598704213474298</v>
      </c>
      <c r="D183" s="14" t="n">
        <f aca="false">IFERROR(INDEX('Perhitungan IPH Mingguan 2025'!$BS$6:$BS$25,MATCH(LARGE('Perhitungan IPH Mingguan 2025'!$GK$6:$GK$25,2),'Perhitungan IPH Mingguan 2025'!$GK$6:$GK$25,0)),"")</f>
        <v>-6.64857530529171</v>
      </c>
      <c r="E183" s="4" t="n">
        <f aca="false">IFERROR(INDEX('Perhitungan IPH Mingguan 2025'!$BT$6:$BT$25,MATCH(LARGE('Perhitungan IPH Mingguan 2025'!$GK$6:$GK$25,2),'Perhitungan IPH Mingguan 2025'!$GK$6:$GK$25,0)),"")</f>
        <v>-0.398053004887931</v>
      </c>
      <c r="F183" s="21" t="str">
        <f aca="false">IF(ISNUMBER(E183),IF(E183&gt;0,"Penyumbang KENAIKAN IPH","Penyumbang PENURUNAN IPH"),"-")</f>
        <v>Penyumbang PENURUNAN IPH</v>
      </c>
    </row>
    <row r="184" customFormat="false" ht="15" hidden="false" customHeight="false" outlineLevel="0" collapsed="false">
      <c r="A184" s="3" t="n">
        <v>3</v>
      </c>
      <c r="B184" s="5" t="str">
        <f aca="false">IFERROR(INDEX('Perhitungan IPH Mingguan 2025'!$B$6:$B$25,MATCH(LARGE('Perhitungan IPH Mingguan 2025'!$GK$6:$GK$25,3),'Perhitungan IPH Mingguan 2025'!$GK$6:$GK$25,0)),"-")</f>
        <v>cabai merah 01173012</v>
      </c>
      <c r="C184" s="20" t="n">
        <f aca="false">IFERROR(INDEX('Perhitungan IPH Mingguan 2025'!$C$6:$C$25,MATCH(LARGE('Perhitungan IPH Mingguan 2025'!$GK$6:$GK$25,3),'Perhitungan IPH Mingguan 2025'!$GK$6:$GK$25,0)),"")</f>
        <v>0.0110208839376634</v>
      </c>
      <c r="D184" s="14" t="n">
        <f aca="false">IFERROR(INDEX('Perhitungan IPH Mingguan 2025'!$BS$6:$BS$25,MATCH(LARGE('Perhitungan IPH Mingguan 2025'!$GK$6:$GK$25,3),'Perhitungan IPH Mingguan 2025'!$GK$6:$GK$25,0)),"")</f>
        <v>-25.4995417048579</v>
      </c>
      <c r="E184" s="4" t="n">
        <f aca="false">IFERROR(INDEX('Perhitungan IPH Mingguan 2025'!$BT$6:$BT$25,MATCH(LARGE('Perhitungan IPH Mingguan 2025'!$GK$6:$GK$25,3),'Perhitungan IPH Mingguan 2025'!$GK$6:$GK$25,0)),"")</f>
        <v>-0.281027489592847</v>
      </c>
      <c r="F184" s="21" t="str">
        <f aca="false">IF(ISNUMBER(E184),IF(E184&gt;0,"Penyumbang KENAIKAN IPH","Penyumbang PENURUNAN IPH"),"-")</f>
        <v>Penyumbang PENURUNAN IPH</v>
      </c>
    </row>
    <row r="185" customFormat="false" ht="15" hidden="false" customHeight="false" outlineLevel="0" collapsed="false">
      <c r="A185" s="3" t="n">
        <v>4</v>
      </c>
      <c r="B185" s="5" t="str">
        <f aca="false">IFERROR(INDEX('Perhitungan IPH Mingguan 2025'!$B$6:$B$25,MATCH(LARGE('Perhitungan IPH Mingguan 2025'!$GK$6:$GK$25,4),'Perhitungan IPH Mingguan 2025'!$GK$6:$GK$25,0)),"-")</f>
        <v>ikan kembung 01131028</v>
      </c>
      <c r="C185" s="20" t="n">
        <f aca="false">IFERROR(INDEX('Perhitungan IPH Mingguan 2025'!$C$6:$C$25,MATCH(LARGE('Perhitungan IPH Mingguan 2025'!$GK$6:$GK$25,4),'Perhitungan IPH Mingguan 2025'!$GK$6:$GK$25,0)),"")</f>
        <v>0.0207715409161349</v>
      </c>
      <c r="D185" s="14" t="n">
        <f aca="false">IFERROR(INDEX('Perhitungan IPH Mingguan 2025'!$BS$6:$BS$25,MATCH(LARGE('Perhitungan IPH Mingguan 2025'!$GK$6:$GK$25,4),'Perhitungan IPH Mingguan 2025'!$GK$6:$GK$25,0)),"")</f>
        <v>-12.8856624319419</v>
      </c>
      <c r="E185" s="4" t="n">
        <f aca="false">IFERROR(INDEX('Perhitungan IPH Mingguan 2025'!$BT$6:$BT$25,MATCH(LARGE('Perhitungan IPH Mingguan 2025'!$GK$6:$GK$25,4),'Perhitungan IPH Mingguan 2025'!$GK$6:$GK$25,0)),"")</f>
        <v>-0.267655064436584</v>
      </c>
      <c r="F185" s="21" t="str">
        <f aca="false">IF(ISNUMBER(E185),IF(E185&gt;0,"Penyumbang KENAIKAN IPH","Penyumbang PENURUNAN IPH"),"-")</f>
        <v>Penyumbang PENURUNAN IPH</v>
      </c>
    </row>
    <row r="186" customFormat="false" ht="15" hidden="false" customHeight="false" outlineLevel="0" collapsed="false">
      <c r="A186" s="3" t="n">
        <v>5</v>
      </c>
      <c r="B186" s="5" t="str">
        <f aca="false">IFERROR(INDEX('Perhitungan IPH Mingguan 2025'!$B$6:$B$25,MATCH(LARGE('Perhitungan IPH Mingguan 2025'!$GK$6:$GK$25,5),'Perhitungan IPH Mingguan 2025'!$GK$6:$GK$25,0)),"-")</f>
        <v>pisang ambon 1162001</v>
      </c>
      <c r="C186" s="20" t="n">
        <f aca="false">IFERROR(INDEX('Perhitungan IPH Mingguan 2025'!$C$6:$C$25,MATCH(LARGE('Perhitungan IPH Mingguan 2025'!$GK$6:$GK$25,5),'Perhitungan IPH Mingguan 2025'!$GK$6:$GK$25,0)),"")</f>
        <v>0.0406365728580274</v>
      </c>
      <c r="D186" s="14" t="n">
        <f aca="false">IFERROR(INDEX('Perhitungan IPH Mingguan 2025'!$BS$6:$BS$25,MATCH(LARGE('Perhitungan IPH Mingguan 2025'!$GK$6:$GK$25,5),'Perhitungan IPH Mingguan 2025'!$GK$6:$GK$25,0)),"")</f>
        <v>-5.41871921182266</v>
      </c>
      <c r="E186" s="4" t="n">
        <f aca="false">IFERROR(INDEX('Perhitungan IPH Mingguan 2025'!$BT$6:$BT$25,MATCH(LARGE('Perhitungan IPH Mingguan 2025'!$GK$6:$GK$25,5),'Perhitungan IPH Mingguan 2025'!$GK$6:$GK$25,0)),"")</f>
        <v>-0.220198178048424</v>
      </c>
      <c r="F186" s="21" t="str">
        <f aca="false">IF(ISNUMBER(E186),IF(E186&gt;0,"Penyumbang KENAIKAN IPH","Penyumbang PENURUNAN IPH"),"-")</f>
        <v>Penyumbang PENURUNAN IPH</v>
      </c>
    </row>
    <row r="188" customFormat="false" ht="15" hidden="false" customHeight="false" outlineLevel="0" collapsed="false">
      <c r="A188" s="19" t="s">
        <v>290</v>
      </c>
      <c r="B188" s="19"/>
      <c r="C188" s="19"/>
      <c r="D188" s="19"/>
      <c r="E188" s="19"/>
      <c r="F188" s="19"/>
    </row>
    <row r="189" customFormat="false" ht="15" hidden="false" customHeight="false" outlineLevel="0" collapsed="false">
      <c r="A189" s="10" t="s">
        <v>263</v>
      </c>
      <c r="B189" s="10" t="s">
        <v>264</v>
      </c>
      <c r="C189" s="10" t="s">
        <v>174</v>
      </c>
      <c r="D189" s="10" t="s">
        <v>265</v>
      </c>
      <c r="E189" s="10" t="s">
        <v>266</v>
      </c>
      <c r="F189" s="10" t="s">
        <v>267</v>
      </c>
    </row>
    <row r="190" customFormat="false" ht="15" hidden="false" customHeight="false" outlineLevel="0" collapsed="false">
      <c r="A190" s="3" t="n">
        <v>1</v>
      </c>
      <c r="B190" s="5" t="str">
        <f aca="false">IFERROR(INDEX('Perhitungan IPH Mingguan 2025'!$B$6:$B$25,MATCH(LARGE('Perhitungan IPH Mingguan 2025'!$GL$6:$GL$25,1),'Perhitungan IPH Mingguan 2025'!$GL$6:$GL$25,0)),"-")</f>
        <v>cabai rawit 01173013</v>
      </c>
      <c r="C190" s="20" t="n">
        <f aca="false">IFERROR(INDEX('Perhitungan IPH Mingguan 2025'!$C$6:$C$25,MATCH(LARGE('Perhitungan IPH Mingguan 2025'!$GL$6:$GL$25,1),'Perhitungan IPH Mingguan 2025'!$GL$6:$GL$25,0)),"")</f>
        <v>0.0177017323628706</v>
      </c>
      <c r="D190" s="14" t="n">
        <f aca="false">IFERROR(INDEX('Perhitungan IPH Mingguan 2025'!$BV$6:$BV$25,MATCH(LARGE('Perhitungan IPH Mingguan 2025'!$GL$6:$GL$25,1),'Perhitungan IPH Mingguan 2025'!$GL$6:$GL$25,0)),"")</f>
        <v>-57.7557755775578</v>
      </c>
      <c r="E190" s="4" t="n">
        <f aca="false">IFERROR(INDEX('Perhitungan IPH Mingguan 2025'!$BW$6:$BW$25,MATCH(LARGE('Perhitungan IPH Mingguan 2025'!$GL$6:$GL$25,1),'Perhitungan IPH Mingguan 2025'!$GL$6:$GL$25,0)),"")</f>
        <v>-1.02237728168395</v>
      </c>
      <c r="F190" s="21" t="str">
        <f aca="false">IF(ISNUMBER(E190),IF(E190&gt;0,"Penyumbang KENAIKAN IPH","Penyumbang PENURUNAN IPH"),"-")</f>
        <v>Penyumbang PENURUNAN IPH</v>
      </c>
    </row>
    <row r="191" customFormat="false" ht="15" hidden="false" customHeight="false" outlineLevel="0" collapsed="false">
      <c r="A191" s="3" t="n">
        <v>2</v>
      </c>
      <c r="B191" s="5" t="str">
        <f aca="false">IFERROR(INDEX('Perhitungan IPH Mingguan 2025'!$B$6:$B$25,MATCH(LARGE('Perhitungan IPH Mingguan 2025'!$GL$6:$GL$25,2),'Perhitungan IPH Mingguan 2025'!$GL$6:$GL$25,0)),"-")</f>
        <v>daging sapi 01121001</v>
      </c>
      <c r="C191" s="20" t="n">
        <f aca="false">IFERROR(INDEX('Perhitungan IPH Mingguan 2025'!$C$6:$C$25,MATCH(LARGE('Perhitungan IPH Mingguan 2025'!$GL$6:$GL$25,2),'Perhitungan IPH Mingguan 2025'!$GL$6:$GL$25,0)),"")</f>
        <v>0.0598704213474298</v>
      </c>
      <c r="D191" s="14" t="n">
        <f aca="false">IFERROR(INDEX('Perhitungan IPH Mingguan 2025'!$BV$6:$BV$25,MATCH(LARGE('Perhitungan IPH Mingguan 2025'!$GL$6:$GL$25,2),'Perhitungan IPH Mingguan 2025'!$GL$6:$GL$25,0)),"")</f>
        <v>-5.20126639529624</v>
      </c>
      <c r="E191" s="4" t="n">
        <f aca="false">IFERROR(INDEX('Perhitungan IPH Mingguan 2025'!$BW$6:$BW$25,MATCH(LARGE('Perhitungan IPH Mingguan 2025'!$GL$6:$GL$25,2),'Perhitungan IPH Mingguan 2025'!$GL$6:$GL$25,0)),"")</f>
        <v>-0.311402010626613</v>
      </c>
      <c r="F191" s="21" t="str">
        <f aca="false">IF(ISNUMBER(E191),IF(E191&gt;0,"Penyumbang KENAIKAN IPH","Penyumbang PENURUNAN IPH"),"-")</f>
        <v>Penyumbang PENURUNAN IPH</v>
      </c>
    </row>
    <row r="192" customFormat="false" ht="15" hidden="false" customHeight="false" outlineLevel="0" collapsed="false">
      <c r="A192" s="3" t="n">
        <v>3</v>
      </c>
      <c r="B192" s="5" t="str">
        <f aca="false">IFERROR(INDEX('Perhitungan IPH Mingguan 2025'!$B$6:$B$25,MATCH(LARGE('Perhitungan IPH Mingguan 2025'!$GL$6:$GL$25,3),'Perhitungan IPH Mingguan 2025'!$GL$6:$GL$25,0)),"-")</f>
        <v>daging ayam ras 1124003</v>
      </c>
      <c r="C192" s="20" t="n">
        <f aca="false">IFERROR(INDEX('Perhitungan IPH Mingguan 2025'!$C$6:$C$25,MATCH(LARGE('Perhitungan IPH Mingguan 2025'!$GL$6:$GL$25,3),'Perhitungan IPH Mingguan 2025'!$GL$6:$GL$25,0)),"")</f>
        <v>0.0479107777850277</v>
      </c>
      <c r="D192" s="14" t="n">
        <f aca="false">IFERROR(INDEX('Perhitungan IPH Mingguan 2025'!$BV$6:$BV$25,MATCH(LARGE('Perhitungan IPH Mingguan 2025'!$GL$6:$GL$25,3),'Perhitungan IPH Mingguan 2025'!$GL$6:$GL$25,0)),"")</f>
        <v>6.41330166270784</v>
      </c>
      <c r="E192" s="4" t="n">
        <f aca="false">IFERROR(INDEX('Perhitungan IPH Mingguan 2025'!$BW$6:$BW$25,MATCH(LARGE('Perhitungan IPH Mingguan 2025'!$GL$6:$GL$25,3),'Perhitungan IPH Mingguan 2025'!$GL$6:$GL$25,0)),"")</f>
        <v>0.307266270830344</v>
      </c>
      <c r="F192" s="21" t="str">
        <f aca="false">IF(ISNUMBER(E192),IF(E192&gt;0,"Penyumbang KENAIKAN IPH","Penyumbang PENURUNAN IPH"),"-")</f>
        <v>Penyumbang KENAIKAN IPH</v>
      </c>
    </row>
    <row r="193" customFormat="false" ht="15" hidden="false" customHeight="false" outlineLevel="0" collapsed="false">
      <c r="A193" s="3" t="n">
        <v>4</v>
      </c>
      <c r="B193" s="5" t="str">
        <f aca="false">IFERROR(INDEX('Perhitungan IPH Mingguan 2025'!$B$6:$B$25,MATCH(LARGE('Perhitungan IPH Mingguan 2025'!$GL$6:$GL$25,4),'Perhitungan IPH Mingguan 2025'!$GL$6:$GL$25,0)),"-")</f>
        <v>bawang merah 1174006</v>
      </c>
      <c r="C193" s="20" t="n">
        <f aca="false">IFERROR(INDEX('Perhitungan IPH Mingguan 2025'!$C$6:$C$25,MATCH(LARGE('Perhitungan IPH Mingguan 2025'!$GL$6:$GL$25,4),'Perhitungan IPH Mingguan 2025'!$GL$6:$GL$25,0)),"")</f>
        <v>0.0194434650422287</v>
      </c>
      <c r="D193" s="14" t="n">
        <f aca="false">IFERROR(INDEX('Perhitungan IPH Mingguan 2025'!$BV$6:$BV$25,MATCH(LARGE('Perhitungan IPH Mingguan 2025'!$GL$6:$GL$25,4),'Perhitungan IPH Mingguan 2025'!$GL$6:$GL$25,0)),"")</f>
        <v>-15.218730745533</v>
      </c>
      <c r="E193" s="4" t="n">
        <f aca="false">IFERROR(INDEX('Perhitungan IPH Mingguan 2025'!$BW$6:$BW$25,MATCH(LARGE('Perhitungan IPH Mingguan 2025'!$GL$6:$GL$25,4),'Perhitungan IPH Mingguan 2025'!$GL$6:$GL$25,0)),"")</f>
        <v>-0.295904859237861</v>
      </c>
      <c r="F193" s="21" t="str">
        <f aca="false">IF(ISNUMBER(E193),IF(E193&gt;0,"Penyumbang KENAIKAN IPH","Penyumbang PENURUNAN IPH"),"-")</f>
        <v>Penyumbang PENURUNAN IPH</v>
      </c>
    </row>
    <row r="194" customFormat="false" ht="15" hidden="false" customHeight="false" outlineLevel="0" collapsed="false">
      <c r="A194" s="3" t="n">
        <v>5</v>
      </c>
      <c r="B194" s="5" t="str">
        <f aca="false">IFERROR(INDEX('Perhitungan IPH Mingguan 2025'!$B$6:$B$25,MATCH(LARGE('Perhitungan IPH Mingguan 2025'!$GL$6:$GL$25,5),'Perhitungan IPH Mingguan 2025'!$GL$6:$GL$25,0)),"-")</f>
        <v>ikan kembung 01131028</v>
      </c>
      <c r="C194" s="20" t="n">
        <f aca="false">IFERROR(INDEX('Perhitungan IPH Mingguan 2025'!$C$6:$C$25,MATCH(LARGE('Perhitungan IPH Mingguan 2025'!$GL$6:$GL$25,5),'Perhitungan IPH Mingguan 2025'!$GL$6:$GL$25,0)),"")</f>
        <v>0.0207715409161349</v>
      </c>
      <c r="D194" s="14" t="n">
        <f aca="false">IFERROR(INDEX('Perhitungan IPH Mingguan 2025'!$BV$6:$BV$25,MATCH(LARGE('Perhitungan IPH Mingguan 2025'!$GL$6:$GL$25,5),'Perhitungan IPH Mingguan 2025'!$GL$6:$GL$25,0)),"")</f>
        <v>-12.8856624319419</v>
      </c>
      <c r="E194" s="4" t="n">
        <f aca="false">IFERROR(INDEX('Perhitungan IPH Mingguan 2025'!$BW$6:$BW$25,MATCH(LARGE('Perhitungan IPH Mingguan 2025'!$GL$6:$GL$25,5),'Perhitungan IPH Mingguan 2025'!$GL$6:$GL$25,0)),"")</f>
        <v>-0.267655064436584</v>
      </c>
      <c r="F194" s="21" t="str">
        <f aca="false">IF(ISNUMBER(E194),IF(E194&gt;0,"Penyumbang KENAIKAN IPH","Penyumbang PENURUNAN IPH"),"-")</f>
        <v>Penyumbang PENURUNAN IPH</v>
      </c>
    </row>
    <row r="196" customFormat="false" ht="15" hidden="false" customHeight="false" outlineLevel="0" collapsed="false">
      <c r="A196" s="19" t="s">
        <v>291</v>
      </c>
      <c r="B196" s="19"/>
      <c r="C196" s="19"/>
      <c r="D196" s="19"/>
      <c r="E196" s="19"/>
      <c r="F196" s="19"/>
    </row>
    <row r="197" customFormat="false" ht="15" hidden="false" customHeight="false" outlineLevel="0" collapsed="false">
      <c r="A197" s="10" t="s">
        <v>263</v>
      </c>
      <c r="B197" s="10" t="s">
        <v>264</v>
      </c>
      <c r="C197" s="10" t="s">
        <v>174</v>
      </c>
      <c r="D197" s="10" t="s">
        <v>265</v>
      </c>
      <c r="E197" s="10" t="s">
        <v>266</v>
      </c>
      <c r="F197" s="10" t="s">
        <v>267</v>
      </c>
    </row>
    <row r="198" customFormat="false" ht="15" hidden="false" customHeight="false" outlineLevel="0" collapsed="false">
      <c r="A198" s="3" t="n">
        <v>1</v>
      </c>
      <c r="B198" s="5" t="str">
        <f aca="false">IFERROR(INDEX('Perhitungan IPH Mingguan 2025'!$B$6:$B$25,MATCH(LARGE('Perhitungan IPH Mingguan 2025'!$GM$6:$GM$25,1),'Perhitungan IPH Mingguan 2025'!$GM$6:$GM$25,0)),"-")</f>
        <v>cabai rawit 01173013</v>
      </c>
      <c r="C198" s="20" t="n">
        <f aca="false">IFERROR(INDEX('Perhitungan IPH Mingguan 2025'!$C$6:$C$25,MATCH(LARGE('Perhitungan IPH Mingguan 2025'!$GM$6:$GM$25,1),'Perhitungan IPH Mingguan 2025'!$GM$6:$GM$25,0)),"")</f>
        <v>0.0177017323628706</v>
      </c>
      <c r="D198" s="14" t="n">
        <f aca="false">IFERROR(INDEX('Perhitungan IPH Mingguan 2025'!$BY$6:$BY$25,MATCH(LARGE('Perhitungan IPH Mingguan 2025'!$GM$6:$GM$25,1),'Perhitungan IPH Mingguan 2025'!$GM$6:$GM$25,0)),"")</f>
        <v>43.1347150259067</v>
      </c>
      <c r="E198" s="4" t="n">
        <f aca="false">IFERROR(INDEX('Perhitungan IPH Mingguan 2025'!$BZ$6:$BZ$25,MATCH(LARGE('Perhitungan IPH Mingguan 2025'!$GM$6:$GM$25,1),'Perhitungan IPH Mingguan 2025'!$GM$6:$GM$25,0)),"")</f>
        <v>0.763559180937294</v>
      </c>
      <c r="F198" s="21" t="str">
        <f aca="false">IF(ISNUMBER(E198),IF(E198&gt;0,"Penyumbang KENAIKAN IPH","Penyumbang PENURUNAN IPH"),"-")</f>
        <v>Penyumbang KENAIKAN IPH</v>
      </c>
    </row>
    <row r="199" customFormat="false" ht="15" hidden="false" customHeight="false" outlineLevel="0" collapsed="false">
      <c r="A199" s="3" t="n">
        <v>2</v>
      </c>
      <c r="B199" s="5" t="str">
        <f aca="false">IFERROR(INDEX('Perhitungan IPH Mingguan 2025'!$B$6:$B$25,MATCH(LARGE('Perhitungan IPH Mingguan 2025'!$GM$6:$GM$25,2),'Perhitungan IPH Mingguan 2025'!$GM$6:$GM$25,0)),"-")</f>
        <v>daging ayam ras 1124003</v>
      </c>
      <c r="C199" s="20" t="n">
        <f aca="false">IFERROR(INDEX('Perhitungan IPH Mingguan 2025'!$C$6:$C$25,MATCH(LARGE('Perhitungan IPH Mingguan 2025'!$GM$6:$GM$25,2),'Perhitungan IPH Mingguan 2025'!$GM$6:$GM$25,0)),"")</f>
        <v>0.0479107777850277</v>
      </c>
      <c r="D199" s="14" t="n">
        <f aca="false">IFERROR(INDEX('Perhitungan IPH Mingguan 2025'!$BY$6:$BY$25,MATCH(LARGE('Perhitungan IPH Mingguan 2025'!$GM$6:$GM$25,2),'Perhitungan IPH Mingguan 2025'!$GM$6:$GM$25,0)),"")</f>
        <v>8.59030837004406</v>
      </c>
      <c r="E199" s="4" t="n">
        <f aca="false">IFERROR(INDEX('Perhitungan IPH Mingguan 2025'!$BZ$6:$BZ$25,MATCH(LARGE('Perhitungan IPH Mingguan 2025'!$GM$6:$GM$25,2),'Perhitungan IPH Mingguan 2025'!$GM$6:$GM$25,0)),"")</f>
        <v>0.411568355422044</v>
      </c>
      <c r="F199" s="21" t="str">
        <f aca="false">IF(ISNUMBER(E199),IF(E199&gt;0,"Penyumbang KENAIKAN IPH","Penyumbang PENURUNAN IPH"),"-")</f>
        <v>Penyumbang KENAIKAN IPH</v>
      </c>
    </row>
    <row r="200" customFormat="false" ht="15" hidden="false" customHeight="false" outlineLevel="0" collapsed="false">
      <c r="A200" s="3" t="n">
        <v>3</v>
      </c>
      <c r="B200" s="5" t="str">
        <f aca="false">IFERROR(INDEX('Perhitungan IPH Mingguan 2025'!$B$6:$B$25,MATCH(LARGE('Perhitungan IPH Mingguan 2025'!$GM$6:$GM$25,3),'Perhitungan IPH Mingguan 2025'!$GM$6:$GM$25,0)),"-")</f>
        <v>cabai merah 01173012</v>
      </c>
      <c r="C200" s="20" t="n">
        <f aca="false">IFERROR(INDEX('Perhitungan IPH Mingguan 2025'!$C$6:$C$25,MATCH(LARGE('Perhitungan IPH Mingguan 2025'!$GM$6:$GM$25,3),'Perhitungan IPH Mingguan 2025'!$GM$6:$GM$25,0)),"")</f>
        <v>0.0110208839376634</v>
      </c>
      <c r="D200" s="14" t="n">
        <f aca="false">IFERROR(INDEX('Perhitungan IPH Mingguan 2025'!$BY$6:$BY$25,MATCH(LARGE('Perhitungan IPH Mingguan 2025'!$GM$6:$GM$25,3),'Perhitungan IPH Mingguan 2025'!$GM$6:$GM$25,0)),"")</f>
        <v>32.8735632183908</v>
      </c>
      <c r="E200" s="4" t="n">
        <f aca="false">IFERROR(INDEX('Perhitungan IPH Mingguan 2025'!$BZ$6:$BZ$25,MATCH(LARGE('Perhitungan IPH Mingguan 2025'!$GM$6:$GM$25,3),'Perhitungan IPH Mingguan 2025'!$GM$6:$GM$25,0)),"")</f>
        <v>0.362295724847326</v>
      </c>
      <c r="F200" s="21" t="str">
        <f aca="false">IF(ISNUMBER(E200),IF(E200&gt;0,"Penyumbang KENAIKAN IPH","Penyumbang PENURUNAN IPH"),"-")</f>
        <v>Penyumbang KENAIKAN IPH</v>
      </c>
    </row>
    <row r="201" customFormat="false" ht="15" hidden="false" customHeight="false" outlineLevel="0" collapsed="false">
      <c r="A201" s="3" t="n">
        <v>4</v>
      </c>
      <c r="B201" s="5" t="str">
        <f aca="false">IFERROR(INDEX('Perhitungan IPH Mingguan 2025'!$B$6:$B$25,MATCH(LARGE('Perhitungan IPH Mingguan 2025'!$GM$6:$GM$25,4),'Perhitungan IPH Mingguan 2025'!$GM$6:$GM$25,0)),"-")</f>
        <v>telur ayam ras 01147002</v>
      </c>
      <c r="C201" s="20" t="n">
        <f aca="false">IFERROR(INDEX('Perhitungan IPH Mingguan 2025'!$C$6:$C$25,MATCH(LARGE('Perhitungan IPH Mingguan 2025'!$GM$6:$GM$25,4),'Perhitungan IPH Mingguan 2025'!$GM$6:$GM$25,0)),"")</f>
        <v>0.0298777910794593</v>
      </c>
      <c r="D201" s="14" t="n">
        <f aca="false">IFERROR(INDEX('Perhitungan IPH Mingguan 2025'!$BY$6:$BY$25,MATCH(LARGE('Perhitungan IPH Mingguan 2025'!$GM$6:$GM$25,4),'Perhitungan IPH Mingguan 2025'!$GM$6:$GM$25,0)),"")</f>
        <v>8.00508259212198</v>
      </c>
      <c r="E201" s="4" t="n">
        <f aca="false">IFERROR(INDEX('Perhitungan IPH Mingguan 2025'!$BZ$6:$BZ$25,MATCH(LARGE('Perhitungan IPH Mingguan 2025'!$GM$6:$GM$25,4),'Perhitungan IPH Mingguan 2025'!$GM$6:$GM$25,0)),"")</f>
        <v>0.239174185261237</v>
      </c>
      <c r="F201" s="21" t="str">
        <f aca="false">IF(ISNUMBER(E201),IF(E201&gt;0,"Penyumbang KENAIKAN IPH","Penyumbang PENURUNAN IPH"),"-")</f>
        <v>Penyumbang KENAIKAN IPH</v>
      </c>
    </row>
    <row r="202" customFormat="false" ht="15" hidden="false" customHeight="false" outlineLevel="0" collapsed="false">
      <c r="A202" s="3" t="n">
        <v>5</v>
      </c>
      <c r="B202" s="5" t="str">
        <f aca="false">IFERROR(INDEX('Perhitungan IPH Mingguan 2025'!$B$6:$B$25,MATCH(LARGE('Perhitungan IPH Mingguan 2025'!$GM$6:$GM$25,5),'Perhitungan IPH Mingguan 2025'!$GM$6:$GM$25,0)),"-")</f>
        <v>bawang merah 1174006</v>
      </c>
      <c r="C202" s="20" t="n">
        <f aca="false">IFERROR(INDEX('Perhitungan IPH Mingguan 2025'!$C$6:$C$25,MATCH(LARGE('Perhitungan IPH Mingguan 2025'!$GM$6:$GM$25,5),'Perhitungan IPH Mingguan 2025'!$GM$6:$GM$25,0)),"")</f>
        <v>0.0194434650422287</v>
      </c>
      <c r="D202" s="14" t="n">
        <f aca="false">IFERROR(INDEX('Perhitungan IPH Mingguan 2025'!$BY$6:$BY$25,MATCH(LARGE('Perhitungan IPH Mingguan 2025'!$GM$6:$GM$25,5),'Perhitungan IPH Mingguan 2025'!$GM$6:$GM$25,0)),"")</f>
        <v>10.906374501992</v>
      </c>
      <c r="E202" s="4" t="n">
        <f aca="false">IFERROR(INDEX('Perhitungan IPH Mingguan 2025'!$BZ$6:$BZ$25,MATCH(LARGE('Perhitungan IPH Mingguan 2025'!$GM$6:$GM$25,5),'Perhitungan IPH Mingguan 2025'!$GM$6:$GM$25,0)),"")</f>
        <v>0.212057711366937</v>
      </c>
      <c r="F202" s="21" t="str">
        <f aca="false">IF(ISNUMBER(E202),IF(E202&gt;0,"Penyumbang KENAIKAN IPH","Penyumbang PENURUNAN IPH"),"-")</f>
        <v>Penyumbang KENAIKAN IPH</v>
      </c>
    </row>
    <row r="204" customFormat="false" ht="15" hidden="false" customHeight="false" outlineLevel="0" collapsed="false">
      <c r="A204" s="19" t="s">
        <v>292</v>
      </c>
      <c r="B204" s="19"/>
      <c r="C204" s="19"/>
      <c r="D204" s="19"/>
      <c r="E204" s="19"/>
      <c r="F204" s="19"/>
    </row>
    <row r="205" customFormat="false" ht="15" hidden="false" customHeight="false" outlineLevel="0" collapsed="false">
      <c r="A205" s="10" t="s">
        <v>263</v>
      </c>
      <c r="B205" s="10" t="s">
        <v>264</v>
      </c>
      <c r="C205" s="10" t="s">
        <v>174</v>
      </c>
      <c r="D205" s="10" t="s">
        <v>265</v>
      </c>
      <c r="E205" s="10" t="s">
        <v>266</v>
      </c>
      <c r="F205" s="10" t="s">
        <v>267</v>
      </c>
    </row>
    <row r="206" customFormat="false" ht="15" hidden="false" customHeight="false" outlineLevel="0" collapsed="false">
      <c r="A206" s="3" t="n">
        <v>1</v>
      </c>
      <c r="B206" s="5" t="str">
        <f aca="false">IFERROR(INDEX('Perhitungan IPH Mingguan 2025'!$B$6:$B$25,MATCH(LARGE('Perhitungan IPH Mingguan 2025'!$GN$6:$GN$25,1),'Perhitungan IPH Mingguan 2025'!$GN$6:$GN$25,0)),"-")</f>
        <v>cabai rawit 01173013</v>
      </c>
      <c r="C206" s="20" t="n">
        <f aca="false">IFERROR(INDEX('Perhitungan IPH Mingguan 2025'!$C$6:$C$25,MATCH(LARGE('Perhitungan IPH Mingguan 2025'!$GN$6:$GN$25,1),'Perhitungan IPH Mingguan 2025'!$GN$6:$GN$25,0)),"")</f>
        <v>0.0177017323628706</v>
      </c>
      <c r="D206" s="14" t="n">
        <f aca="false">IFERROR(INDEX('Perhitungan IPH Mingguan 2025'!$CB$6:$CB$25,MATCH(LARGE('Perhitungan IPH Mingguan 2025'!$GN$6:$GN$25,1),'Perhitungan IPH Mingguan 2025'!$GN$6:$GN$25,0)),"")</f>
        <v>18.9119170984456</v>
      </c>
      <c r="E206" s="4" t="n">
        <f aca="false">IFERROR(INDEX('Perhitungan IPH Mingguan 2025'!$CC$6:$CC$25,MATCH(LARGE('Perhitungan IPH Mingguan 2025'!$GN$6:$GN$25,1),'Perhitungan IPH Mingguan 2025'!$GN$6:$GN$25,0)),"")</f>
        <v>0.33477369494548</v>
      </c>
      <c r="F206" s="21" t="str">
        <f aca="false">IF(ISNUMBER(E206),IF(E206&gt;0,"Penyumbang KENAIKAN IPH","Penyumbang PENURUNAN IPH"),"-")</f>
        <v>Penyumbang KENAIKAN IPH</v>
      </c>
    </row>
    <row r="207" customFormat="false" ht="15" hidden="false" customHeight="false" outlineLevel="0" collapsed="false">
      <c r="A207" s="3" t="n">
        <v>2</v>
      </c>
      <c r="B207" s="5" t="str">
        <f aca="false">IFERROR(INDEX('Perhitungan IPH Mingguan 2025'!$B$6:$B$25,MATCH(LARGE('Perhitungan IPH Mingguan 2025'!$GN$6:$GN$25,2),'Perhitungan IPH Mingguan 2025'!$GN$6:$GN$25,0)),"-")</f>
        <v>tempe 01194013</v>
      </c>
      <c r="C207" s="20" t="n">
        <f aca="false">IFERROR(INDEX('Perhitungan IPH Mingguan 2025'!$C$6:$C$25,MATCH(LARGE('Perhitungan IPH Mingguan 2025'!$GN$6:$GN$25,2),'Perhitungan IPH Mingguan 2025'!$GN$6:$GN$25,0)),"")</f>
        <v>0.0202825952223294</v>
      </c>
      <c r="D207" s="14" t="n">
        <f aca="false">IFERROR(INDEX('Perhitungan IPH Mingguan 2025'!$CB$6:$CB$25,MATCH(LARGE('Perhitungan IPH Mingguan 2025'!$GN$6:$GN$25,2),'Perhitungan IPH Mingguan 2025'!$GN$6:$GN$25,0)),"")</f>
        <v>-8.33333333333333</v>
      </c>
      <c r="E207" s="4" t="n">
        <f aca="false">IFERROR(INDEX('Perhitungan IPH Mingguan 2025'!$CC$6:$CC$25,MATCH(LARGE('Perhitungan IPH Mingguan 2025'!$GN$6:$GN$25,2),'Perhitungan IPH Mingguan 2025'!$GN$6:$GN$25,0)),"")</f>
        <v>-0.169021626852745</v>
      </c>
      <c r="F207" s="21" t="str">
        <f aca="false">IF(ISNUMBER(E207),IF(E207&gt;0,"Penyumbang KENAIKAN IPH","Penyumbang PENURUNAN IPH"),"-")</f>
        <v>Penyumbang PENURUNAN IPH</v>
      </c>
    </row>
    <row r="208" customFormat="false" ht="15" hidden="false" customHeight="false" outlineLevel="0" collapsed="false">
      <c r="A208" s="3" t="n">
        <v>3</v>
      </c>
      <c r="B208" s="5" t="str">
        <f aca="false">IFERROR(INDEX('Perhitungan IPH Mingguan 2025'!$B$6:$B$25,MATCH(LARGE('Perhitungan IPH Mingguan 2025'!$GN$6:$GN$25,3),'Perhitungan IPH Mingguan 2025'!$GN$6:$GN$25,0)),"-")</f>
        <v>bawang merah 1174006</v>
      </c>
      <c r="C208" s="20" t="n">
        <f aca="false">IFERROR(INDEX('Perhitungan IPH Mingguan 2025'!$C$6:$C$25,MATCH(LARGE('Perhitungan IPH Mingguan 2025'!$GN$6:$GN$25,3),'Perhitungan IPH Mingguan 2025'!$GN$6:$GN$25,0)),"")</f>
        <v>0.0194434650422287</v>
      </c>
      <c r="D208" s="14" t="n">
        <f aca="false">IFERROR(INDEX('Perhitungan IPH Mingguan 2025'!$CB$6:$CB$25,MATCH(LARGE('Perhitungan IPH Mingguan 2025'!$GN$6:$GN$25,3),'Perhitungan IPH Mingguan 2025'!$GN$6:$GN$25,0)),"")</f>
        <v>-6.87250996015936</v>
      </c>
      <c r="E208" s="4" t="n">
        <f aca="false">IFERROR(INDEX('Perhitungan IPH Mingguan 2025'!$CC$6:$CC$25,MATCH(LARGE('Perhitungan IPH Mingguan 2025'!$GN$6:$GN$25,3),'Perhitungan IPH Mingguan 2025'!$GN$6:$GN$25,0)),"")</f>
        <v>-0.133625407162727</v>
      </c>
      <c r="F208" s="21" t="str">
        <f aca="false">IF(ISNUMBER(E208),IF(E208&gt;0,"Penyumbang KENAIKAN IPH","Penyumbang PENURUNAN IPH"),"-")</f>
        <v>Penyumbang PENURUNAN IPH</v>
      </c>
    </row>
    <row r="209" customFormat="false" ht="15" hidden="false" customHeight="false" outlineLevel="0" collapsed="false">
      <c r="A209" s="3" t="n">
        <v>4</v>
      </c>
      <c r="B209" s="5" t="str">
        <f aca="false">IFERROR(INDEX('Perhitungan IPH Mingguan 2025'!$B$6:$B$25,MATCH(LARGE('Perhitungan IPH Mingguan 2025'!$GN$6:$GN$25,4),'Perhitungan IPH Mingguan 2025'!$GN$6:$GN$25,0)),"-")</f>
        <v>telur ayam ras 01147002</v>
      </c>
      <c r="C209" s="20" t="n">
        <f aca="false">IFERROR(INDEX('Perhitungan IPH Mingguan 2025'!$C$6:$C$25,MATCH(LARGE('Perhitungan IPH Mingguan 2025'!$GN$6:$GN$25,4),'Perhitungan IPH Mingguan 2025'!$GN$6:$GN$25,0)),"")</f>
        <v>0.0298777910794593</v>
      </c>
      <c r="D209" s="14" t="n">
        <f aca="false">IFERROR(INDEX('Perhitungan IPH Mingguan 2025'!$CB$6:$CB$25,MATCH(LARGE('Perhitungan IPH Mingguan 2025'!$GN$6:$GN$25,4),'Perhitungan IPH Mingguan 2025'!$GN$6:$GN$25,0)),"")</f>
        <v>3.6848792884371</v>
      </c>
      <c r="E209" s="4" t="n">
        <f aca="false">IFERROR(INDEX('Perhitungan IPH Mingguan 2025'!$CC$6:$CC$25,MATCH(LARGE('Perhitungan IPH Mingguan 2025'!$GN$6:$GN$25,4),'Perhitungan IPH Mingguan 2025'!$GN$6:$GN$25,0)),"")</f>
        <v>0.11009605353295</v>
      </c>
      <c r="F209" s="21" t="str">
        <f aca="false">IF(ISNUMBER(E209),IF(E209&gt;0,"Penyumbang KENAIKAN IPH","Penyumbang PENURUNAN IPH"),"-")</f>
        <v>Penyumbang KENAIKAN IPH</v>
      </c>
    </row>
    <row r="210" customFormat="false" ht="15" hidden="false" customHeight="false" outlineLevel="0" collapsed="false">
      <c r="A210" s="3" t="n">
        <v>5</v>
      </c>
      <c r="B210" s="5" t="str">
        <f aca="false">IFERROR(INDEX('Perhitungan IPH Mingguan 2025'!$B$6:$B$25,MATCH(LARGE('Perhitungan IPH Mingguan 2025'!$GN$6:$GN$25,5),'Perhitungan IPH Mingguan 2025'!$GN$6:$GN$25,0)),"-")</f>
        <v>cabai merah 01173012</v>
      </c>
      <c r="C210" s="20" t="n">
        <f aca="false">IFERROR(INDEX('Perhitungan IPH Mingguan 2025'!$C$6:$C$25,MATCH(LARGE('Perhitungan IPH Mingguan 2025'!$GN$6:$GN$25,5),'Perhitungan IPH Mingguan 2025'!$GN$6:$GN$25,0)),"")</f>
        <v>0.0110208839376634</v>
      </c>
      <c r="D210" s="14" t="n">
        <f aca="false">IFERROR(INDEX('Perhitungan IPH Mingguan 2025'!$CB$6:$CB$25,MATCH(LARGE('Perhitungan IPH Mingguan 2025'!$GN$6:$GN$25,5),'Perhitungan IPH Mingguan 2025'!$GN$6:$GN$25,0)),"")</f>
        <v>9.42528735632184</v>
      </c>
      <c r="E210" s="4" t="n">
        <f aca="false">IFERROR(INDEX('Perhitungan IPH Mingguan 2025'!$CC$6:$CC$25,MATCH(LARGE('Perhitungan IPH Mingguan 2025'!$GN$6:$GN$25,5),'Perhitungan IPH Mingguan 2025'!$GN$6:$GN$25,0)),"")</f>
        <v>0.103874998033149</v>
      </c>
      <c r="F210" s="21" t="str">
        <f aca="false">IF(ISNUMBER(E210),IF(E210&gt;0,"Penyumbang KENAIKAN IPH","Penyumbang PENURUNAN IPH"),"-")</f>
        <v>Penyumbang KENAIKAN IPH</v>
      </c>
    </row>
    <row r="212" customFormat="false" ht="15" hidden="false" customHeight="false" outlineLevel="0" collapsed="false">
      <c r="A212" s="19" t="s">
        <v>293</v>
      </c>
      <c r="B212" s="19"/>
      <c r="C212" s="19"/>
      <c r="D212" s="19"/>
      <c r="E212" s="19"/>
      <c r="F212" s="19"/>
    </row>
    <row r="213" customFormat="false" ht="15" hidden="false" customHeight="false" outlineLevel="0" collapsed="false">
      <c r="A213" s="10" t="s">
        <v>263</v>
      </c>
      <c r="B213" s="10" t="s">
        <v>264</v>
      </c>
      <c r="C213" s="10" t="s">
        <v>174</v>
      </c>
      <c r="D213" s="10" t="s">
        <v>265</v>
      </c>
      <c r="E213" s="10" t="s">
        <v>266</v>
      </c>
      <c r="F213" s="10" t="s">
        <v>267</v>
      </c>
    </row>
    <row r="214" customFormat="false" ht="15" hidden="false" customHeight="false" outlineLevel="0" collapsed="false">
      <c r="A214" s="3" t="n">
        <v>1</v>
      </c>
      <c r="B214" s="5" t="str">
        <f aca="false">IFERROR(INDEX('Perhitungan IPH Mingguan 2025'!$B$6:$B$25,MATCH(LARGE('Perhitungan IPH Mingguan 2025'!$GO$6:$GO$25,1),'Perhitungan IPH Mingguan 2025'!$GO$6:$GO$25,0)),"-")</f>
        <v>daging ayam ras 1124003</v>
      </c>
      <c r="C214" s="20" t="n">
        <f aca="false">IFERROR(INDEX('Perhitungan IPH Mingguan 2025'!$C$6:$C$25,MATCH(LARGE('Perhitungan IPH Mingguan 2025'!$GO$6:$GO$25,1),'Perhitungan IPH Mingguan 2025'!$GO$6:$GO$25,0)),"")</f>
        <v>0.0479107777850277</v>
      </c>
      <c r="D214" s="14" t="n">
        <f aca="false">IFERROR(INDEX('Perhitungan IPH Mingguan 2025'!$CE$6:$CE$25,MATCH(LARGE('Perhitungan IPH Mingguan 2025'!$GO$6:$GO$25,1),'Perhitungan IPH Mingguan 2025'!$GO$6:$GO$25,0)),"")</f>
        <v>-12.3788546255507</v>
      </c>
      <c r="E214" s="4" t="n">
        <f aca="false">IFERROR(INDEX('Perhitungan IPH Mingguan 2025'!$CF$6:$CF$25,MATCH(LARGE('Perhitungan IPH Mingguan 2025'!$GO$6:$GO$25,1),'Perhitungan IPH Mingguan 2025'!$GO$6:$GO$25,0)),"")</f>
        <v>-0.59308055319792</v>
      </c>
      <c r="F214" s="21" t="str">
        <f aca="false">IF(ISNUMBER(E214),IF(E214&gt;0,"Penyumbang KENAIKAN IPH","Penyumbang PENURUNAN IPH"),"-")</f>
        <v>Penyumbang PENURUNAN IPH</v>
      </c>
    </row>
    <row r="215" customFormat="false" ht="15" hidden="false" customHeight="false" outlineLevel="0" collapsed="false">
      <c r="A215" s="3" t="n">
        <v>2</v>
      </c>
      <c r="B215" s="5" t="str">
        <f aca="false">IFERROR(INDEX('Perhitungan IPH Mingguan 2025'!$B$6:$B$25,MATCH(LARGE('Perhitungan IPH Mingguan 2025'!$GO$6:$GO$25,2),'Perhitungan IPH Mingguan 2025'!$GO$6:$GO$25,0)),"-")</f>
        <v>bawang merah 1174006</v>
      </c>
      <c r="C215" s="20" t="n">
        <f aca="false">IFERROR(INDEX('Perhitungan IPH Mingguan 2025'!$C$6:$C$25,MATCH(LARGE('Perhitungan IPH Mingguan 2025'!$GO$6:$GO$25,2),'Perhitungan IPH Mingguan 2025'!$GO$6:$GO$25,0)),"")</f>
        <v>0.0194434650422287</v>
      </c>
      <c r="D215" s="14" t="n">
        <f aca="false">IFERROR(INDEX('Perhitungan IPH Mingguan 2025'!$CE$6:$CE$25,MATCH(LARGE('Perhitungan IPH Mingguan 2025'!$GO$6:$GO$25,2),'Perhitungan IPH Mingguan 2025'!$GO$6:$GO$25,0)),"")</f>
        <v>-28.207171314741</v>
      </c>
      <c r="E215" s="4" t="n">
        <f aca="false">IFERROR(INDEX('Perhitungan IPH Mingguan 2025'!$CF$6:$CF$25,MATCH(LARGE('Perhitungan IPH Mingguan 2025'!$GO$6:$GO$25,2),'Perhitungan IPH Mingguan 2025'!$GO$6:$GO$25,0)),"")</f>
        <v>-0.548445149398324</v>
      </c>
      <c r="F215" s="21" t="str">
        <f aca="false">IF(ISNUMBER(E215),IF(E215&gt;0,"Penyumbang KENAIKAN IPH","Penyumbang PENURUNAN IPH"),"-")</f>
        <v>Penyumbang PENURUNAN IPH</v>
      </c>
    </row>
    <row r="216" customFormat="false" ht="15" hidden="false" customHeight="false" outlineLevel="0" collapsed="false">
      <c r="A216" s="3" t="n">
        <v>3</v>
      </c>
      <c r="B216" s="5" t="str">
        <f aca="false">IFERROR(INDEX('Perhitungan IPH Mingguan 2025'!$B$6:$B$25,MATCH(LARGE('Perhitungan IPH Mingguan 2025'!$GO$6:$GO$25,3),'Perhitungan IPH Mingguan 2025'!$GO$6:$GO$25,0)),"-")</f>
        <v>daging sapi 01121001</v>
      </c>
      <c r="C216" s="20" t="n">
        <f aca="false">IFERROR(INDEX('Perhitungan IPH Mingguan 2025'!$C$6:$C$25,MATCH(LARGE('Perhitungan IPH Mingguan 2025'!$GO$6:$GO$25,3),'Perhitungan IPH Mingguan 2025'!$GO$6:$GO$25,0)),"")</f>
        <v>0.0598704213474298</v>
      </c>
      <c r="D216" s="14" t="n">
        <f aca="false">IFERROR(INDEX('Perhitungan IPH Mingguan 2025'!$CE$6:$CE$25,MATCH(LARGE('Perhitungan IPH Mingguan 2025'!$GO$6:$GO$25,3),'Perhitungan IPH Mingguan 2025'!$GO$6:$GO$25,0)),"")</f>
        <v>-4.91132332878582</v>
      </c>
      <c r="E216" s="4" t="n">
        <f aca="false">IFERROR(INDEX('Perhitungan IPH Mingguan 2025'!$CF$6:$CF$25,MATCH(LARGE('Perhitungan IPH Mingguan 2025'!$GO$6:$GO$25,3),'Perhitungan IPH Mingguan 2025'!$GO$6:$GO$25,0)),"")</f>
        <v>-0.294042997067869</v>
      </c>
      <c r="F216" s="21" t="str">
        <f aca="false">IF(ISNUMBER(E216),IF(E216&gt;0,"Penyumbang KENAIKAN IPH","Penyumbang PENURUNAN IPH"),"-")</f>
        <v>Penyumbang PENURUNAN IPH</v>
      </c>
    </row>
    <row r="217" customFormat="false" ht="15" hidden="false" customHeight="false" outlineLevel="0" collapsed="false">
      <c r="A217" s="3" t="n">
        <v>4</v>
      </c>
      <c r="B217" s="5" t="str">
        <f aca="false">IFERROR(INDEX('Perhitungan IPH Mingguan 2025'!$B$6:$B$25,MATCH(LARGE('Perhitungan IPH Mingguan 2025'!$GO$6:$GO$25,4),'Perhitungan IPH Mingguan 2025'!$GO$6:$GO$25,0)),"-")</f>
        <v>cabai merah 01173012</v>
      </c>
      <c r="C217" s="20" t="n">
        <f aca="false">IFERROR(INDEX('Perhitungan IPH Mingguan 2025'!$C$6:$C$25,MATCH(LARGE('Perhitungan IPH Mingguan 2025'!$GO$6:$GO$25,4),'Perhitungan IPH Mingguan 2025'!$GO$6:$GO$25,0)),"")</f>
        <v>0.0110208839376634</v>
      </c>
      <c r="D217" s="14" t="n">
        <f aca="false">IFERROR(INDEX('Perhitungan IPH Mingguan 2025'!$CE$6:$CE$25,MATCH(LARGE('Perhitungan IPH Mingguan 2025'!$GO$6:$GO$25,4),'Perhitungan IPH Mingguan 2025'!$GO$6:$GO$25,0)),"")</f>
        <v>-21.0574712643678</v>
      </c>
      <c r="E217" s="4" t="n">
        <f aca="false">IFERROR(INDEX('Perhitungan IPH Mingguan 2025'!$CF$6:$CF$25,MATCH(LARGE('Perhitungan IPH Mingguan 2025'!$GO$6:$GO$25,4),'Perhitungan IPH Mingguan 2025'!$GO$6:$GO$25,0)),"")</f>
        <v>-0.23207194682528</v>
      </c>
      <c r="F217" s="21" t="str">
        <f aca="false">IF(ISNUMBER(E217),IF(E217&gt;0,"Penyumbang KENAIKAN IPH","Penyumbang PENURUNAN IPH"),"-")</f>
        <v>Penyumbang PENURUNAN IPH</v>
      </c>
    </row>
    <row r="218" customFormat="false" ht="15" hidden="false" customHeight="false" outlineLevel="0" collapsed="false">
      <c r="A218" s="3" t="n">
        <v>5</v>
      </c>
      <c r="B218" s="5" t="str">
        <f aca="false">IFERROR(INDEX('Perhitungan IPH Mingguan 2025'!$B$6:$B$25,MATCH(LARGE('Perhitungan IPH Mingguan 2025'!$GO$6:$GO$25,5),'Perhitungan IPH Mingguan 2025'!$GO$6:$GO$25,0)),"-")</f>
        <v>tempe 01194013</v>
      </c>
      <c r="C218" s="20" t="n">
        <f aca="false">IFERROR(INDEX('Perhitungan IPH Mingguan 2025'!$C$6:$C$25,MATCH(LARGE('Perhitungan IPH Mingguan 2025'!$GO$6:$GO$25,5),'Perhitungan IPH Mingguan 2025'!$GO$6:$GO$25,0)),"")</f>
        <v>0.0202825952223294</v>
      </c>
      <c r="D218" s="14" t="n">
        <f aca="false">IFERROR(INDEX('Perhitungan IPH Mingguan 2025'!$CE$6:$CE$25,MATCH(LARGE('Perhitungan IPH Mingguan 2025'!$GO$6:$GO$25,5),'Perhitungan IPH Mingguan 2025'!$GO$6:$GO$25,0)),"")</f>
        <v>-11.1111111111111</v>
      </c>
      <c r="E218" s="4" t="n">
        <f aca="false">IFERROR(INDEX('Perhitungan IPH Mingguan 2025'!$CF$6:$CF$25,MATCH(LARGE('Perhitungan IPH Mingguan 2025'!$GO$6:$GO$25,5),'Perhitungan IPH Mingguan 2025'!$GO$6:$GO$25,0)),"")</f>
        <v>-0.225362169136993</v>
      </c>
      <c r="F218" s="21" t="str">
        <f aca="false">IF(ISNUMBER(E218),IF(E218&gt;0,"Penyumbang KENAIKAN IPH","Penyumbang PENURUNAN IPH"),"-")</f>
        <v>Penyumbang PENURUNAN IPH</v>
      </c>
    </row>
    <row r="220" customFormat="false" ht="15" hidden="false" customHeight="false" outlineLevel="0" collapsed="false">
      <c r="A220" s="19" t="s">
        <v>294</v>
      </c>
      <c r="B220" s="19"/>
      <c r="C220" s="19"/>
      <c r="D220" s="19"/>
      <c r="E220" s="19"/>
      <c r="F220" s="19"/>
    </row>
    <row r="221" customFormat="false" ht="15" hidden="false" customHeight="false" outlineLevel="0" collapsed="false">
      <c r="A221" s="10" t="s">
        <v>263</v>
      </c>
      <c r="B221" s="10" t="s">
        <v>264</v>
      </c>
      <c r="C221" s="10" t="s">
        <v>174</v>
      </c>
      <c r="D221" s="10" t="s">
        <v>265</v>
      </c>
      <c r="E221" s="10" t="s">
        <v>266</v>
      </c>
      <c r="F221" s="10" t="s">
        <v>267</v>
      </c>
    </row>
    <row r="222" customFormat="false" ht="15" hidden="false" customHeight="false" outlineLevel="0" collapsed="false">
      <c r="A222" s="3" t="n">
        <v>1</v>
      </c>
      <c r="B222" s="5" t="str">
        <f aca="false">IFERROR(INDEX('Perhitungan IPH Mingguan 2025'!$B$6:$B$25,MATCH(LARGE('Perhitungan IPH Mingguan 2025'!$GP$6:$GP$25,1),'Perhitungan IPH Mingguan 2025'!$GP$6:$GP$25,0)),"-")</f>
        <v>daging ayam ras 1124003</v>
      </c>
      <c r="C222" s="20" t="n">
        <f aca="false">IFERROR(INDEX('Perhitungan IPH Mingguan 2025'!$C$6:$C$25,MATCH(LARGE('Perhitungan IPH Mingguan 2025'!$GP$6:$GP$25,1),'Perhitungan IPH Mingguan 2025'!$GP$6:$GP$25,0)),"")</f>
        <v>0.0479107777850277</v>
      </c>
      <c r="D222" s="14" t="n">
        <f aca="false">IFERROR(INDEX('Perhitungan IPH Mingguan 2025'!$CH$6:$CH$25,MATCH(LARGE('Perhitungan IPH Mingguan 2025'!$GP$6:$GP$25,1),'Perhitungan IPH Mingguan 2025'!$GP$6:$GP$25,0)),"")</f>
        <v>-13.8766519823789</v>
      </c>
      <c r="E222" s="4" t="n">
        <f aca="false">IFERROR(INDEX('Perhitungan IPH Mingguan 2025'!$CI$6:$CI$25,MATCH(LARGE('Perhitungan IPH Mingguan 2025'!$GP$6:$GP$25,1),'Perhitungan IPH Mingguan 2025'!$GP$6:$GP$25,0)),"")</f>
        <v>-0.664841189527917</v>
      </c>
      <c r="F222" s="21" t="str">
        <f aca="false">IF(ISNUMBER(E222),IF(E222&gt;0,"Penyumbang KENAIKAN IPH","Penyumbang PENURUNAN IPH"),"-")</f>
        <v>Penyumbang PENURUNAN IPH</v>
      </c>
    </row>
    <row r="223" customFormat="false" ht="15" hidden="false" customHeight="false" outlineLevel="0" collapsed="false">
      <c r="A223" s="3" t="n">
        <v>2</v>
      </c>
      <c r="B223" s="5" t="str">
        <f aca="false">IFERROR(INDEX('Perhitungan IPH Mingguan 2025'!$B$6:$B$25,MATCH(LARGE('Perhitungan IPH Mingguan 2025'!$GP$6:$GP$25,2),'Perhitungan IPH Mingguan 2025'!$GP$6:$GP$25,0)),"-")</f>
        <v>bawang merah 1174006</v>
      </c>
      <c r="C223" s="20" t="n">
        <f aca="false">IFERROR(INDEX('Perhitungan IPH Mingguan 2025'!$C$6:$C$25,MATCH(LARGE('Perhitungan IPH Mingguan 2025'!$GP$6:$GP$25,2),'Perhitungan IPH Mingguan 2025'!$GP$6:$GP$25,0)),"")</f>
        <v>0.0194434650422287</v>
      </c>
      <c r="D223" s="14" t="n">
        <f aca="false">IFERROR(INDEX('Perhitungan IPH Mingguan 2025'!$CH$6:$CH$25,MATCH(LARGE('Perhitungan IPH Mingguan 2025'!$GP$6:$GP$25,2),'Perhitungan IPH Mingguan 2025'!$GP$6:$GP$25,0)),"")</f>
        <v>-25.4980079681275</v>
      </c>
      <c r="E223" s="4" t="n">
        <f aca="false">IFERROR(INDEX('Perhitungan IPH Mingguan 2025'!$CI$6:$CI$25,MATCH(LARGE('Perhitungan IPH Mingguan 2025'!$GP$6:$GP$25,2),'Perhitungan IPH Mingguan 2025'!$GP$6:$GP$25,0)),"")</f>
        <v>-0.495769626574756</v>
      </c>
      <c r="F223" s="21" t="str">
        <f aca="false">IF(ISNUMBER(E223),IF(E223&gt;0,"Penyumbang KENAIKAN IPH","Penyumbang PENURUNAN IPH"),"-")</f>
        <v>Penyumbang PENURUNAN IPH</v>
      </c>
    </row>
    <row r="224" customFormat="false" ht="15" hidden="false" customHeight="false" outlineLevel="0" collapsed="false">
      <c r="A224" s="3" t="n">
        <v>3</v>
      </c>
      <c r="B224" s="5" t="str">
        <f aca="false">IFERROR(INDEX('Perhitungan IPH Mingguan 2025'!$B$6:$B$25,MATCH(LARGE('Perhitungan IPH Mingguan 2025'!$GP$6:$GP$25,3),'Perhitungan IPH Mingguan 2025'!$GP$6:$GP$25,0)),"-")</f>
        <v>daging sapi 01121001</v>
      </c>
      <c r="C224" s="20" t="n">
        <f aca="false">IFERROR(INDEX('Perhitungan IPH Mingguan 2025'!$C$6:$C$25,MATCH(LARGE('Perhitungan IPH Mingguan 2025'!$GP$6:$GP$25,3),'Perhitungan IPH Mingguan 2025'!$GP$6:$GP$25,0)),"")</f>
        <v>0.0598704213474298</v>
      </c>
      <c r="D224" s="14" t="n">
        <f aca="false">IFERROR(INDEX('Perhitungan IPH Mingguan 2025'!$CH$6:$CH$25,MATCH(LARGE('Perhitungan IPH Mingguan 2025'!$GP$6:$GP$25,3),'Perhitungan IPH Mingguan 2025'!$GP$6:$GP$25,0)),"")</f>
        <v>-4.91132332878582</v>
      </c>
      <c r="E224" s="4" t="n">
        <f aca="false">IFERROR(INDEX('Perhitungan IPH Mingguan 2025'!$CI$6:$CI$25,MATCH(LARGE('Perhitungan IPH Mingguan 2025'!$GP$6:$GP$25,3),'Perhitungan IPH Mingguan 2025'!$GP$6:$GP$25,0)),"")</f>
        <v>-0.294042997067869</v>
      </c>
      <c r="F224" s="21" t="str">
        <f aca="false">IF(ISNUMBER(E224),IF(E224&gt;0,"Penyumbang KENAIKAN IPH","Penyumbang PENURUNAN IPH"),"-")</f>
        <v>Penyumbang PENURUNAN IPH</v>
      </c>
    </row>
    <row r="225" customFormat="false" ht="15" hidden="false" customHeight="false" outlineLevel="0" collapsed="false">
      <c r="A225" s="3" t="n">
        <v>4</v>
      </c>
      <c r="B225" s="5" t="str">
        <f aca="false">IFERROR(INDEX('Perhitungan IPH Mingguan 2025'!$B$6:$B$25,MATCH(LARGE('Perhitungan IPH Mingguan 2025'!$GP$6:$GP$25,4),'Perhitungan IPH Mingguan 2025'!$GP$6:$GP$25,0)),"-")</f>
        <v>tempe 01194013</v>
      </c>
      <c r="C225" s="20" t="n">
        <f aca="false">IFERROR(INDEX('Perhitungan IPH Mingguan 2025'!$C$6:$C$25,MATCH(LARGE('Perhitungan IPH Mingguan 2025'!$GP$6:$GP$25,4),'Perhitungan IPH Mingguan 2025'!$GP$6:$GP$25,0)),"")</f>
        <v>0.0202825952223294</v>
      </c>
      <c r="D225" s="14" t="n">
        <f aca="false">IFERROR(INDEX('Perhitungan IPH Mingguan 2025'!$CH$6:$CH$25,MATCH(LARGE('Perhitungan IPH Mingguan 2025'!$GP$6:$GP$25,4),'Perhitungan IPH Mingguan 2025'!$GP$6:$GP$25,0)),"")</f>
        <v>-11.1111111111111</v>
      </c>
      <c r="E225" s="4" t="n">
        <f aca="false">IFERROR(INDEX('Perhitungan IPH Mingguan 2025'!$CI$6:$CI$25,MATCH(LARGE('Perhitungan IPH Mingguan 2025'!$GP$6:$GP$25,4),'Perhitungan IPH Mingguan 2025'!$GP$6:$GP$25,0)),"")</f>
        <v>-0.225362169136993</v>
      </c>
      <c r="F225" s="21" t="str">
        <f aca="false">IF(ISNUMBER(E225),IF(E225&gt;0,"Penyumbang KENAIKAN IPH","Penyumbang PENURUNAN IPH"),"-")</f>
        <v>Penyumbang PENURUNAN IPH</v>
      </c>
    </row>
    <row r="226" customFormat="false" ht="15" hidden="false" customHeight="false" outlineLevel="0" collapsed="false">
      <c r="A226" s="3" t="n">
        <v>5</v>
      </c>
      <c r="B226" s="5" t="str">
        <f aca="false">IFERROR(INDEX('Perhitungan IPH Mingguan 2025'!$B$6:$B$25,MATCH(LARGE('Perhitungan IPH Mingguan 2025'!$GP$6:$GP$25,5),'Perhitungan IPH Mingguan 2025'!$GP$6:$GP$25,0)),"-")</f>
        <v>tepung terigu 01115005</v>
      </c>
      <c r="C226" s="20" t="n">
        <f aca="false">IFERROR(INDEX('Perhitungan IPH Mingguan 2025'!$C$6:$C$25,MATCH(LARGE('Perhitungan IPH Mingguan 2025'!$GP$6:$GP$25,5),'Perhitungan IPH Mingguan 2025'!$GP$6:$GP$25,0)),"")</f>
        <v>0.00793664049050366</v>
      </c>
      <c r="D226" s="14" t="n">
        <f aca="false">IFERROR(INDEX('Perhitungan IPH Mingguan 2025'!$CH$6:$CH$25,MATCH(LARGE('Perhitungan IPH Mingguan 2025'!$GP$6:$GP$25,5),'Perhitungan IPH Mingguan 2025'!$GP$6:$GP$25,0)),"")</f>
        <v>26.3888888888889</v>
      </c>
      <c r="E226" s="4" t="n">
        <f aca="false">IFERROR(INDEX('Perhitungan IPH Mingguan 2025'!$CI$6:$CI$25,MATCH(LARGE('Perhitungan IPH Mingguan 2025'!$GP$6:$GP$25,5),'Perhitungan IPH Mingguan 2025'!$GP$6:$GP$25,0)),"")</f>
        <v>0.209439124054958</v>
      </c>
      <c r="F226" s="21" t="str">
        <f aca="false">IF(ISNUMBER(E226),IF(E226&gt;0,"Penyumbang KENAIKAN IPH","Penyumbang PENURUNAN IPH"),"-")</f>
        <v>Penyumbang KENAIKAN IPH</v>
      </c>
    </row>
    <row r="228" customFormat="false" ht="15" hidden="false" customHeight="false" outlineLevel="0" collapsed="false">
      <c r="A228" s="19" t="s">
        <v>295</v>
      </c>
      <c r="B228" s="19"/>
      <c r="C228" s="19"/>
      <c r="D228" s="19"/>
      <c r="E228" s="19"/>
      <c r="F228" s="19"/>
    </row>
    <row r="229" customFormat="false" ht="15" hidden="false" customHeight="false" outlineLevel="0" collapsed="false">
      <c r="A229" s="10" t="s">
        <v>263</v>
      </c>
      <c r="B229" s="10" t="s">
        <v>264</v>
      </c>
      <c r="C229" s="10" t="s">
        <v>174</v>
      </c>
      <c r="D229" s="10" t="s">
        <v>265</v>
      </c>
      <c r="E229" s="10" t="s">
        <v>266</v>
      </c>
      <c r="F229" s="10" t="s">
        <v>267</v>
      </c>
    </row>
    <row r="230" customFormat="false" ht="15" hidden="false" customHeight="false" outlineLevel="0" collapsed="false">
      <c r="A230" s="3" t="n">
        <v>1</v>
      </c>
      <c r="B230" s="5" t="str">
        <f aca="false">IFERROR(INDEX('Perhitungan IPH Mingguan 2025'!$B$6:$B$25,MATCH(LARGE('Perhitungan IPH Mingguan 2025'!$GQ$6:$GQ$25,1),'Perhitungan IPH Mingguan 2025'!$GQ$6:$GQ$25,0)),"-")</f>
        <v>bawang merah 1174006</v>
      </c>
      <c r="C230" s="20" t="n">
        <f aca="false">IFERROR(INDEX('Perhitungan IPH Mingguan 2025'!$C$6:$C$25,MATCH(LARGE('Perhitungan IPH Mingguan 2025'!$GQ$6:$GQ$25,1),'Perhitungan IPH Mingguan 2025'!$GQ$6:$GQ$25,0)),"")</f>
        <v>0.0194434650422287</v>
      </c>
      <c r="D230" s="14" t="n">
        <f aca="false">IFERROR(INDEX('Perhitungan IPH Mingguan 2025'!$CK$6:$CK$25,MATCH(LARGE('Perhitungan IPH Mingguan 2025'!$GQ$6:$GQ$25,1),'Perhitungan IPH Mingguan 2025'!$GQ$6:$GQ$25,0)),"")</f>
        <v>-12.0689655172414</v>
      </c>
      <c r="E230" s="4" t="n">
        <f aca="false">IFERROR(INDEX('Perhitungan IPH Mingguan 2025'!$CL$6:$CL$25,MATCH(LARGE('Perhitungan IPH Mingguan 2025'!$GQ$6:$GQ$25,1),'Perhitungan IPH Mingguan 2025'!$GQ$6:$GQ$25,0)),"")</f>
        <v>-0.234662509130346</v>
      </c>
      <c r="F230" s="21" t="str">
        <f aca="false">IF(ISNUMBER(E230),IF(E230&gt;0,"Penyumbang KENAIKAN IPH","Penyumbang PENURUNAN IPH"),"-")</f>
        <v>Penyumbang PENURUNAN IPH</v>
      </c>
    </row>
    <row r="231" customFormat="false" ht="15" hidden="false" customHeight="false" outlineLevel="0" collapsed="false">
      <c r="A231" s="3" t="n">
        <v>2</v>
      </c>
      <c r="B231" s="5" t="str">
        <f aca="false">IFERROR(INDEX('Perhitungan IPH Mingguan 2025'!$B$6:$B$25,MATCH(LARGE('Perhitungan IPH Mingguan 2025'!$GQ$6:$GQ$25,2),'Perhitungan IPH Mingguan 2025'!$GQ$6:$GQ$25,0)),"-")</f>
        <v>tepung terigu 01115005</v>
      </c>
      <c r="C231" s="20" t="n">
        <f aca="false">IFERROR(INDEX('Perhitungan IPH Mingguan 2025'!$C$6:$C$25,MATCH(LARGE('Perhitungan IPH Mingguan 2025'!$GQ$6:$GQ$25,2),'Perhitungan IPH Mingguan 2025'!$GQ$6:$GQ$25,0)),"")</f>
        <v>0.00793664049050366</v>
      </c>
      <c r="D231" s="14" t="n">
        <f aca="false">IFERROR(INDEX('Perhitungan IPH Mingguan 2025'!$CK$6:$CK$25,MATCH(LARGE('Perhitungan IPH Mingguan 2025'!$GQ$6:$GQ$25,2),'Perhitungan IPH Mingguan 2025'!$GQ$6:$GQ$25,0)),"")</f>
        <v>20.3076923076923</v>
      </c>
      <c r="E231" s="4" t="n">
        <f aca="false">IFERROR(INDEX('Perhitungan IPH Mingguan 2025'!$CL$6:$CL$25,MATCH(LARGE('Perhitungan IPH Mingguan 2025'!$GQ$6:$GQ$25,2),'Perhitungan IPH Mingguan 2025'!$GQ$6:$GQ$25,0)),"")</f>
        <v>0.161174853037921</v>
      </c>
      <c r="F231" s="21" t="str">
        <f aca="false">IF(ISNUMBER(E231),IF(E231&gt;0,"Penyumbang KENAIKAN IPH","Penyumbang PENURUNAN IPH"),"-")</f>
        <v>Penyumbang KENAIKAN IPH</v>
      </c>
    </row>
    <row r="232" customFormat="false" ht="15" hidden="false" customHeight="false" outlineLevel="0" collapsed="false">
      <c r="A232" s="3" t="n">
        <v>3</v>
      </c>
      <c r="B232" s="5" t="str">
        <f aca="false">IFERROR(INDEX('Perhitungan IPH Mingguan 2025'!$B$6:$B$25,MATCH(LARGE('Perhitungan IPH Mingguan 2025'!$GQ$6:$GQ$25,3),'Perhitungan IPH Mingguan 2025'!$GQ$6:$GQ$25,0)),"-")</f>
        <v>cabai merah 01173012</v>
      </c>
      <c r="C232" s="20" t="n">
        <f aca="false">IFERROR(INDEX('Perhitungan IPH Mingguan 2025'!$C$6:$C$25,MATCH(LARGE('Perhitungan IPH Mingguan 2025'!$GQ$6:$GQ$25,3),'Perhitungan IPH Mingguan 2025'!$GQ$6:$GQ$25,0)),"")</f>
        <v>0.0110208839376634</v>
      </c>
      <c r="D232" s="14" t="n">
        <f aca="false">IFERROR(INDEX('Perhitungan IPH Mingguan 2025'!$CK$6:$CK$25,MATCH(LARGE('Perhitungan IPH Mingguan 2025'!$GQ$6:$GQ$25,3),'Perhitungan IPH Mingguan 2025'!$GQ$6:$GQ$25,0)),"")</f>
        <v>-10.6812933025404</v>
      </c>
      <c r="E232" s="4" t="n">
        <f aca="false">IFERROR(INDEX('Perhitungan IPH Mingguan 2025'!$CL$6:$CL$25,MATCH(LARGE('Perhitungan IPH Mingguan 2025'!$GQ$6:$GQ$25,3),'Perhitungan IPH Mingguan 2025'!$GQ$6:$GQ$25,0)),"")</f>
        <v>-0.117717293791439</v>
      </c>
      <c r="F232" s="21" t="str">
        <f aca="false">IF(ISNUMBER(E232),IF(E232&gt;0,"Penyumbang KENAIKAN IPH","Penyumbang PENURUNAN IPH"),"-")</f>
        <v>Penyumbang PENURUNAN IPH</v>
      </c>
    </row>
    <row r="233" customFormat="false" ht="15" hidden="false" customHeight="false" outlineLevel="0" collapsed="false">
      <c r="A233" s="3" t="n">
        <v>4</v>
      </c>
      <c r="B233" s="5" t="str">
        <f aca="false">IFERROR(INDEX('Perhitungan IPH Mingguan 2025'!$B$6:$B$25,MATCH(LARGE('Perhitungan IPH Mingguan 2025'!$GQ$6:$GQ$25,4),'Perhitungan IPH Mingguan 2025'!$GQ$6:$GQ$25,0)),"-")</f>
        <v>daging ayam ras 1124003</v>
      </c>
      <c r="C233" s="20" t="n">
        <f aca="false">IFERROR(INDEX('Perhitungan IPH Mingguan 2025'!$C$6:$C$25,MATCH(LARGE('Perhitungan IPH Mingguan 2025'!$GQ$6:$GQ$25,4),'Perhitungan IPH Mingguan 2025'!$GQ$6:$GQ$25,0)),"")</f>
        <v>0.0479107777850277</v>
      </c>
      <c r="D233" s="14" t="n">
        <f aca="false">IFERROR(INDEX('Perhitungan IPH Mingguan 2025'!$CK$6:$CK$25,MATCH(LARGE('Perhitungan IPH Mingguan 2025'!$GQ$6:$GQ$25,4),'Perhitungan IPH Mingguan 2025'!$GQ$6:$GQ$25,0)),"")</f>
        <v>2.19653179190752</v>
      </c>
      <c r="E233" s="4" t="n">
        <f aca="false">IFERROR(INDEX('Perhitungan IPH Mingguan 2025'!$CL$6:$CL$25,MATCH(LARGE('Perhitungan IPH Mingguan 2025'!$GQ$6:$GQ$25,4),'Perhitungan IPH Mingguan 2025'!$GQ$6:$GQ$25,0)),"")</f>
        <v>0.10523754657983</v>
      </c>
      <c r="F233" s="21" t="str">
        <f aca="false">IF(ISNUMBER(E233),IF(E233&gt;0,"Penyumbang KENAIKAN IPH","Penyumbang PENURUNAN IPH"),"-")</f>
        <v>Penyumbang KENAIKAN IPH</v>
      </c>
    </row>
    <row r="234" customFormat="false" ht="15" hidden="false" customHeight="false" outlineLevel="0" collapsed="false">
      <c r="A234" s="3" t="n">
        <v>5</v>
      </c>
      <c r="B234" s="5" t="str">
        <f aca="false">IFERROR(INDEX('Perhitungan IPH Mingguan 2025'!$B$6:$B$25,MATCH(LARGE('Perhitungan IPH Mingguan 2025'!$GQ$6:$GQ$25,5),'Perhitungan IPH Mingguan 2025'!$GQ$6:$GQ$25,0)),"-")</f>
        <v>daging sapi 01121001</v>
      </c>
      <c r="C234" s="20" t="n">
        <f aca="false">IFERROR(INDEX('Perhitungan IPH Mingguan 2025'!$C$6:$C$25,MATCH(LARGE('Perhitungan IPH Mingguan 2025'!$GQ$6:$GQ$25,5),'Perhitungan IPH Mingguan 2025'!$GQ$6:$GQ$25,0)),"")</f>
        <v>0.0598704213474298</v>
      </c>
      <c r="D234" s="14" t="n">
        <f aca="false">IFERROR(INDEX('Perhitungan IPH Mingguan 2025'!$CK$6:$CK$25,MATCH(LARGE('Perhitungan IPH Mingguan 2025'!$GQ$6:$GQ$25,5),'Perhitungan IPH Mingguan 2025'!$GQ$6:$GQ$25,0)),"")</f>
        <v>-1.35626398210291</v>
      </c>
      <c r="E234" s="4" t="n">
        <f aca="false">IFERROR(INDEX('Perhitungan IPH Mingguan 2025'!$CL$6:$CL$25,MATCH(LARGE('Perhitungan IPH Mingguan 2025'!$GQ$6:$GQ$25,5),'Perhitungan IPH Mingguan 2025'!$GQ$6:$GQ$25,0)),"")</f>
        <v>-0.0812000960668445</v>
      </c>
      <c r="F234" s="21" t="str">
        <f aca="false">IF(ISNUMBER(E234),IF(E234&gt;0,"Penyumbang KENAIKAN IPH","Penyumbang PENURUNAN IPH"),"-")</f>
        <v>Penyumbang PENURUNAN IPH</v>
      </c>
    </row>
    <row r="236" customFormat="false" ht="15" hidden="false" customHeight="false" outlineLevel="0" collapsed="false">
      <c r="A236" s="19" t="s">
        <v>296</v>
      </c>
      <c r="B236" s="19"/>
      <c r="C236" s="19"/>
      <c r="D236" s="19"/>
      <c r="E236" s="19"/>
      <c r="F236" s="19"/>
    </row>
    <row r="237" customFormat="false" ht="15" hidden="false" customHeight="false" outlineLevel="0" collapsed="false">
      <c r="A237" s="10" t="s">
        <v>263</v>
      </c>
      <c r="B237" s="10" t="s">
        <v>264</v>
      </c>
      <c r="C237" s="10" t="s">
        <v>174</v>
      </c>
      <c r="D237" s="10" t="s">
        <v>265</v>
      </c>
      <c r="E237" s="10" t="s">
        <v>266</v>
      </c>
      <c r="F237" s="10" t="s">
        <v>267</v>
      </c>
    </row>
    <row r="238" customFormat="false" ht="15" hidden="false" customHeight="false" outlineLevel="0" collapsed="false">
      <c r="A238" s="3" t="n">
        <v>1</v>
      </c>
      <c r="B238" s="5" t="str">
        <f aca="false">IFERROR(INDEX('Perhitungan IPH Mingguan 2025'!$B$6:$B$25,MATCH(LARGE('Perhitungan IPH Mingguan 2025'!$GR$6:$GR$25,1),'Perhitungan IPH Mingguan 2025'!$GR$6:$GR$25,0)),"-")</f>
        <v>daging ayam ras 1124003</v>
      </c>
      <c r="C238" s="20" t="n">
        <f aca="false">IFERROR(INDEX('Perhitungan IPH Mingguan 2025'!$C$6:$C$25,MATCH(LARGE('Perhitungan IPH Mingguan 2025'!$GR$6:$GR$25,1),'Perhitungan IPH Mingguan 2025'!$GR$6:$GR$25,0)),"")</f>
        <v>0.0479107777850277</v>
      </c>
      <c r="D238" s="14" t="n">
        <f aca="false">IFERROR(INDEX('Perhitungan IPH Mingguan 2025'!$CN$6:$CN$25,MATCH(LARGE('Perhitungan IPH Mingguan 2025'!$GR$6:$GR$25,1),'Perhitungan IPH Mingguan 2025'!$GR$6:$GR$25,0)),"")</f>
        <v>17.9190751445087</v>
      </c>
      <c r="E238" s="4" t="n">
        <f aca="false">IFERROR(INDEX('Perhitungan IPH Mingguan 2025'!$CO$6:$CO$25,MATCH(LARGE('Perhitungan IPH Mingguan 2025'!$GR$6:$GR$25,1),'Perhitungan IPH Mingguan 2025'!$GR$6:$GR$25,0)),"")</f>
        <v>0.858516827361768</v>
      </c>
      <c r="F238" s="21" t="str">
        <f aca="false">IF(ISNUMBER(E238),IF(E238&gt;0,"Penyumbang KENAIKAN IPH","Penyumbang PENURUNAN IPH"),"-")</f>
        <v>Penyumbang KENAIKAN IPH</v>
      </c>
    </row>
    <row r="239" customFormat="false" ht="15" hidden="false" customHeight="false" outlineLevel="0" collapsed="false">
      <c r="A239" s="3" t="n">
        <v>2</v>
      </c>
      <c r="B239" s="5" t="str">
        <f aca="false">IFERROR(INDEX('Perhitungan IPH Mingguan 2025'!$B$6:$B$25,MATCH(LARGE('Perhitungan IPH Mingguan 2025'!$GR$6:$GR$25,2),'Perhitungan IPH Mingguan 2025'!$GR$6:$GR$25,0)),"-")</f>
        <v>cabai rawit 01173013</v>
      </c>
      <c r="C239" s="20" t="n">
        <f aca="false">IFERROR(INDEX('Perhitungan IPH Mingguan 2025'!$C$6:$C$25,MATCH(LARGE('Perhitungan IPH Mingguan 2025'!$GR$6:$GR$25,2),'Perhitungan IPH Mingguan 2025'!$GR$6:$GR$25,0)),"")</f>
        <v>0.0177017323628706</v>
      </c>
      <c r="D239" s="14" t="n">
        <f aca="false">IFERROR(INDEX('Perhitungan IPH Mingguan 2025'!$CN$6:$CN$25,MATCH(LARGE('Perhitungan IPH Mingguan 2025'!$GR$6:$GR$25,2),'Perhitungan IPH Mingguan 2025'!$GR$6:$GR$25,0)),"")</f>
        <v>21.5420560747664</v>
      </c>
      <c r="E239" s="4" t="n">
        <f aca="false">IFERROR(INDEX('Perhitungan IPH Mingguan 2025'!$CO$6:$CO$25,MATCH(LARGE('Perhitungan IPH Mingguan 2025'!$GR$6:$GR$25,2),'Perhitungan IPH Mingguan 2025'!$GR$6:$GR$25,0)),"")</f>
        <v>0.381331711181465</v>
      </c>
      <c r="F239" s="21" t="str">
        <f aca="false">IF(ISNUMBER(E239),IF(E239&gt;0,"Penyumbang KENAIKAN IPH","Penyumbang PENURUNAN IPH"),"-")</f>
        <v>Penyumbang KENAIKAN IPH</v>
      </c>
    </row>
    <row r="240" customFormat="false" ht="15" hidden="false" customHeight="false" outlineLevel="0" collapsed="false">
      <c r="A240" s="3" t="n">
        <v>3</v>
      </c>
      <c r="B240" s="5" t="str">
        <f aca="false">IFERROR(INDEX('Perhitungan IPH Mingguan 2025'!$B$6:$B$25,MATCH(LARGE('Perhitungan IPH Mingguan 2025'!$GR$6:$GR$25,3),'Perhitungan IPH Mingguan 2025'!$GR$6:$GR$25,0)),"-")</f>
        <v>tepung terigu 01115005</v>
      </c>
      <c r="C240" s="20" t="n">
        <f aca="false">IFERROR(INDEX('Perhitungan IPH Mingguan 2025'!$C$6:$C$25,MATCH(LARGE('Perhitungan IPH Mingguan 2025'!$GR$6:$GR$25,3),'Perhitungan IPH Mingguan 2025'!$GR$6:$GR$25,0)),"")</f>
        <v>0.00793664049050366</v>
      </c>
      <c r="D240" s="14" t="n">
        <f aca="false">IFERROR(INDEX('Perhitungan IPH Mingguan 2025'!$CN$6:$CN$25,MATCH(LARGE('Perhitungan IPH Mingguan 2025'!$GR$6:$GR$25,3),'Perhitungan IPH Mingguan 2025'!$GR$6:$GR$25,0)),"")</f>
        <v>20.3076923076923</v>
      </c>
      <c r="E240" s="4" t="n">
        <f aca="false">IFERROR(INDEX('Perhitungan IPH Mingguan 2025'!$CO$6:$CO$25,MATCH(LARGE('Perhitungan IPH Mingguan 2025'!$GR$6:$GR$25,3),'Perhitungan IPH Mingguan 2025'!$GR$6:$GR$25,0)),"")</f>
        <v>0.161174853037921</v>
      </c>
      <c r="F240" s="21" t="str">
        <f aca="false">IF(ISNUMBER(E240),IF(E240&gt;0,"Penyumbang KENAIKAN IPH","Penyumbang PENURUNAN IPH"),"-")</f>
        <v>Penyumbang KENAIKAN IPH</v>
      </c>
    </row>
    <row r="241" customFormat="false" ht="15" hidden="false" customHeight="false" outlineLevel="0" collapsed="false">
      <c r="A241" s="3" t="n">
        <v>4</v>
      </c>
      <c r="B241" s="5" t="str">
        <f aca="false">IFERROR(INDEX('Perhitungan IPH Mingguan 2025'!$B$6:$B$25,MATCH(LARGE('Perhitungan IPH Mingguan 2025'!$GR$6:$GR$25,4),'Perhitungan IPH Mingguan 2025'!$GR$6:$GR$25,0)),"-")</f>
        <v>daging sapi 01121001</v>
      </c>
      <c r="C241" s="20" t="n">
        <f aca="false">IFERROR(INDEX('Perhitungan IPH Mingguan 2025'!$C$6:$C$25,MATCH(LARGE('Perhitungan IPH Mingguan 2025'!$GR$6:$GR$25,4),'Perhitungan IPH Mingguan 2025'!$GR$6:$GR$25,0)),"")</f>
        <v>0.0598704213474298</v>
      </c>
      <c r="D241" s="14" t="n">
        <f aca="false">IFERROR(INDEX('Perhitungan IPH Mingguan 2025'!$CN$6:$CN$25,MATCH(LARGE('Perhitungan IPH Mingguan 2025'!$GR$6:$GR$25,4),'Perhitungan IPH Mingguan 2025'!$GR$6:$GR$25,0)),"")</f>
        <v>2.20917225950782</v>
      </c>
      <c r="E241" s="4" t="n">
        <f aca="false">IFERROR(INDEX('Perhitungan IPH Mingguan 2025'!$CO$6:$CO$25,MATCH(LARGE('Perhitungan IPH Mingguan 2025'!$GR$6:$GR$25,4),'Perhitungan IPH Mingguan 2025'!$GR$6:$GR$25,0)),"")</f>
        <v>0.132264074005787</v>
      </c>
      <c r="F241" s="21" t="str">
        <f aca="false">IF(ISNUMBER(E241),IF(E241&gt;0,"Penyumbang KENAIKAN IPH","Penyumbang PENURUNAN IPH"),"-")</f>
        <v>Penyumbang KENAIKAN IPH</v>
      </c>
    </row>
    <row r="242" customFormat="false" ht="15" hidden="false" customHeight="false" outlineLevel="0" collapsed="false">
      <c r="A242" s="3" t="n">
        <v>5</v>
      </c>
      <c r="B242" s="5" t="str">
        <f aca="false">IFERROR(INDEX('Perhitungan IPH Mingguan 2025'!$B$6:$B$25,MATCH(LARGE('Perhitungan IPH Mingguan 2025'!$GR$6:$GR$25,5),'Perhitungan IPH Mingguan 2025'!$GR$6:$GR$25,0)),"-")</f>
        <v>telur ayam ras 01147002</v>
      </c>
      <c r="C242" s="20" t="n">
        <f aca="false">IFERROR(INDEX('Perhitungan IPH Mingguan 2025'!$C$6:$C$25,MATCH(LARGE('Perhitungan IPH Mingguan 2025'!$GR$6:$GR$25,5),'Perhitungan IPH Mingguan 2025'!$GR$6:$GR$25,0)),"")</f>
        <v>0.0298777910794593</v>
      </c>
      <c r="D242" s="14" t="n">
        <f aca="false">IFERROR(INDEX('Perhitungan IPH Mingguan 2025'!$CN$6:$CN$25,MATCH(LARGE('Perhitungan IPH Mingguan 2025'!$GR$6:$GR$25,5),'Perhitungan IPH Mingguan 2025'!$GR$6:$GR$25,0)),"")</f>
        <v>3.95989974937343</v>
      </c>
      <c r="E242" s="4" t="n">
        <f aca="false">IFERROR(INDEX('Perhitungan IPH Mingguan 2025'!$CO$6:$CO$25,MATCH(LARGE('Perhitungan IPH Mingguan 2025'!$GR$6:$GR$25,5),'Perhitungan IPH Mingguan 2025'!$GR$6:$GR$25,0)),"")</f>
        <v>0.118313057407383</v>
      </c>
      <c r="F242" s="21" t="str">
        <f aca="false">IF(ISNUMBER(E242),IF(E242&gt;0,"Penyumbang KENAIKAN IPH","Penyumbang PENURUNAN IPH"),"-")</f>
        <v>Penyumbang KENAIKAN IPH</v>
      </c>
    </row>
    <row r="244" customFormat="false" ht="15" hidden="false" customHeight="false" outlineLevel="0" collapsed="false">
      <c r="A244" s="19" t="s">
        <v>297</v>
      </c>
      <c r="B244" s="19"/>
      <c r="C244" s="19"/>
      <c r="D244" s="19"/>
      <c r="E244" s="19"/>
      <c r="F244" s="19"/>
    </row>
    <row r="245" customFormat="false" ht="15" hidden="false" customHeight="false" outlineLevel="0" collapsed="false">
      <c r="A245" s="10" t="s">
        <v>263</v>
      </c>
      <c r="B245" s="10" t="s">
        <v>264</v>
      </c>
      <c r="C245" s="10" t="s">
        <v>174</v>
      </c>
      <c r="D245" s="10" t="s">
        <v>265</v>
      </c>
      <c r="E245" s="10" t="s">
        <v>266</v>
      </c>
      <c r="F245" s="10" t="s">
        <v>267</v>
      </c>
    </row>
    <row r="246" customFormat="false" ht="15" hidden="false" customHeight="false" outlineLevel="0" collapsed="false">
      <c r="A246" s="3" t="n">
        <v>1</v>
      </c>
      <c r="B246" s="5" t="str">
        <f aca="false">IFERROR(INDEX('Perhitungan IPH Mingguan 2025'!$B$6:$B$25,MATCH(LARGE('Perhitungan IPH Mingguan 2025'!$GS$6:$GS$25,1),'Perhitungan IPH Mingguan 2025'!$GS$6:$GS$25,0)),"-")</f>
        <v>daging ayam ras 1124003</v>
      </c>
      <c r="C246" s="20" t="n">
        <f aca="false">IFERROR(INDEX('Perhitungan IPH Mingguan 2025'!$C$6:$C$25,MATCH(LARGE('Perhitungan IPH Mingguan 2025'!$GS$6:$GS$25,1),'Perhitungan IPH Mingguan 2025'!$GS$6:$GS$25,0)),"")</f>
        <v>0.0479107777850277</v>
      </c>
      <c r="D246" s="14" t="n">
        <f aca="false">IFERROR(INDEX('Perhitungan IPH Mingguan 2025'!$CQ$6:$CQ$25,MATCH(LARGE('Perhitungan IPH Mingguan 2025'!$GS$6:$GS$25,1),'Perhitungan IPH Mingguan 2025'!$GS$6:$GS$25,0)),"")</f>
        <v>14.7745664739884</v>
      </c>
      <c r="E246" s="4" t="n">
        <f aca="false">IFERROR(INDEX('Perhitungan IPH Mingguan 2025'!$CR$6:$CR$25,MATCH(LARGE('Perhitungan IPH Mingguan 2025'!$GS$6:$GS$25,1),'Perhitungan IPH Mingguan 2025'!$GS$6:$GS$25,0)),"")</f>
        <v>0.707860971205381</v>
      </c>
      <c r="F246" s="21" t="str">
        <f aca="false">IF(ISNUMBER(E246),IF(E246&gt;0,"Penyumbang KENAIKAN IPH","Penyumbang PENURUNAN IPH"),"-")</f>
        <v>Penyumbang KENAIKAN IPH</v>
      </c>
    </row>
    <row r="247" customFormat="false" ht="15" hidden="false" customHeight="false" outlineLevel="0" collapsed="false">
      <c r="A247" s="3" t="n">
        <v>2</v>
      </c>
      <c r="B247" s="5" t="str">
        <f aca="false">IFERROR(INDEX('Perhitungan IPH Mingguan 2025'!$B$6:$B$25,MATCH(LARGE('Perhitungan IPH Mingguan 2025'!$GS$6:$GS$25,2),'Perhitungan IPH Mingguan 2025'!$GS$6:$GS$25,0)),"-")</f>
        <v>cabai rawit 01173013</v>
      </c>
      <c r="C247" s="20" t="n">
        <f aca="false">IFERROR(INDEX('Perhitungan IPH Mingguan 2025'!$C$6:$C$25,MATCH(LARGE('Perhitungan IPH Mingguan 2025'!$GS$6:$GS$25,2),'Perhitungan IPH Mingguan 2025'!$GS$6:$GS$25,0)),"")</f>
        <v>0.0177017323628706</v>
      </c>
      <c r="D247" s="14" t="n">
        <f aca="false">IFERROR(INDEX('Perhitungan IPH Mingguan 2025'!$CQ$6:$CQ$25,MATCH(LARGE('Perhitungan IPH Mingguan 2025'!$GS$6:$GS$25,2),'Perhitungan IPH Mingguan 2025'!$GS$6:$GS$25,0)),"")</f>
        <v>19.9532710280374</v>
      </c>
      <c r="E247" s="4" t="n">
        <f aca="false">IFERROR(INDEX('Perhitungan IPH Mingguan 2025'!$CR$6:$CR$25,MATCH(LARGE('Perhitungan IPH Mingguan 2025'!$GS$6:$GS$25,2),'Perhitungan IPH Mingguan 2025'!$GS$6:$GS$25,0)),"")</f>
        <v>0.353207463502138</v>
      </c>
      <c r="F247" s="21" t="str">
        <f aca="false">IF(ISNUMBER(E247),IF(E247&gt;0,"Penyumbang KENAIKAN IPH","Penyumbang PENURUNAN IPH"),"-")</f>
        <v>Penyumbang KENAIKAN IPH</v>
      </c>
    </row>
    <row r="248" customFormat="false" ht="15" hidden="false" customHeight="false" outlineLevel="0" collapsed="false">
      <c r="A248" s="3" t="n">
        <v>3</v>
      </c>
      <c r="B248" s="5" t="str">
        <f aca="false">IFERROR(INDEX('Perhitungan IPH Mingguan 2025'!$B$6:$B$25,MATCH(LARGE('Perhitungan IPH Mingguan 2025'!$GS$6:$GS$25,3),'Perhitungan IPH Mingguan 2025'!$GS$6:$GS$25,0)),"-")</f>
        <v>tepung terigu 01115005</v>
      </c>
      <c r="C248" s="20" t="n">
        <f aca="false">IFERROR(INDEX('Perhitungan IPH Mingguan 2025'!$C$6:$C$25,MATCH(LARGE('Perhitungan IPH Mingguan 2025'!$GS$6:$GS$25,3),'Perhitungan IPH Mingguan 2025'!$GS$6:$GS$25,0)),"")</f>
        <v>0.00793664049050366</v>
      </c>
      <c r="D248" s="14" t="n">
        <f aca="false">IFERROR(INDEX('Perhitungan IPH Mingguan 2025'!$CQ$6:$CQ$25,MATCH(LARGE('Perhitungan IPH Mingguan 2025'!$GS$6:$GS$25,3),'Perhitungan IPH Mingguan 2025'!$GS$6:$GS$25,0)),"")</f>
        <v>20.3076923076923</v>
      </c>
      <c r="E248" s="4" t="n">
        <f aca="false">IFERROR(INDEX('Perhitungan IPH Mingguan 2025'!$CR$6:$CR$25,MATCH(LARGE('Perhitungan IPH Mingguan 2025'!$GS$6:$GS$25,3),'Perhitungan IPH Mingguan 2025'!$GS$6:$GS$25,0)),"")</f>
        <v>0.161174853037921</v>
      </c>
      <c r="F248" s="21" t="str">
        <f aca="false">IF(ISNUMBER(E248),IF(E248&gt;0,"Penyumbang KENAIKAN IPH","Penyumbang PENURUNAN IPH"),"-")</f>
        <v>Penyumbang KENAIKAN IPH</v>
      </c>
    </row>
    <row r="249" customFormat="false" ht="15" hidden="false" customHeight="false" outlineLevel="0" collapsed="false">
      <c r="A249" s="3" t="n">
        <v>4</v>
      </c>
      <c r="B249" s="5" t="str">
        <f aca="false">IFERROR(INDEX('Perhitungan IPH Mingguan 2025'!$B$6:$B$25,MATCH(LARGE('Perhitungan IPH Mingguan 2025'!$GS$6:$GS$25,4),'Perhitungan IPH Mingguan 2025'!$GS$6:$GS$25,0)),"-")</f>
        <v>cabai merah 01173012</v>
      </c>
      <c r="C249" s="20" t="n">
        <f aca="false">IFERROR(INDEX('Perhitungan IPH Mingguan 2025'!$C$6:$C$25,MATCH(LARGE('Perhitungan IPH Mingguan 2025'!$GS$6:$GS$25,4),'Perhitungan IPH Mingguan 2025'!$GS$6:$GS$25,0)),"")</f>
        <v>0.0110208839376634</v>
      </c>
      <c r="D249" s="14" t="n">
        <f aca="false">IFERROR(INDEX('Perhitungan IPH Mingguan 2025'!$CQ$6:$CQ$25,MATCH(LARGE('Perhitungan IPH Mingguan 2025'!$GS$6:$GS$25,4),'Perhitungan IPH Mingguan 2025'!$GS$6:$GS$25,0)),"")</f>
        <v>-9.30715935334873</v>
      </c>
      <c r="E249" s="4" t="n">
        <f aca="false">IFERROR(INDEX('Perhitungan IPH Mingguan 2025'!$CR$6:$CR$25,MATCH(LARGE('Perhitungan IPH Mingguan 2025'!$GS$6:$GS$25,4),'Perhitungan IPH Mingguan 2025'!$GS$6:$GS$25,0)),"")</f>
        <v>-0.102573123022595</v>
      </c>
      <c r="F249" s="21" t="str">
        <f aca="false">IF(ISNUMBER(E249),IF(E249&gt;0,"Penyumbang KENAIKAN IPH","Penyumbang PENURUNAN IPH"),"-")</f>
        <v>Penyumbang PENURUNAN IPH</v>
      </c>
    </row>
    <row r="250" customFormat="false" ht="15" hidden="false" customHeight="false" outlineLevel="0" collapsed="false">
      <c r="A250" s="3" t="n">
        <v>5</v>
      </c>
      <c r="B250" s="5" t="str">
        <f aca="false">IFERROR(INDEX('Perhitungan IPH Mingguan 2025'!$B$6:$B$25,MATCH(LARGE('Perhitungan IPH Mingguan 2025'!$GS$6:$GS$25,5),'Perhitungan IPH Mingguan 2025'!$GS$6:$GS$25,0)),"-")</f>
        <v>telur ayam ras 01147002</v>
      </c>
      <c r="C250" s="20" t="n">
        <f aca="false">IFERROR(INDEX('Perhitungan IPH Mingguan 2025'!$C$6:$C$25,MATCH(LARGE('Perhitungan IPH Mingguan 2025'!$GS$6:$GS$25,5),'Perhitungan IPH Mingguan 2025'!$GS$6:$GS$25,0)),"")</f>
        <v>0.0298777910794593</v>
      </c>
      <c r="D250" s="14" t="n">
        <f aca="false">IFERROR(INDEX('Perhitungan IPH Mingguan 2025'!$CQ$6:$CQ$25,MATCH(LARGE('Perhitungan IPH Mingguan 2025'!$GS$6:$GS$25,5),'Perhitungan IPH Mingguan 2025'!$GS$6:$GS$25,0)),"")</f>
        <v>3.10776942355889</v>
      </c>
      <c r="E250" s="4" t="n">
        <f aca="false">IFERROR(INDEX('Perhitungan IPH Mingguan 2025'!$CR$6:$CR$25,MATCH(LARGE('Perhitungan IPH Mingguan 2025'!$GS$6:$GS$25,5),'Perhitungan IPH Mingguan 2025'!$GS$6:$GS$25,0)),"")</f>
        <v>0.0928532855602242</v>
      </c>
      <c r="F250" s="21" t="str">
        <f aca="false">IF(ISNUMBER(E250),IF(E250&gt;0,"Penyumbang KENAIKAN IPH","Penyumbang PENURUNAN IPH"),"-")</f>
        <v>Penyumbang KENAIKAN IPH</v>
      </c>
    </row>
    <row r="252" customFormat="false" ht="15" hidden="false" customHeight="false" outlineLevel="0" collapsed="false">
      <c r="A252" s="19" t="s">
        <v>298</v>
      </c>
      <c r="B252" s="19"/>
      <c r="C252" s="19"/>
      <c r="D252" s="19"/>
      <c r="E252" s="19"/>
      <c r="F252" s="19"/>
    </row>
    <row r="253" customFormat="false" ht="15" hidden="false" customHeight="false" outlineLevel="0" collapsed="false">
      <c r="A253" s="10" t="s">
        <v>263</v>
      </c>
      <c r="B253" s="10" t="s">
        <v>264</v>
      </c>
      <c r="C253" s="10" t="s">
        <v>174</v>
      </c>
      <c r="D253" s="10" t="s">
        <v>265</v>
      </c>
      <c r="E253" s="10" t="s">
        <v>266</v>
      </c>
      <c r="F253" s="10" t="s">
        <v>267</v>
      </c>
    </row>
    <row r="254" customFormat="false" ht="15" hidden="false" customHeight="false" outlineLevel="0" collapsed="false">
      <c r="A254" s="3" t="n">
        <v>1</v>
      </c>
      <c r="B254" s="5" t="str">
        <f aca="false">IFERROR(INDEX('Perhitungan IPH Mingguan 2025'!$B$6:$B$25,MATCH(LARGE('Perhitungan IPH Mingguan 2025'!$GT$6:$GT$25,1),'Perhitungan IPH Mingguan 2025'!$GT$6:$GT$25,0)),"-")</f>
        <v>daging ayam ras 1124003</v>
      </c>
      <c r="C254" s="20" t="n">
        <f aca="false">IFERROR(INDEX('Perhitungan IPH Mingguan 2025'!$C$6:$C$25,MATCH(LARGE('Perhitungan IPH Mingguan 2025'!$GT$6:$GT$25,1),'Perhitungan IPH Mingguan 2025'!$GT$6:$GT$25,0)),"")</f>
        <v>0.0479107777850277</v>
      </c>
      <c r="D254" s="14" t="n">
        <f aca="false">IFERROR(INDEX('Perhitungan IPH Mingguan 2025'!$CT$6:$CT$25,MATCH(LARGE('Perhitungan IPH Mingguan 2025'!$GT$6:$GT$25,1),'Perhitungan IPH Mingguan 2025'!$GT$6:$GT$25,0)),"")</f>
        <v>17.9190751445087</v>
      </c>
      <c r="E254" s="4" t="n">
        <f aca="false">IFERROR(INDEX('Perhitungan IPH Mingguan 2025'!$CU$6:$CU$25,MATCH(LARGE('Perhitungan IPH Mingguan 2025'!$GT$6:$GT$25,1),'Perhitungan IPH Mingguan 2025'!$GT$6:$GT$25,0)),"")</f>
        <v>0.858516827361768</v>
      </c>
      <c r="F254" s="21" t="str">
        <f aca="false">IF(ISNUMBER(E254),IF(E254&gt;0,"Penyumbang KENAIKAN IPH","Penyumbang PENURUNAN IPH"),"-")</f>
        <v>Penyumbang KENAIKAN IPH</v>
      </c>
    </row>
    <row r="255" customFormat="false" ht="15" hidden="false" customHeight="false" outlineLevel="0" collapsed="false">
      <c r="A255" s="3" t="n">
        <v>2</v>
      </c>
      <c r="B255" s="5" t="str">
        <f aca="false">IFERROR(INDEX('Perhitungan IPH Mingguan 2025'!$B$6:$B$25,MATCH(LARGE('Perhitungan IPH Mingguan 2025'!$GT$6:$GT$25,2),'Perhitungan IPH Mingguan 2025'!$GT$6:$GT$25,0)),"-")</f>
        <v>beras 1111001</v>
      </c>
      <c r="C255" s="20" t="n">
        <f aca="false">IFERROR(INDEX('Perhitungan IPH Mingguan 2025'!$C$6:$C$25,MATCH(LARGE('Perhitungan IPH Mingguan 2025'!$GT$6:$GT$25,2),'Perhitungan IPH Mingguan 2025'!$GT$6:$GT$25,0)),"")</f>
        <v>0.125089056759346</v>
      </c>
      <c r="D255" s="14" t="n">
        <f aca="false">IFERROR(INDEX('Perhitungan IPH Mingguan 2025'!$CT$6:$CT$25,MATCH(LARGE('Perhitungan IPH Mingguan 2025'!$GT$6:$GT$25,2),'Perhitungan IPH Mingguan 2025'!$GT$6:$GT$25,0)),"")</f>
        <v>5.33333333333333</v>
      </c>
      <c r="E255" s="4" t="n">
        <f aca="false">IFERROR(INDEX('Perhitungan IPH Mingguan 2025'!$CU$6:$CU$25,MATCH(LARGE('Perhitungan IPH Mingguan 2025'!$GT$6:$GT$25,2),'Perhitungan IPH Mingguan 2025'!$GT$6:$GT$25,0)),"")</f>
        <v>0.667141636049845</v>
      </c>
      <c r="F255" s="21" t="str">
        <f aca="false">IF(ISNUMBER(E255),IF(E255&gt;0,"Penyumbang KENAIKAN IPH","Penyumbang PENURUNAN IPH"),"-")</f>
        <v>Penyumbang KENAIKAN IPH</v>
      </c>
    </row>
    <row r="256" customFormat="false" ht="15" hidden="false" customHeight="false" outlineLevel="0" collapsed="false">
      <c r="A256" s="3" t="n">
        <v>3</v>
      </c>
      <c r="B256" s="5" t="str">
        <f aca="false">IFERROR(INDEX('Perhitungan IPH Mingguan 2025'!$B$6:$B$25,MATCH(LARGE('Perhitungan IPH Mingguan 2025'!$GT$6:$GT$25,3),'Perhitungan IPH Mingguan 2025'!$GT$6:$GT$25,0)),"-")</f>
        <v>cabai rawit 01173013</v>
      </c>
      <c r="C256" s="20" t="n">
        <f aca="false">IFERROR(INDEX('Perhitungan IPH Mingguan 2025'!$C$6:$C$25,MATCH(LARGE('Perhitungan IPH Mingguan 2025'!$GT$6:$GT$25,3),'Perhitungan IPH Mingguan 2025'!$GT$6:$GT$25,0)),"")</f>
        <v>0.0177017323628706</v>
      </c>
      <c r="D256" s="14" t="n">
        <f aca="false">IFERROR(INDEX('Perhitungan IPH Mingguan 2025'!$CT$6:$CT$25,MATCH(LARGE('Perhitungan IPH Mingguan 2025'!$GT$6:$GT$25,3),'Perhitungan IPH Mingguan 2025'!$GT$6:$GT$25,0)),"")</f>
        <v>19.1588785046729</v>
      </c>
      <c r="E256" s="4" t="n">
        <f aca="false">IFERROR(INDEX('Perhitungan IPH Mingguan 2025'!$CU$6:$CU$25,MATCH(LARGE('Perhitungan IPH Mingguan 2025'!$GT$6:$GT$25,3),'Perhitungan IPH Mingguan 2025'!$GT$6:$GT$25,0)),"")</f>
        <v>0.339145339662474</v>
      </c>
      <c r="F256" s="21" t="str">
        <f aca="false">IF(ISNUMBER(E256),IF(E256&gt;0,"Penyumbang KENAIKAN IPH","Penyumbang PENURUNAN IPH"),"-")</f>
        <v>Penyumbang KENAIKAN IPH</v>
      </c>
    </row>
    <row r="257" customFormat="false" ht="15" hidden="false" customHeight="false" outlineLevel="0" collapsed="false">
      <c r="A257" s="3" t="n">
        <v>4</v>
      </c>
      <c r="B257" s="5" t="str">
        <f aca="false">IFERROR(INDEX('Perhitungan IPH Mingguan 2025'!$B$6:$B$25,MATCH(LARGE('Perhitungan IPH Mingguan 2025'!$GT$6:$GT$25,4),'Perhitungan IPH Mingguan 2025'!$GT$6:$GT$25,0)),"-")</f>
        <v>telur ayam ras 01147002</v>
      </c>
      <c r="C257" s="20" t="n">
        <f aca="false">IFERROR(INDEX('Perhitungan IPH Mingguan 2025'!$C$6:$C$25,MATCH(LARGE('Perhitungan IPH Mingguan 2025'!$GT$6:$GT$25,4),'Perhitungan IPH Mingguan 2025'!$GT$6:$GT$25,0)),"")</f>
        <v>0.0298777910794593</v>
      </c>
      <c r="D257" s="14" t="n">
        <f aca="false">IFERROR(INDEX('Perhitungan IPH Mingguan 2025'!$CT$6:$CT$25,MATCH(LARGE('Perhitungan IPH Mingguan 2025'!$GT$6:$GT$25,4),'Perhitungan IPH Mingguan 2025'!$GT$6:$GT$25,0)),"")</f>
        <v>6.51629072681704</v>
      </c>
      <c r="E257" s="4" t="n">
        <f aca="false">IFERROR(INDEX('Perhitungan IPH Mingguan 2025'!$CU$6:$CU$25,MATCH(LARGE('Perhitungan IPH Mingguan 2025'!$GT$6:$GT$25,4),'Perhitungan IPH Mingguan 2025'!$GT$6:$GT$25,0)),"")</f>
        <v>0.194692372948857</v>
      </c>
      <c r="F257" s="21" t="str">
        <f aca="false">IF(ISNUMBER(E257),IF(E257&gt;0,"Penyumbang KENAIKAN IPH","Penyumbang PENURUNAN IPH"),"-")</f>
        <v>Penyumbang KENAIKAN IPH</v>
      </c>
    </row>
    <row r="258" customFormat="false" ht="15" hidden="false" customHeight="false" outlineLevel="0" collapsed="false">
      <c r="A258" s="3" t="n">
        <v>5</v>
      </c>
      <c r="B258" s="5" t="str">
        <f aca="false">IFERROR(INDEX('Perhitungan IPH Mingguan 2025'!$B$6:$B$25,MATCH(LARGE('Perhitungan IPH Mingguan 2025'!$GT$6:$GT$25,5),'Perhitungan IPH Mingguan 2025'!$GT$6:$GT$25,0)),"-")</f>
        <v>bawang merah 1174006</v>
      </c>
      <c r="C258" s="20" t="n">
        <f aca="false">IFERROR(INDEX('Perhitungan IPH Mingguan 2025'!$C$6:$C$25,MATCH(LARGE('Perhitungan IPH Mingguan 2025'!$GT$6:$GT$25,5),'Perhitungan IPH Mingguan 2025'!$GT$6:$GT$25,0)),"")</f>
        <v>0.0194434650422287</v>
      </c>
      <c r="D258" s="14" t="n">
        <f aca="false">IFERROR(INDEX('Perhitungan IPH Mingguan 2025'!$CT$6:$CT$25,MATCH(LARGE('Perhitungan IPH Mingguan 2025'!$GT$6:$GT$25,5),'Perhitungan IPH Mingguan 2025'!$GT$6:$GT$25,0)),"")</f>
        <v>9.42528735632184</v>
      </c>
      <c r="E258" s="4" t="n">
        <f aca="false">IFERROR(INDEX('Perhitungan IPH Mingguan 2025'!$CU$6:$CU$25,MATCH(LARGE('Perhitungan IPH Mingguan 2025'!$GT$6:$GT$25,5),'Perhitungan IPH Mingguan 2025'!$GT$6:$GT$25,0)),"")</f>
        <v>0.183260245225604</v>
      </c>
      <c r="F258" s="21" t="str">
        <f aca="false">IF(ISNUMBER(E258),IF(E258&gt;0,"Penyumbang KENAIKAN IPH","Penyumbang PENURUNAN IPH"),"-")</f>
        <v>Penyumbang KENAIKAN IPH</v>
      </c>
    </row>
    <row r="260" customFormat="false" ht="15" hidden="false" customHeight="false" outlineLevel="0" collapsed="false">
      <c r="A260" s="19" t="s">
        <v>299</v>
      </c>
      <c r="B260" s="19"/>
      <c r="C260" s="19"/>
      <c r="D260" s="19"/>
      <c r="E260" s="19"/>
      <c r="F260" s="19"/>
    </row>
    <row r="261" customFormat="false" ht="15" hidden="false" customHeight="false" outlineLevel="0" collapsed="false">
      <c r="A261" s="10" t="s">
        <v>263</v>
      </c>
      <c r="B261" s="10" t="s">
        <v>264</v>
      </c>
      <c r="C261" s="10" t="s">
        <v>174</v>
      </c>
      <c r="D261" s="10" t="s">
        <v>265</v>
      </c>
      <c r="E261" s="10" t="s">
        <v>266</v>
      </c>
      <c r="F261" s="10" t="s">
        <v>267</v>
      </c>
    </row>
    <row r="262" customFormat="false" ht="15" hidden="false" customHeight="false" outlineLevel="0" collapsed="false">
      <c r="A262" s="3" t="n">
        <v>1</v>
      </c>
      <c r="B262" s="5" t="str">
        <f aca="false">IFERROR(INDEX('Perhitungan IPH Mingguan 2025'!$B$6:$B$25,MATCH(LARGE('Perhitungan IPH Mingguan 2025'!$GU$6:$GU$25,1),'Perhitungan IPH Mingguan 2025'!$GU$6:$GU$25,0)),"-")</f>
        <v>daging ayam ras 1124003</v>
      </c>
      <c r="C262" s="20" t="n">
        <f aca="false">IFERROR(INDEX('Perhitungan IPH Mingguan 2025'!$C$6:$C$25,MATCH(LARGE('Perhitungan IPH Mingguan 2025'!$GU$6:$GU$25,1),'Perhitungan IPH Mingguan 2025'!$GU$6:$GU$25,0)),"")</f>
        <v>0.0479107777850277</v>
      </c>
      <c r="D262" s="14" t="n">
        <f aca="false">IFERROR(INDEX('Perhitungan IPH Mingguan 2025'!$CW$6:$CW$25,MATCH(LARGE('Perhitungan IPH Mingguan 2025'!$GU$6:$GU$25,1),'Perhitungan IPH Mingguan 2025'!$GU$6:$GU$25,0)),"")</f>
        <v>14.971098265896</v>
      </c>
      <c r="E262" s="4" t="n">
        <f aca="false">IFERROR(INDEX('Perhitungan IPH Mingguan 2025'!$CX$6:$CX$25,MATCH(LARGE('Perhitungan IPH Mingguan 2025'!$GU$6:$GU$25,1),'Perhitungan IPH Mingguan 2025'!$GU$6:$GU$25,0)),"")</f>
        <v>0.717276962215155</v>
      </c>
      <c r="F262" s="21" t="str">
        <f aca="false">IF(ISNUMBER(E262),IF(E262&gt;0,"Penyumbang KENAIKAN IPH","Penyumbang PENURUNAN IPH"),"-")</f>
        <v>Penyumbang KENAIKAN IPH</v>
      </c>
    </row>
    <row r="263" customFormat="false" ht="15" hidden="false" customHeight="false" outlineLevel="0" collapsed="false">
      <c r="A263" s="3" t="n">
        <v>2</v>
      </c>
      <c r="B263" s="5" t="str">
        <f aca="false">IFERROR(INDEX('Perhitungan IPH Mingguan 2025'!$B$6:$B$25,MATCH(LARGE('Perhitungan IPH Mingguan 2025'!$GU$6:$GU$25,2),'Perhitungan IPH Mingguan 2025'!$GU$6:$GU$25,0)),"-")</f>
        <v>beras 1111001</v>
      </c>
      <c r="C263" s="20" t="n">
        <f aca="false">IFERROR(INDEX('Perhitungan IPH Mingguan 2025'!$C$6:$C$25,MATCH(LARGE('Perhitungan IPH Mingguan 2025'!$GU$6:$GU$25,2),'Perhitungan IPH Mingguan 2025'!$GU$6:$GU$25,0)),"")</f>
        <v>0.125089056759346</v>
      </c>
      <c r="D263" s="14" t="n">
        <f aca="false">IFERROR(INDEX('Perhitungan IPH Mingguan 2025'!$CW$6:$CW$25,MATCH(LARGE('Perhitungan IPH Mingguan 2025'!$GU$6:$GU$25,2),'Perhitungan IPH Mingguan 2025'!$GU$6:$GU$25,0)),"")</f>
        <v>5.33333333333333</v>
      </c>
      <c r="E263" s="4" t="n">
        <f aca="false">IFERROR(INDEX('Perhitungan IPH Mingguan 2025'!$CX$6:$CX$25,MATCH(LARGE('Perhitungan IPH Mingguan 2025'!$GU$6:$GU$25,2),'Perhitungan IPH Mingguan 2025'!$GU$6:$GU$25,0)),"")</f>
        <v>0.667141636049845</v>
      </c>
      <c r="F263" s="21" t="str">
        <f aca="false">IF(ISNUMBER(E263),IF(E263&gt;0,"Penyumbang KENAIKAN IPH","Penyumbang PENURUNAN IPH"),"-")</f>
        <v>Penyumbang KENAIKAN IPH</v>
      </c>
    </row>
    <row r="264" customFormat="false" ht="15" hidden="false" customHeight="false" outlineLevel="0" collapsed="false">
      <c r="A264" s="3" t="n">
        <v>3</v>
      </c>
      <c r="B264" s="5" t="str">
        <f aca="false">IFERROR(INDEX('Perhitungan IPH Mingguan 2025'!$B$6:$B$25,MATCH(LARGE('Perhitungan IPH Mingguan 2025'!$GU$6:$GU$25,3),'Perhitungan IPH Mingguan 2025'!$GU$6:$GU$25,0)),"-")</f>
        <v>cabai rawit 01173013</v>
      </c>
      <c r="C264" s="20" t="n">
        <f aca="false">IFERROR(INDEX('Perhitungan IPH Mingguan 2025'!$C$6:$C$25,MATCH(LARGE('Perhitungan IPH Mingguan 2025'!$GU$6:$GU$25,3),'Perhitungan IPH Mingguan 2025'!$GU$6:$GU$25,0)),"")</f>
        <v>0.0177017323628706</v>
      </c>
      <c r="D264" s="14" t="n">
        <f aca="false">IFERROR(INDEX('Perhitungan IPH Mingguan 2025'!$CW$6:$CW$25,MATCH(LARGE('Perhitungan IPH Mingguan 2025'!$GU$6:$GU$25,3),'Perhitungan IPH Mingguan 2025'!$GU$6:$GU$25,0)),"")</f>
        <v>13.2009345794393</v>
      </c>
      <c r="E264" s="4" t="n">
        <f aca="false">IFERROR(INDEX('Perhitungan IPH Mingguan 2025'!$CX$6:$CX$25,MATCH(LARGE('Perhitungan IPH Mingguan 2025'!$GU$6:$GU$25,3),'Perhitungan IPH Mingguan 2025'!$GU$6:$GU$25,0)),"")</f>
        <v>0.233679410864997</v>
      </c>
      <c r="F264" s="21" t="str">
        <f aca="false">IF(ISNUMBER(E264),IF(E264&gt;0,"Penyumbang KENAIKAN IPH","Penyumbang PENURUNAN IPH"),"-")</f>
        <v>Penyumbang KENAIKAN IPH</v>
      </c>
    </row>
    <row r="265" customFormat="false" ht="15" hidden="false" customHeight="false" outlineLevel="0" collapsed="false">
      <c r="A265" s="3" t="n">
        <v>4</v>
      </c>
      <c r="B265" s="5" t="str">
        <f aca="false">IFERROR(INDEX('Perhitungan IPH Mingguan 2025'!$B$6:$B$25,MATCH(LARGE('Perhitungan IPH Mingguan 2025'!$GU$6:$GU$25,4),'Perhitungan IPH Mingguan 2025'!$GU$6:$GU$25,0)),"-")</f>
        <v>bawang merah 1174006</v>
      </c>
      <c r="C265" s="20" t="n">
        <f aca="false">IFERROR(INDEX('Perhitungan IPH Mingguan 2025'!$C$6:$C$25,MATCH(LARGE('Perhitungan IPH Mingguan 2025'!$GU$6:$GU$25,4),'Perhitungan IPH Mingguan 2025'!$GU$6:$GU$25,0)),"")</f>
        <v>0.0194434650422287</v>
      </c>
      <c r="D265" s="14" t="n">
        <f aca="false">IFERROR(INDEX('Perhitungan IPH Mingguan 2025'!$CW$6:$CW$25,MATCH(LARGE('Perhitungan IPH Mingguan 2025'!$GU$6:$GU$25,4),'Perhitungan IPH Mingguan 2025'!$GU$6:$GU$25,0)),"")</f>
        <v>9.42528735632184</v>
      </c>
      <c r="E265" s="4" t="n">
        <f aca="false">IFERROR(INDEX('Perhitungan IPH Mingguan 2025'!$CX$6:$CX$25,MATCH(LARGE('Perhitungan IPH Mingguan 2025'!$GU$6:$GU$25,4),'Perhitungan IPH Mingguan 2025'!$GU$6:$GU$25,0)),"")</f>
        <v>0.183260245225604</v>
      </c>
      <c r="F265" s="21" t="str">
        <f aca="false">IF(ISNUMBER(E265),IF(E265&gt;0,"Penyumbang KENAIKAN IPH","Penyumbang PENURUNAN IPH"),"-")</f>
        <v>Penyumbang KENAIKAN IPH</v>
      </c>
    </row>
    <row r="266" customFormat="false" ht="15" hidden="false" customHeight="false" outlineLevel="0" collapsed="false">
      <c r="A266" s="3" t="n">
        <v>5</v>
      </c>
      <c r="B266" s="5" t="str">
        <f aca="false">IFERROR(INDEX('Perhitungan IPH Mingguan 2025'!$B$6:$B$25,MATCH(LARGE('Perhitungan IPH Mingguan 2025'!$GU$6:$GU$25,5),'Perhitungan IPH Mingguan 2025'!$GU$6:$GU$25,0)),"-")</f>
        <v>tepung terigu 01115005</v>
      </c>
      <c r="C266" s="20" t="n">
        <f aca="false">IFERROR(INDEX('Perhitungan IPH Mingguan 2025'!$C$6:$C$25,MATCH(LARGE('Perhitungan IPH Mingguan 2025'!$GU$6:$GU$25,5),'Perhitungan IPH Mingguan 2025'!$GU$6:$GU$25,0)),"")</f>
        <v>0.00793664049050366</v>
      </c>
      <c r="D266" s="14" t="n">
        <f aca="false">IFERROR(INDEX('Perhitungan IPH Mingguan 2025'!$CW$6:$CW$25,MATCH(LARGE('Perhitungan IPH Mingguan 2025'!$GU$6:$GU$25,5),'Perhitungan IPH Mingguan 2025'!$GU$6:$GU$25,0)),"")</f>
        <v>20.3076923076923</v>
      </c>
      <c r="E266" s="4" t="n">
        <f aca="false">IFERROR(INDEX('Perhitungan IPH Mingguan 2025'!$CX$6:$CX$25,MATCH(LARGE('Perhitungan IPH Mingguan 2025'!$GU$6:$GU$25,5),'Perhitungan IPH Mingguan 2025'!$GU$6:$GU$25,0)),"")</f>
        <v>0.161174853037921</v>
      </c>
      <c r="F266" s="21" t="str">
        <f aca="false">IF(ISNUMBER(E266),IF(E266&gt;0,"Penyumbang KENAIKAN IPH","Penyumbang PENURUNAN IPH"),"-")</f>
        <v>Penyumbang KENAIKAN IPH</v>
      </c>
    </row>
    <row r="268" customFormat="false" ht="15" hidden="false" customHeight="false" outlineLevel="0" collapsed="false">
      <c r="A268" s="19" t="s">
        <v>300</v>
      </c>
      <c r="B268" s="19"/>
      <c r="C268" s="19"/>
      <c r="D268" s="19"/>
      <c r="E268" s="19"/>
      <c r="F268" s="19"/>
    </row>
    <row r="269" customFormat="false" ht="15" hidden="false" customHeight="false" outlineLevel="0" collapsed="false">
      <c r="A269" s="10" t="s">
        <v>263</v>
      </c>
      <c r="B269" s="10" t="s">
        <v>264</v>
      </c>
      <c r="C269" s="10" t="s">
        <v>174</v>
      </c>
      <c r="D269" s="10" t="s">
        <v>265</v>
      </c>
      <c r="E269" s="10" t="s">
        <v>266</v>
      </c>
      <c r="F269" s="10" t="s">
        <v>267</v>
      </c>
    </row>
    <row r="270" customFormat="false" ht="15" hidden="false" customHeight="false" outlineLevel="0" collapsed="false">
      <c r="A270" s="3" t="n">
        <v>1</v>
      </c>
      <c r="B270" s="5" t="str">
        <f aca="false">IFERROR(INDEX('Perhitungan IPH Mingguan 2025'!$B$6:$B$25,MATCH(LARGE('Perhitungan IPH Mingguan 2025'!$GV$6:$GV$25,1),'Perhitungan IPH Mingguan 2025'!$GV$6:$GV$25,0)),"-")</f>
        <v>daging ayam ras 1124003</v>
      </c>
      <c r="C270" s="20" t="n">
        <f aca="false">IFERROR(INDEX('Perhitungan IPH Mingguan 2025'!$C$6:$C$25,MATCH(LARGE('Perhitungan IPH Mingguan 2025'!$GV$6:$GV$25,1),'Perhitungan IPH Mingguan 2025'!$GV$6:$GV$25,0)),"")</f>
        <v>0.0479107777850277</v>
      </c>
      <c r="D270" s="14" t="n">
        <f aca="false">IFERROR(INDEX('Perhitungan IPH Mingguan 2025'!$CZ$6:$CZ$25,MATCH(LARGE('Perhitungan IPH Mingguan 2025'!$GV$6:$GV$25,1),'Perhitungan IPH Mingguan 2025'!$GV$6:$GV$25,0)),"")</f>
        <v>-6.89655172413793</v>
      </c>
      <c r="E270" s="4" t="n">
        <f aca="false">IFERROR(INDEX('Perhitungan IPH Mingguan 2025'!$DA$6:$DA$25,MATCH(LARGE('Perhitungan IPH Mingguan 2025'!$GV$6:$GV$25,1),'Perhitungan IPH Mingguan 2025'!$GV$6:$GV$25,0)),"")</f>
        <v>-0.330419157138122</v>
      </c>
      <c r="F270" s="21" t="str">
        <f aca="false">IF(ISNUMBER(E270),IF(E270&gt;0,"Penyumbang KENAIKAN IPH","Penyumbang PENURUNAN IPH"),"-")</f>
        <v>Penyumbang PENURUNAN IPH</v>
      </c>
    </row>
    <row r="271" customFormat="false" ht="15" hidden="false" customHeight="false" outlineLevel="0" collapsed="false">
      <c r="A271" s="3" t="n">
        <v>2</v>
      </c>
      <c r="B271" s="5" t="str">
        <f aca="false">IFERROR(INDEX('Perhitungan IPH Mingguan 2025'!$B$6:$B$25,MATCH(LARGE('Perhitungan IPH Mingguan 2025'!$GV$6:$GV$25,2),'Perhitungan IPH Mingguan 2025'!$GV$6:$GV$25,0)),"-")</f>
        <v>jeruk 01161001-33</v>
      </c>
      <c r="C271" s="20" t="n">
        <f aca="false">IFERROR(INDEX('Perhitungan IPH Mingguan 2025'!$C$6:$C$25,MATCH(LARGE('Perhitungan IPH Mingguan 2025'!$GV$6:$GV$25,2),'Perhitungan IPH Mingguan 2025'!$GV$6:$GV$25,0)),"")</f>
        <v>0.0341776157179401</v>
      </c>
      <c r="D271" s="14" t="n">
        <f aca="false">IFERROR(INDEX('Perhitungan IPH Mingguan 2025'!$CZ$6:$CZ$25,MATCH(LARGE('Perhitungan IPH Mingguan 2025'!$GV$6:$GV$25,2),'Perhitungan IPH Mingguan 2025'!$GV$6:$GV$25,0)),"")</f>
        <v>-8.88888888888889</v>
      </c>
      <c r="E271" s="4" t="n">
        <f aca="false">IFERROR(INDEX('Perhitungan IPH Mingguan 2025'!$DA$6:$DA$25,MATCH(LARGE('Perhitungan IPH Mingguan 2025'!$GV$6:$GV$25,2),'Perhitungan IPH Mingguan 2025'!$GV$6:$GV$25,0)),"")</f>
        <v>-0.303801028603912</v>
      </c>
      <c r="F271" s="21" t="str">
        <f aca="false">IF(ISNUMBER(E271),IF(E271&gt;0,"Penyumbang KENAIKAN IPH","Penyumbang PENURUNAN IPH"),"-")</f>
        <v>Penyumbang PENURUNAN IPH</v>
      </c>
    </row>
    <row r="272" customFormat="false" ht="15" hidden="false" customHeight="false" outlineLevel="0" collapsed="false">
      <c r="A272" s="3" t="n">
        <v>3</v>
      </c>
      <c r="B272" s="5" t="str">
        <f aca="false">IFERROR(INDEX('Perhitungan IPH Mingguan 2025'!$B$6:$B$25,MATCH(LARGE('Perhitungan IPH Mingguan 2025'!$GV$6:$GV$25,3),'Perhitungan IPH Mingguan 2025'!$GV$6:$GV$25,0)),"-")</f>
        <v>beras 1111001</v>
      </c>
      <c r="C272" s="20" t="n">
        <f aca="false">IFERROR(INDEX('Perhitungan IPH Mingguan 2025'!$C$6:$C$25,MATCH(LARGE('Perhitungan IPH Mingguan 2025'!$GV$6:$GV$25,3),'Perhitungan IPH Mingguan 2025'!$GV$6:$GV$25,0)),"")</f>
        <v>0.125089056759346</v>
      </c>
      <c r="D272" s="14" t="n">
        <f aca="false">IFERROR(INDEX('Perhitungan IPH Mingguan 2025'!$CZ$6:$CZ$25,MATCH(LARGE('Perhitungan IPH Mingguan 2025'!$GV$6:$GV$25,3),'Perhitungan IPH Mingguan 2025'!$GV$6:$GV$25,0)),"")</f>
        <v>1.87393526405451</v>
      </c>
      <c r="E272" s="4" t="n">
        <f aca="false">IFERROR(INDEX('Perhitungan IPH Mingguan 2025'!$DA$6:$DA$25,MATCH(LARGE('Perhitungan IPH Mingguan 2025'!$GV$6:$GV$25,3),'Perhitungan IPH Mingguan 2025'!$GV$6:$GV$25,0)),"")</f>
        <v>0.234408794608655</v>
      </c>
      <c r="F272" s="21" t="str">
        <f aca="false">IF(ISNUMBER(E272),IF(E272&gt;0,"Penyumbang KENAIKAN IPH","Penyumbang PENURUNAN IPH"),"-")</f>
        <v>Penyumbang KENAIKAN IPH</v>
      </c>
    </row>
    <row r="273" customFormat="false" ht="15" hidden="false" customHeight="false" outlineLevel="0" collapsed="false">
      <c r="A273" s="3" t="n">
        <v>4</v>
      </c>
      <c r="B273" s="5" t="str">
        <f aca="false">IFERROR(INDEX('Perhitungan IPH Mingguan 2025'!$B$6:$B$25,MATCH(LARGE('Perhitungan IPH Mingguan 2025'!$GV$6:$GV$25,4),'Perhitungan IPH Mingguan 2025'!$GV$6:$GV$25,0)),"-")</f>
        <v>telur ayam ras 01147002</v>
      </c>
      <c r="C273" s="20" t="n">
        <f aca="false">IFERROR(INDEX('Perhitungan IPH Mingguan 2025'!$C$6:$C$25,MATCH(LARGE('Perhitungan IPH Mingguan 2025'!$GV$6:$GV$25,4),'Perhitungan IPH Mingguan 2025'!$GV$6:$GV$25,0)),"")</f>
        <v>0.0298777910794593</v>
      </c>
      <c r="D273" s="14" t="n">
        <f aca="false">IFERROR(INDEX('Perhitungan IPH Mingguan 2025'!$CZ$6:$CZ$25,MATCH(LARGE('Perhitungan IPH Mingguan 2025'!$GV$6:$GV$25,4),'Perhitungan IPH Mingguan 2025'!$GV$6:$GV$25,0)),"")</f>
        <v>-4.94159928122193</v>
      </c>
      <c r="E273" s="4" t="n">
        <f aca="false">IFERROR(INDEX('Perhitungan IPH Mingguan 2025'!$DA$6:$DA$25,MATCH(LARGE('Perhitungan IPH Mingguan 2025'!$GV$6:$GV$25,4),'Perhitungan IPH Mingguan 2025'!$GV$6:$GV$25,0)),"")</f>
        <v>-0.147644070922755</v>
      </c>
      <c r="F273" s="21" t="str">
        <f aca="false">IF(ISNUMBER(E273),IF(E273&gt;0,"Penyumbang KENAIKAN IPH","Penyumbang PENURUNAN IPH"),"-")</f>
        <v>Penyumbang PENURUNAN IPH</v>
      </c>
    </row>
    <row r="274" customFormat="false" ht="15" hidden="false" customHeight="false" outlineLevel="0" collapsed="false">
      <c r="A274" s="3" t="n">
        <v>5</v>
      </c>
      <c r="B274" s="5" t="str">
        <f aca="false">IFERROR(INDEX('Perhitungan IPH Mingguan 2025'!$B$6:$B$25,MATCH(LARGE('Perhitungan IPH Mingguan 2025'!$GV$6:$GV$25,5),'Perhitungan IPH Mingguan 2025'!$GV$6:$GV$25,0)),"-")</f>
        <v>cabai rawit 01173013</v>
      </c>
      <c r="C274" s="20" t="n">
        <f aca="false">IFERROR(INDEX('Perhitungan IPH Mingguan 2025'!$C$6:$C$25,MATCH(LARGE('Perhitungan IPH Mingguan 2025'!$GV$6:$GV$25,5),'Perhitungan IPH Mingguan 2025'!$GV$6:$GV$25,0)),"")</f>
        <v>0.0177017323628706</v>
      </c>
      <c r="D274" s="14" t="n">
        <f aca="false">IFERROR(INDEX('Perhitungan IPH Mingguan 2025'!$CZ$6:$CZ$25,MATCH(LARGE('Perhitungan IPH Mingguan 2025'!$GV$6:$GV$25,5),'Perhitungan IPH Mingguan 2025'!$GV$6:$GV$25,0)),"")</f>
        <v>-7.3134328358209</v>
      </c>
      <c r="E274" s="4" t="n">
        <f aca="false">IFERROR(INDEX('Perhitungan IPH Mingguan 2025'!$DA$6:$DA$25,MATCH(LARGE('Perhitungan IPH Mingguan 2025'!$GV$6:$GV$25,5),'Perhitungan IPH Mingguan 2025'!$GV$6:$GV$25,0)),"")</f>
        <v>-0.129460430713531</v>
      </c>
      <c r="F274" s="21" t="str">
        <f aca="false">IF(ISNUMBER(E274),IF(E274&gt;0,"Penyumbang KENAIKAN IPH","Penyumbang PENURUNAN IPH"),"-")</f>
        <v>Penyumbang PENURUNAN IPH</v>
      </c>
    </row>
    <row r="276" customFormat="false" ht="15" hidden="false" customHeight="false" outlineLevel="0" collapsed="false">
      <c r="A276" s="19" t="s">
        <v>301</v>
      </c>
      <c r="B276" s="19"/>
      <c r="C276" s="19"/>
      <c r="D276" s="19"/>
      <c r="E276" s="19"/>
      <c r="F276" s="19"/>
    </row>
    <row r="277" customFormat="false" ht="15" hidden="false" customHeight="false" outlineLevel="0" collapsed="false">
      <c r="A277" s="10" t="s">
        <v>263</v>
      </c>
      <c r="B277" s="10" t="s">
        <v>264</v>
      </c>
      <c r="C277" s="10" t="s">
        <v>174</v>
      </c>
      <c r="D277" s="10" t="s">
        <v>265</v>
      </c>
      <c r="E277" s="10" t="s">
        <v>266</v>
      </c>
      <c r="F277" s="10" t="s">
        <v>267</v>
      </c>
    </row>
    <row r="278" customFormat="false" ht="15" hidden="false" customHeight="false" outlineLevel="0" collapsed="false">
      <c r="A278" s="3" t="n">
        <v>1</v>
      </c>
      <c r="B278" s="5" t="str">
        <f aca="false">IFERROR(INDEX('Perhitungan IPH Mingguan 2025'!$B$6:$B$25,MATCH(LARGE('Perhitungan IPH Mingguan 2025'!$GW$6:$GW$25,1),'Perhitungan IPH Mingguan 2025'!$GW$6:$GW$25,0)),"-")</f>
        <v>jeruk 01161001-33</v>
      </c>
      <c r="C278" s="20" t="n">
        <f aca="false">IFERROR(INDEX('Perhitungan IPH Mingguan 2025'!$C$6:$C$25,MATCH(LARGE('Perhitungan IPH Mingguan 2025'!$GW$6:$GW$25,1),'Perhitungan IPH Mingguan 2025'!$GW$6:$GW$25,0)),"")</f>
        <v>0.0341776157179401</v>
      </c>
      <c r="D278" s="14" t="n">
        <f aca="false">IFERROR(INDEX('Perhitungan IPH Mingguan 2025'!$DC$6:$DC$25,MATCH(LARGE('Perhitungan IPH Mingguan 2025'!$GW$6:$GW$25,1),'Perhitungan IPH Mingguan 2025'!$GW$6:$GW$25,0)),"")</f>
        <v>-11.1111111111111</v>
      </c>
      <c r="E278" s="4" t="n">
        <f aca="false">IFERROR(INDEX('Perhitungan IPH Mingguan 2025'!$DD$6:$DD$25,MATCH(LARGE('Perhitungan IPH Mingguan 2025'!$GW$6:$GW$25,1),'Perhitungan IPH Mingguan 2025'!$GW$6:$GW$25,0)),"")</f>
        <v>-0.37975128575489</v>
      </c>
      <c r="F278" s="21" t="str">
        <f aca="false">IF(ISNUMBER(E278),IF(E278&gt;0,"Penyumbang KENAIKAN IPH","Penyumbang PENURUNAN IPH"),"-")</f>
        <v>Penyumbang PENURUNAN IPH</v>
      </c>
    </row>
    <row r="279" customFormat="false" ht="15" hidden="false" customHeight="false" outlineLevel="0" collapsed="false">
      <c r="A279" s="3" t="n">
        <v>2</v>
      </c>
      <c r="B279" s="5" t="str">
        <f aca="false">IFERROR(INDEX('Perhitungan IPH Mingguan 2025'!$B$6:$B$25,MATCH(LARGE('Perhitungan IPH Mingguan 2025'!$GW$6:$GW$25,2),'Perhitungan IPH Mingguan 2025'!$GW$6:$GW$25,0)),"-")</f>
        <v>daging ayam ras 1124003</v>
      </c>
      <c r="C279" s="20" t="n">
        <f aca="false">IFERROR(INDEX('Perhitungan IPH Mingguan 2025'!$C$6:$C$25,MATCH(LARGE('Perhitungan IPH Mingguan 2025'!$GW$6:$GW$25,2),'Perhitungan IPH Mingguan 2025'!$GW$6:$GW$25,0)),"")</f>
        <v>0.0479107777850277</v>
      </c>
      <c r="D279" s="14" t="n">
        <f aca="false">IFERROR(INDEX('Perhitungan IPH Mingguan 2025'!$DC$6:$DC$25,MATCH(LARGE('Perhitungan IPH Mingguan 2025'!$GW$6:$GW$25,2),'Perhitungan IPH Mingguan 2025'!$GW$6:$GW$25,0)),"")</f>
        <v>-5.51724137931035</v>
      </c>
      <c r="E279" s="4" t="n">
        <f aca="false">IFERROR(INDEX('Perhitungan IPH Mingguan 2025'!$DD$6:$DD$25,MATCH(LARGE('Perhitungan IPH Mingguan 2025'!$GW$6:$GW$25,2),'Perhitungan IPH Mingguan 2025'!$GW$6:$GW$25,0)),"")</f>
        <v>-0.264335325710498</v>
      </c>
      <c r="F279" s="21" t="str">
        <f aca="false">IF(ISNUMBER(E279),IF(E279&gt;0,"Penyumbang KENAIKAN IPH","Penyumbang PENURUNAN IPH"),"-")</f>
        <v>Penyumbang PENURUNAN IPH</v>
      </c>
    </row>
    <row r="280" customFormat="false" ht="15" hidden="false" customHeight="false" outlineLevel="0" collapsed="false">
      <c r="A280" s="3" t="n">
        <v>3</v>
      </c>
      <c r="B280" s="5" t="str">
        <f aca="false">IFERROR(INDEX('Perhitungan IPH Mingguan 2025'!$B$6:$B$25,MATCH(LARGE('Perhitungan IPH Mingguan 2025'!$GW$6:$GW$25,3),'Perhitungan IPH Mingguan 2025'!$GW$6:$GW$25,0)),"-")</f>
        <v>beras 1111001</v>
      </c>
      <c r="C280" s="20" t="n">
        <f aca="false">IFERROR(INDEX('Perhitungan IPH Mingguan 2025'!$C$6:$C$25,MATCH(LARGE('Perhitungan IPH Mingguan 2025'!$GW$6:$GW$25,3),'Perhitungan IPH Mingguan 2025'!$GW$6:$GW$25,0)),"")</f>
        <v>0.125089056759346</v>
      </c>
      <c r="D280" s="14" t="n">
        <f aca="false">IFERROR(INDEX('Perhitungan IPH Mingguan 2025'!$DC$6:$DC$25,MATCH(LARGE('Perhitungan IPH Mingguan 2025'!$GW$6:$GW$25,3),'Perhitungan IPH Mingguan 2025'!$GW$6:$GW$25,0)),"")</f>
        <v>1.87393526405451</v>
      </c>
      <c r="E280" s="4" t="n">
        <f aca="false">IFERROR(INDEX('Perhitungan IPH Mingguan 2025'!$DD$6:$DD$25,MATCH(LARGE('Perhitungan IPH Mingguan 2025'!$GW$6:$GW$25,3),'Perhitungan IPH Mingguan 2025'!$GW$6:$GW$25,0)),"")</f>
        <v>0.234408794608655</v>
      </c>
      <c r="F280" s="21" t="str">
        <f aca="false">IF(ISNUMBER(E280),IF(E280&gt;0,"Penyumbang KENAIKAN IPH","Penyumbang PENURUNAN IPH"),"-")</f>
        <v>Penyumbang KENAIKAN IPH</v>
      </c>
    </row>
    <row r="281" customFormat="false" ht="15" hidden="false" customHeight="false" outlineLevel="0" collapsed="false">
      <c r="A281" s="3" t="n">
        <v>4</v>
      </c>
      <c r="B281" s="5" t="str">
        <f aca="false">IFERROR(INDEX('Perhitungan IPH Mingguan 2025'!$B$6:$B$25,MATCH(LARGE('Perhitungan IPH Mingguan 2025'!$GW$6:$GW$25,4),'Perhitungan IPH Mingguan 2025'!$GW$6:$GW$25,0)),"-")</f>
        <v>cabai rawit 01173013</v>
      </c>
      <c r="C281" s="20" t="n">
        <f aca="false">IFERROR(INDEX('Perhitungan IPH Mingguan 2025'!$C$6:$C$25,MATCH(LARGE('Perhitungan IPH Mingguan 2025'!$GW$6:$GW$25,4),'Perhitungan IPH Mingguan 2025'!$GW$6:$GW$25,0)),"")</f>
        <v>0.0177017323628706</v>
      </c>
      <c r="D281" s="14" t="n">
        <f aca="false">IFERROR(INDEX('Perhitungan IPH Mingguan 2025'!$DC$6:$DC$25,MATCH(LARGE('Perhitungan IPH Mingguan 2025'!$GW$6:$GW$25,4),'Perhitungan IPH Mingguan 2025'!$GW$6:$GW$25,0)),"")</f>
        <v>-9.37313432835821</v>
      </c>
      <c r="E281" s="4" t="n">
        <f aca="false">IFERROR(INDEX('Perhitungan IPH Mingguan 2025'!$DD$6:$DD$25,MATCH(LARGE('Perhitungan IPH Mingguan 2025'!$GW$6:$GW$25,4),'Perhitungan IPH Mingguan 2025'!$GW$6:$GW$25,0)),"")</f>
        <v>-0.165920715281832</v>
      </c>
      <c r="F281" s="21" t="str">
        <f aca="false">IF(ISNUMBER(E281),IF(E281&gt;0,"Penyumbang KENAIKAN IPH","Penyumbang PENURUNAN IPH"),"-")</f>
        <v>Penyumbang PENURUNAN IPH</v>
      </c>
    </row>
    <row r="282" customFormat="false" ht="15" hidden="false" customHeight="false" outlineLevel="0" collapsed="false">
      <c r="A282" s="3" t="n">
        <v>5</v>
      </c>
      <c r="B282" s="5" t="str">
        <f aca="false">IFERROR(INDEX('Perhitungan IPH Mingguan 2025'!$B$6:$B$25,MATCH(LARGE('Perhitungan IPH Mingguan 2025'!$GW$6:$GW$25,5),'Perhitungan IPH Mingguan 2025'!$GW$6:$GW$25,0)),"-")</f>
        <v>bawang merah 1174006</v>
      </c>
      <c r="C282" s="20" t="n">
        <f aca="false">IFERROR(INDEX('Perhitungan IPH Mingguan 2025'!$C$6:$C$25,MATCH(LARGE('Perhitungan IPH Mingguan 2025'!$GW$6:$GW$25,5),'Perhitungan IPH Mingguan 2025'!$GW$6:$GW$25,0)),"")</f>
        <v>0.0194434650422287</v>
      </c>
      <c r="D282" s="14" t="n">
        <f aca="false">IFERROR(INDEX('Perhitungan IPH Mingguan 2025'!$DC$6:$DC$25,MATCH(LARGE('Perhitungan IPH Mingguan 2025'!$GW$6:$GW$25,5),'Perhitungan IPH Mingguan 2025'!$GW$6:$GW$25,0)),"")</f>
        <v>7.7887788778878</v>
      </c>
      <c r="E282" s="4" t="n">
        <f aca="false">IFERROR(INDEX('Perhitungan IPH Mingguan 2025'!$DD$6:$DD$25,MATCH(LARGE('Perhitungan IPH Mingguan 2025'!$GW$6:$GW$25,5),'Perhitungan IPH Mingguan 2025'!$GW$6:$GW$25,0)),"")</f>
        <v>0.151440849833861</v>
      </c>
      <c r="F282" s="21" t="str">
        <f aca="false">IF(ISNUMBER(E282),IF(E282&gt;0,"Penyumbang KENAIKAN IPH","Penyumbang PENURUNAN IPH"),"-")</f>
        <v>Penyumbang KENAIKAN IPH</v>
      </c>
    </row>
    <row r="284" customFormat="false" ht="15" hidden="false" customHeight="false" outlineLevel="0" collapsed="false">
      <c r="A284" s="19" t="s">
        <v>302</v>
      </c>
      <c r="B284" s="19"/>
      <c r="C284" s="19"/>
      <c r="D284" s="19"/>
      <c r="E284" s="19"/>
      <c r="F284" s="19"/>
    </row>
    <row r="285" customFormat="false" ht="15" hidden="false" customHeight="false" outlineLevel="0" collapsed="false">
      <c r="A285" s="10" t="s">
        <v>263</v>
      </c>
      <c r="B285" s="10" t="s">
        <v>264</v>
      </c>
      <c r="C285" s="10" t="s">
        <v>174</v>
      </c>
      <c r="D285" s="10" t="s">
        <v>265</v>
      </c>
      <c r="E285" s="10" t="s">
        <v>266</v>
      </c>
      <c r="F285" s="10" t="s">
        <v>267</v>
      </c>
    </row>
    <row r="286" customFormat="false" ht="15" hidden="false" customHeight="false" outlineLevel="0" collapsed="false">
      <c r="A286" s="3" t="n">
        <v>1</v>
      </c>
      <c r="B286" s="5" t="str">
        <f aca="false">IFERROR(INDEX('Perhitungan IPH Mingguan 2025'!$B$6:$B$25,MATCH(LARGE('Perhitungan IPH Mingguan 2025'!$GX$6:$GX$25,1),'Perhitungan IPH Mingguan 2025'!$GX$6:$GX$25,0)),"-")</f>
        <v>jeruk 01161001-33</v>
      </c>
      <c r="C286" s="20" t="n">
        <f aca="false">IFERROR(INDEX('Perhitungan IPH Mingguan 2025'!$C$6:$C$25,MATCH(LARGE('Perhitungan IPH Mingguan 2025'!$GX$6:$GX$25,1),'Perhitungan IPH Mingguan 2025'!$GX$6:$GX$25,0)),"")</f>
        <v>0.0341776157179401</v>
      </c>
      <c r="D286" s="14" t="n">
        <f aca="false">IFERROR(INDEX('Perhitungan IPH Mingguan 2025'!$DF$6:$DF$25,MATCH(LARGE('Perhitungan IPH Mingguan 2025'!$GX$6:$GX$25,1),'Perhitungan IPH Mingguan 2025'!$GX$6:$GX$25,0)),"")</f>
        <v>-11.1111111111111</v>
      </c>
      <c r="E286" s="4" t="n">
        <f aca="false">IFERROR(INDEX('Perhitungan IPH Mingguan 2025'!$DG$6:$DG$25,MATCH(LARGE('Perhitungan IPH Mingguan 2025'!$GX$6:$GX$25,1),'Perhitungan IPH Mingguan 2025'!$GX$6:$GX$25,0)),"")</f>
        <v>-0.37975128575489</v>
      </c>
      <c r="F286" s="21" t="str">
        <f aca="false">IF(ISNUMBER(E286),IF(E286&gt;0,"Penyumbang KENAIKAN IPH","Penyumbang PENURUNAN IPH"),"-")</f>
        <v>Penyumbang PENURUNAN IPH</v>
      </c>
    </row>
    <row r="287" customFormat="false" ht="15" hidden="false" customHeight="false" outlineLevel="0" collapsed="false">
      <c r="A287" s="3" t="n">
        <v>2</v>
      </c>
      <c r="B287" s="5" t="str">
        <f aca="false">IFERROR(INDEX('Perhitungan IPH Mingguan 2025'!$B$6:$B$25,MATCH(LARGE('Perhitungan IPH Mingguan 2025'!$GX$6:$GX$25,2),'Perhitungan IPH Mingguan 2025'!$GX$6:$GX$25,0)),"-")</f>
        <v>cabai rawit 01173013</v>
      </c>
      <c r="C287" s="20" t="n">
        <f aca="false">IFERROR(INDEX('Perhitungan IPH Mingguan 2025'!$C$6:$C$25,MATCH(LARGE('Perhitungan IPH Mingguan 2025'!$GX$6:$GX$25,2),'Perhitungan IPH Mingguan 2025'!$GX$6:$GX$25,0)),"")</f>
        <v>0.0177017323628706</v>
      </c>
      <c r="D287" s="14" t="n">
        <f aca="false">IFERROR(INDEX('Perhitungan IPH Mingguan 2025'!$DF$6:$DF$25,MATCH(LARGE('Perhitungan IPH Mingguan 2025'!$GX$6:$GX$25,2),'Perhitungan IPH Mingguan 2025'!$GX$6:$GX$25,0)),"")</f>
        <v>-17.6119402985075</v>
      </c>
      <c r="E287" s="4" t="n">
        <f aca="false">IFERROR(INDEX('Perhitungan IPH Mingguan 2025'!$DG$6:$DG$25,MATCH(LARGE('Perhitungan IPH Mingguan 2025'!$GX$6:$GX$25,2),'Perhitungan IPH Mingguan 2025'!$GX$6:$GX$25,0)),"")</f>
        <v>-0.311761853555034</v>
      </c>
      <c r="F287" s="21" t="str">
        <f aca="false">IF(ISNUMBER(E287),IF(E287&gt;0,"Penyumbang KENAIKAN IPH","Penyumbang PENURUNAN IPH"),"-")</f>
        <v>Penyumbang PENURUNAN IPH</v>
      </c>
    </row>
    <row r="288" customFormat="false" ht="15" hidden="false" customHeight="false" outlineLevel="0" collapsed="false">
      <c r="A288" s="3" t="n">
        <v>3</v>
      </c>
      <c r="B288" s="5" t="str">
        <f aca="false">IFERROR(INDEX('Perhitungan IPH Mingguan 2025'!$B$6:$B$25,MATCH(LARGE('Perhitungan IPH Mingguan 2025'!$GX$6:$GX$25,3),'Perhitungan IPH Mingguan 2025'!$GX$6:$GX$25,0)),"-")</f>
        <v>bawang merah 1174006</v>
      </c>
      <c r="C288" s="20" t="n">
        <f aca="false">IFERROR(INDEX('Perhitungan IPH Mingguan 2025'!$C$6:$C$25,MATCH(LARGE('Perhitungan IPH Mingguan 2025'!$GX$6:$GX$25,3),'Perhitungan IPH Mingguan 2025'!$GX$6:$GX$25,0)),"")</f>
        <v>0.0194434650422287</v>
      </c>
      <c r="D288" s="14" t="n">
        <f aca="false">IFERROR(INDEX('Perhitungan IPH Mingguan 2025'!$DF$6:$DF$25,MATCH(LARGE('Perhitungan IPH Mingguan 2025'!$GX$6:$GX$25,3),'Perhitungan IPH Mingguan 2025'!$GX$6:$GX$25,0)),"")</f>
        <v>13.8613861386139</v>
      </c>
      <c r="E288" s="4" t="n">
        <f aca="false">IFERROR(INDEX('Perhitungan IPH Mingguan 2025'!$DG$6:$DG$25,MATCH(LARGE('Perhitungan IPH Mingguan 2025'!$GX$6:$GX$25,3),'Perhitungan IPH Mingguan 2025'!$GX$6:$GX$25,0)),"")</f>
        <v>0.269513376822972</v>
      </c>
      <c r="F288" s="21" t="str">
        <f aca="false">IF(ISNUMBER(E288),IF(E288&gt;0,"Penyumbang KENAIKAN IPH","Penyumbang PENURUNAN IPH"),"-")</f>
        <v>Penyumbang KENAIKAN IPH</v>
      </c>
    </row>
    <row r="289" customFormat="false" ht="15" hidden="false" customHeight="false" outlineLevel="0" collapsed="false">
      <c r="A289" s="3" t="n">
        <v>4</v>
      </c>
      <c r="B289" s="5" t="str">
        <f aca="false">IFERROR(INDEX('Perhitungan IPH Mingguan 2025'!$B$6:$B$25,MATCH(LARGE('Perhitungan IPH Mingguan 2025'!$GX$6:$GX$25,4),'Perhitungan IPH Mingguan 2025'!$GX$6:$GX$25,0)),"-")</f>
        <v>beras 1111001</v>
      </c>
      <c r="C289" s="20" t="n">
        <f aca="false">IFERROR(INDEX('Perhitungan IPH Mingguan 2025'!$C$6:$C$25,MATCH(LARGE('Perhitungan IPH Mingguan 2025'!$GX$6:$GX$25,4),'Perhitungan IPH Mingguan 2025'!$GX$6:$GX$25,0)),"")</f>
        <v>0.125089056759346</v>
      </c>
      <c r="D289" s="14" t="n">
        <f aca="false">IFERROR(INDEX('Perhitungan IPH Mingguan 2025'!$DF$6:$DF$25,MATCH(LARGE('Perhitungan IPH Mingguan 2025'!$GX$6:$GX$25,4),'Perhitungan IPH Mingguan 2025'!$GX$6:$GX$25,0)),"")</f>
        <v>1.87393526405451</v>
      </c>
      <c r="E289" s="4" t="n">
        <f aca="false">IFERROR(INDEX('Perhitungan IPH Mingguan 2025'!$DG$6:$DG$25,MATCH(LARGE('Perhitungan IPH Mingguan 2025'!$GX$6:$GX$25,4),'Perhitungan IPH Mingguan 2025'!$GX$6:$GX$25,0)),"")</f>
        <v>0.234408794608655</v>
      </c>
      <c r="F289" s="21" t="str">
        <f aca="false">IF(ISNUMBER(E289),IF(E289&gt;0,"Penyumbang KENAIKAN IPH","Penyumbang PENURUNAN IPH"),"-")</f>
        <v>Penyumbang KENAIKAN IPH</v>
      </c>
    </row>
    <row r="290" customFormat="false" ht="15" hidden="false" customHeight="false" outlineLevel="0" collapsed="false">
      <c r="A290" s="3" t="n">
        <v>5</v>
      </c>
      <c r="B290" s="5" t="str">
        <f aca="false">IFERROR(INDEX('Perhitungan IPH Mingguan 2025'!$B$6:$B$25,MATCH(LARGE('Perhitungan IPH Mingguan 2025'!$GX$6:$GX$25,5),'Perhitungan IPH Mingguan 2025'!$GX$6:$GX$25,0)),"-")</f>
        <v>udang lobster 01132004</v>
      </c>
      <c r="C290" s="20" t="n">
        <f aca="false">IFERROR(INDEX('Perhitungan IPH Mingguan 2025'!$C$6:$C$25,MATCH(LARGE('Perhitungan IPH Mingguan 2025'!$GX$6:$GX$25,5),'Perhitungan IPH Mingguan 2025'!$GX$6:$GX$25,0)),"")</f>
        <v>0.0370107543210236</v>
      </c>
      <c r="D290" s="14" t="n">
        <f aca="false">IFERROR(INDEX('Perhitungan IPH Mingguan 2025'!$DF$6:$DF$25,MATCH(LARGE('Perhitungan IPH Mingguan 2025'!$GX$6:$GX$25,5),'Perhitungan IPH Mingguan 2025'!$GX$6:$GX$25,0)),"")</f>
        <v>5.17241379310345</v>
      </c>
      <c r="E290" s="4" t="n">
        <f aca="false">IFERROR(INDEX('Perhitungan IPH Mingguan 2025'!$DG$6:$DG$25,MATCH(LARGE('Perhitungan IPH Mingguan 2025'!$GX$6:$GX$25,5),'Perhitungan IPH Mingguan 2025'!$GX$6:$GX$25,0)),"")</f>
        <v>0.191434936143226</v>
      </c>
      <c r="F290" s="21" t="str">
        <f aca="false">IF(ISNUMBER(E290),IF(E290&gt;0,"Penyumbang KENAIKAN IPH","Penyumbang PENURUNAN IPH"),"-")</f>
        <v>Penyumbang KENAIKAN IPH</v>
      </c>
    </row>
    <row r="292" customFormat="false" ht="15" hidden="false" customHeight="false" outlineLevel="0" collapsed="false">
      <c r="A292" s="19" t="s">
        <v>303</v>
      </c>
      <c r="B292" s="19"/>
      <c r="C292" s="19"/>
      <c r="D292" s="19"/>
      <c r="E292" s="19"/>
      <c r="F292" s="19"/>
    </row>
    <row r="293" customFormat="false" ht="15" hidden="false" customHeight="false" outlineLevel="0" collapsed="false">
      <c r="A293" s="10" t="s">
        <v>263</v>
      </c>
      <c r="B293" s="10" t="s">
        <v>264</v>
      </c>
      <c r="C293" s="10" t="s">
        <v>174</v>
      </c>
      <c r="D293" s="10" t="s">
        <v>265</v>
      </c>
      <c r="E293" s="10" t="s">
        <v>266</v>
      </c>
      <c r="F293" s="10" t="s">
        <v>267</v>
      </c>
    </row>
    <row r="294" customFormat="false" ht="15" hidden="false" customHeight="false" outlineLevel="0" collapsed="false">
      <c r="A294" s="3" t="n">
        <v>1</v>
      </c>
      <c r="B294" s="5" t="str">
        <f aca="false">IFERROR(INDEX('Perhitungan IPH Mingguan 2025'!$B$6:$B$25,MATCH(LARGE('Perhitungan IPH Mingguan 2025'!$GY$6:$GY$25,1),'Perhitungan IPH Mingguan 2025'!$GY$6:$GY$25,0)),"-")</f>
        <v>tahu mentah 1194011</v>
      </c>
      <c r="C294" s="20" t="n">
        <f aca="false">IFERROR(INDEX('Perhitungan IPH Mingguan 2025'!$C$6:$C$25,MATCH(LARGE('Perhitungan IPH Mingguan 2025'!$GY$6:$GY$25,1),'Perhitungan IPH Mingguan 2025'!$GY$6:$GY$25,0)),"")</f>
        <v>0.0213321576646518</v>
      </c>
      <c r="D294" s="14" t="n">
        <f aca="false">IFERROR(INDEX('Perhitungan IPH Mingguan 2025'!$DI$6:$DI$25,MATCH(LARGE('Perhitungan IPH Mingguan 2025'!$GY$6:$GY$25,1),'Perhitungan IPH Mingguan 2025'!$GY$6:$GY$25,0)),"")</f>
        <v>21.0526315789474</v>
      </c>
      <c r="E294" s="4" t="n">
        <f aca="false">IFERROR(INDEX('Perhitungan IPH Mingguan 2025'!$DJ$6:$DJ$25,MATCH(LARGE('Perhitungan IPH Mingguan 2025'!$GY$6:$GY$25,1),'Perhitungan IPH Mingguan 2025'!$GY$6:$GY$25,0)),"")</f>
        <v>0.449098056097933</v>
      </c>
      <c r="F294" s="21" t="str">
        <f aca="false">IF(ISNUMBER(E294),IF(E294&gt;0,"Penyumbang KENAIKAN IPH","Penyumbang PENURUNAN IPH"),"-")</f>
        <v>Penyumbang KENAIKAN IPH</v>
      </c>
    </row>
    <row r="295" customFormat="false" ht="15" hidden="false" customHeight="false" outlineLevel="0" collapsed="false">
      <c r="A295" s="3" t="n">
        <v>2</v>
      </c>
      <c r="B295" s="5" t="str">
        <f aca="false">IFERROR(INDEX('Perhitungan IPH Mingguan 2025'!$B$6:$B$25,MATCH(LARGE('Perhitungan IPH Mingguan 2025'!$GY$6:$GY$25,2),'Perhitungan IPH Mingguan 2025'!$GY$6:$GY$25,0)),"-")</f>
        <v>jeruk 01161001-33</v>
      </c>
      <c r="C295" s="20" t="n">
        <f aca="false">IFERROR(INDEX('Perhitungan IPH Mingguan 2025'!$C$6:$C$25,MATCH(LARGE('Perhitungan IPH Mingguan 2025'!$GY$6:$GY$25,2),'Perhitungan IPH Mingguan 2025'!$GY$6:$GY$25,0)),"")</f>
        <v>0.0341776157179401</v>
      </c>
      <c r="D295" s="14" t="n">
        <f aca="false">IFERROR(INDEX('Perhitungan IPH Mingguan 2025'!$DI$6:$DI$25,MATCH(LARGE('Perhitungan IPH Mingguan 2025'!$GY$6:$GY$25,2),'Perhitungan IPH Mingguan 2025'!$GY$6:$GY$25,0)),"")</f>
        <v>-11.1111111111111</v>
      </c>
      <c r="E295" s="4" t="n">
        <f aca="false">IFERROR(INDEX('Perhitungan IPH Mingguan 2025'!$DJ$6:$DJ$25,MATCH(LARGE('Perhitungan IPH Mingguan 2025'!$GY$6:$GY$25,2),'Perhitungan IPH Mingguan 2025'!$GY$6:$GY$25,0)),"")</f>
        <v>-0.37975128575489</v>
      </c>
      <c r="F295" s="21" t="str">
        <f aca="false">IF(ISNUMBER(E295),IF(E295&gt;0,"Penyumbang KENAIKAN IPH","Penyumbang PENURUNAN IPH"),"-")</f>
        <v>Penyumbang PENURUNAN IPH</v>
      </c>
    </row>
    <row r="296" customFormat="false" ht="15" hidden="false" customHeight="false" outlineLevel="0" collapsed="false">
      <c r="A296" s="3" t="n">
        <v>3</v>
      </c>
      <c r="B296" s="5" t="str">
        <f aca="false">IFERROR(INDEX('Perhitungan IPH Mingguan 2025'!$B$6:$B$25,MATCH(LARGE('Perhitungan IPH Mingguan 2025'!$GY$6:$GY$25,3),'Perhitungan IPH Mingguan 2025'!$GY$6:$GY$25,0)),"-")</f>
        <v>cabai rawit 01173013</v>
      </c>
      <c r="C296" s="20" t="n">
        <f aca="false">IFERROR(INDEX('Perhitungan IPH Mingguan 2025'!$C$6:$C$25,MATCH(LARGE('Perhitungan IPH Mingguan 2025'!$GY$6:$GY$25,3),'Perhitungan IPH Mingguan 2025'!$GY$6:$GY$25,0)),"")</f>
        <v>0.0177017323628706</v>
      </c>
      <c r="D296" s="14" t="n">
        <f aca="false">IFERROR(INDEX('Perhitungan IPH Mingguan 2025'!$DI$6:$DI$25,MATCH(LARGE('Perhitungan IPH Mingguan 2025'!$GY$6:$GY$25,3),'Perhitungan IPH Mingguan 2025'!$GY$6:$GY$25,0)),"")</f>
        <v>-17.6119402985075</v>
      </c>
      <c r="E296" s="4" t="n">
        <f aca="false">IFERROR(INDEX('Perhitungan IPH Mingguan 2025'!$DJ$6:$DJ$25,MATCH(LARGE('Perhitungan IPH Mingguan 2025'!$GY$6:$GY$25,3),'Perhitungan IPH Mingguan 2025'!$GY$6:$GY$25,0)),"")</f>
        <v>-0.311761853555034</v>
      </c>
      <c r="F296" s="21" t="str">
        <f aca="false">IF(ISNUMBER(E296),IF(E296&gt;0,"Penyumbang KENAIKAN IPH","Penyumbang PENURUNAN IPH"),"-")</f>
        <v>Penyumbang PENURUNAN IPH</v>
      </c>
    </row>
    <row r="297" customFormat="false" ht="15" hidden="false" customHeight="false" outlineLevel="0" collapsed="false">
      <c r="A297" s="3" t="n">
        <v>4</v>
      </c>
      <c r="B297" s="5" t="str">
        <f aca="false">IFERROR(INDEX('Perhitungan IPH Mingguan 2025'!$B$6:$B$25,MATCH(LARGE('Perhitungan IPH Mingguan 2025'!$GY$6:$GY$25,4),'Perhitungan IPH Mingguan 2025'!$GY$6:$GY$25,0)),"-")</f>
        <v>bawang merah 1174006</v>
      </c>
      <c r="C297" s="20" t="n">
        <f aca="false">IFERROR(INDEX('Perhitungan IPH Mingguan 2025'!$C$6:$C$25,MATCH(LARGE('Perhitungan IPH Mingguan 2025'!$GY$6:$GY$25,4),'Perhitungan IPH Mingguan 2025'!$GY$6:$GY$25,0)),"")</f>
        <v>0.0194434650422287</v>
      </c>
      <c r="D297" s="14" t="n">
        <f aca="false">IFERROR(INDEX('Perhitungan IPH Mingguan 2025'!$DI$6:$DI$25,MATCH(LARGE('Perhitungan IPH Mingguan 2025'!$GY$6:$GY$25,4),'Perhitungan IPH Mingguan 2025'!$GY$6:$GY$25,0)),"")</f>
        <v>13.8613861386139</v>
      </c>
      <c r="E297" s="4" t="n">
        <f aca="false">IFERROR(INDEX('Perhitungan IPH Mingguan 2025'!$DJ$6:$DJ$25,MATCH(LARGE('Perhitungan IPH Mingguan 2025'!$GY$6:$GY$25,4),'Perhitungan IPH Mingguan 2025'!$GY$6:$GY$25,0)),"")</f>
        <v>0.269513376822972</v>
      </c>
      <c r="F297" s="21" t="str">
        <f aca="false">IF(ISNUMBER(E297),IF(E297&gt;0,"Penyumbang KENAIKAN IPH","Penyumbang PENURUNAN IPH"),"-")</f>
        <v>Penyumbang KENAIKAN IPH</v>
      </c>
    </row>
    <row r="298" customFormat="false" ht="15" hidden="false" customHeight="false" outlineLevel="0" collapsed="false">
      <c r="A298" s="3" t="n">
        <v>5</v>
      </c>
      <c r="B298" s="5" t="str">
        <f aca="false">IFERROR(INDEX('Perhitungan IPH Mingguan 2025'!$B$6:$B$25,MATCH(LARGE('Perhitungan IPH Mingguan 2025'!$GY$6:$GY$25,5),'Perhitungan IPH Mingguan 2025'!$GY$6:$GY$25,0)),"-")</f>
        <v>beras 1111001</v>
      </c>
      <c r="C298" s="20" t="n">
        <f aca="false">IFERROR(INDEX('Perhitungan IPH Mingguan 2025'!$C$6:$C$25,MATCH(LARGE('Perhitungan IPH Mingguan 2025'!$GY$6:$GY$25,5),'Perhitungan IPH Mingguan 2025'!$GY$6:$GY$25,0)),"")</f>
        <v>0.125089056759346</v>
      </c>
      <c r="D298" s="14" t="n">
        <f aca="false">IFERROR(INDEX('Perhitungan IPH Mingguan 2025'!$DI$6:$DI$25,MATCH(LARGE('Perhitungan IPH Mingguan 2025'!$GY$6:$GY$25,5),'Perhitungan IPH Mingguan 2025'!$GY$6:$GY$25,0)),"")</f>
        <v>1.87393526405451</v>
      </c>
      <c r="E298" s="4" t="n">
        <f aca="false">IFERROR(INDEX('Perhitungan IPH Mingguan 2025'!$DJ$6:$DJ$25,MATCH(LARGE('Perhitungan IPH Mingguan 2025'!$GY$6:$GY$25,5),'Perhitungan IPH Mingguan 2025'!$GY$6:$GY$25,0)),"")</f>
        <v>0.234408794608655</v>
      </c>
      <c r="F298" s="21" t="str">
        <f aca="false">IF(ISNUMBER(E298),IF(E298&gt;0,"Penyumbang KENAIKAN IPH","Penyumbang PENURUNAN IPH"),"-")</f>
        <v>Penyumbang KENAIKAN IPH</v>
      </c>
    </row>
    <row r="300" customFormat="false" ht="15" hidden="false" customHeight="false" outlineLevel="0" collapsed="false">
      <c r="A300" s="19" t="s">
        <v>304</v>
      </c>
      <c r="B300" s="19"/>
      <c r="C300" s="19"/>
      <c r="D300" s="19"/>
      <c r="E300" s="19"/>
      <c r="F300" s="19"/>
    </row>
    <row r="301" customFormat="false" ht="15" hidden="false" customHeight="false" outlineLevel="0" collapsed="false">
      <c r="A301" s="10" t="s">
        <v>263</v>
      </c>
      <c r="B301" s="10" t="s">
        <v>264</v>
      </c>
      <c r="C301" s="10" t="s">
        <v>174</v>
      </c>
      <c r="D301" s="10" t="s">
        <v>265</v>
      </c>
      <c r="E301" s="10" t="s">
        <v>266</v>
      </c>
      <c r="F301" s="10" t="s">
        <v>267</v>
      </c>
    </row>
    <row r="302" customFormat="false" ht="15" hidden="false" customHeight="false" outlineLevel="0" collapsed="false">
      <c r="A302" s="3" t="n">
        <v>1</v>
      </c>
      <c r="B302" s="5" t="str">
        <f aca="false">IFERROR(INDEX('Perhitungan IPH Mingguan 2025'!$B$6:$B$25,MATCH(LARGE('Perhitungan IPH Mingguan 2025'!$GZ$6:$GZ$25,1),'Perhitungan IPH Mingguan 2025'!$GZ$6:$GZ$25,0)),"-")</f>
        <v>tahu mentah 1194011</v>
      </c>
      <c r="C302" s="20" t="n">
        <f aca="false">IFERROR(INDEX('Perhitungan IPH Mingguan 2025'!$C$6:$C$25,MATCH(LARGE('Perhitungan IPH Mingguan 2025'!$GZ$6:$GZ$25,1),'Perhitungan IPH Mingguan 2025'!$GZ$6:$GZ$25,0)),"")</f>
        <v>0.0213321576646518</v>
      </c>
      <c r="D302" s="14" t="n">
        <f aca="false">IFERROR(INDEX('Perhitungan IPH Mingguan 2025'!$DL$6:$DL$25,MATCH(LARGE('Perhitungan IPH Mingguan 2025'!$GZ$6:$GZ$25,1),'Perhitungan IPH Mingguan 2025'!$GZ$6:$GZ$25,0)),"")</f>
        <v>19.6850393700787</v>
      </c>
      <c r="E302" s="4" t="n">
        <f aca="false">IFERROR(INDEX('Perhitungan IPH Mingguan 2025'!$DM$6:$DM$25,MATCH(LARGE('Perhitungan IPH Mingguan 2025'!$GZ$6:$GZ$25,1),'Perhitungan IPH Mingguan 2025'!$GZ$6:$GZ$25,0)),"")</f>
        <v>0.419924363477397</v>
      </c>
      <c r="F302" s="21" t="str">
        <f aca="false">IF(ISNUMBER(E302),IF(E302&gt;0,"Penyumbang KENAIKAN IPH","Penyumbang PENURUNAN IPH"),"-")</f>
        <v>Penyumbang KENAIKAN IPH</v>
      </c>
    </row>
    <row r="303" customFormat="false" ht="15" hidden="false" customHeight="false" outlineLevel="0" collapsed="false">
      <c r="A303" s="3" t="n">
        <v>2</v>
      </c>
      <c r="B303" s="5" t="str">
        <f aca="false">IFERROR(INDEX('Perhitungan IPH Mingguan 2025'!$B$6:$B$25,MATCH(LARGE('Perhitungan IPH Mingguan 2025'!$GZ$6:$GZ$25,2),'Perhitungan IPH Mingguan 2025'!$GZ$6:$GZ$25,0)),"-")</f>
        <v>cabai rawit 01173013</v>
      </c>
      <c r="C303" s="20" t="n">
        <f aca="false">IFERROR(INDEX('Perhitungan IPH Mingguan 2025'!$C$6:$C$25,MATCH(LARGE('Perhitungan IPH Mingguan 2025'!$GZ$6:$GZ$25,2),'Perhitungan IPH Mingguan 2025'!$GZ$6:$GZ$25,0)),"")</f>
        <v>0.0177017323628706</v>
      </c>
      <c r="D303" s="14" t="n">
        <f aca="false">IFERROR(INDEX('Perhitungan IPH Mingguan 2025'!$DL$6:$DL$25,MATCH(LARGE('Perhitungan IPH Mingguan 2025'!$GZ$6:$GZ$25,2),'Perhitungan IPH Mingguan 2025'!$GZ$6:$GZ$25,0)),"")</f>
        <v>-7.55693581780538</v>
      </c>
      <c r="E303" s="4" t="n">
        <f aca="false">IFERROR(INDEX('Perhitungan IPH Mingguan 2025'!$DM$6:$DM$25,MATCH(LARGE('Perhitungan IPH Mingguan 2025'!$GZ$6:$GZ$25,2),'Perhitungan IPH Mingguan 2025'!$GZ$6:$GZ$25,0)),"")</f>
        <v>-0.133770855330182</v>
      </c>
      <c r="F303" s="21" t="str">
        <f aca="false">IF(ISNUMBER(E303),IF(E303&gt;0,"Penyumbang KENAIKAN IPH","Penyumbang PENURUNAN IPH"),"-")</f>
        <v>Penyumbang PENURUNAN IPH</v>
      </c>
    </row>
    <row r="304" customFormat="false" ht="15" hidden="false" customHeight="false" outlineLevel="0" collapsed="false">
      <c r="A304" s="3" t="n">
        <v>3</v>
      </c>
      <c r="B304" s="5" t="str">
        <f aca="false">IFERROR(INDEX('Perhitungan IPH Mingguan 2025'!$B$6:$B$25,MATCH(LARGE('Perhitungan IPH Mingguan 2025'!$GZ$6:$GZ$25,3),'Perhitungan IPH Mingguan 2025'!$GZ$6:$GZ$25,0)),"-")</f>
        <v>udang lobster 01132004</v>
      </c>
      <c r="C304" s="20" t="n">
        <f aca="false">IFERROR(INDEX('Perhitungan IPH Mingguan 2025'!$C$6:$C$25,MATCH(LARGE('Perhitungan IPH Mingguan 2025'!$GZ$6:$GZ$25,3),'Perhitungan IPH Mingguan 2025'!$GZ$6:$GZ$25,0)),"")</f>
        <v>0.0370107543210236</v>
      </c>
      <c r="D304" s="14" t="n">
        <f aca="false">IFERROR(INDEX('Perhitungan IPH Mingguan 2025'!$DL$6:$DL$25,MATCH(LARGE('Perhitungan IPH Mingguan 2025'!$GZ$6:$GZ$25,3),'Perhitungan IPH Mingguan 2025'!$GZ$6:$GZ$25,0)),"")</f>
        <v>2.47568523430592</v>
      </c>
      <c r="E304" s="4" t="n">
        <f aca="false">IFERROR(INDEX('Perhitungan IPH Mingguan 2025'!$DM$6:$DM$25,MATCH(LARGE('Perhitungan IPH Mingguan 2025'!$GZ$6:$GZ$25,3),'Perhitungan IPH Mingguan 2025'!$GZ$6:$GZ$25,0)),"")</f>
        <v>0.0916269779830821</v>
      </c>
      <c r="F304" s="21" t="str">
        <f aca="false">IF(ISNUMBER(E304),IF(E304&gt;0,"Penyumbang KENAIKAN IPH","Penyumbang PENURUNAN IPH"),"-")</f>
        <v>Penyumbang KENAIKAN IPH</v>
      </c>
    </row>
    <row r="305" customFormat="false" ht="15" hidden="false" customHeight="false" outlineLevel="0" collapsed="false">
      <c r="A305" s="3" t="n">
        <v>4</v>
      </c>
      <c r="B305" s="5" t="str">
        <f aca="false">IFERROR(INDEX('Perhitungan IPH Mingguan 2025'!$B$6:$B$25,MATCH(LARGE('Perhitungan IPH Mingguan 2025'!$GZ$6:$GZ$25,4),'Perhitungan IPH Mingguan 2025'!$GZ$6:$GZ$25,0)),"-")</f>
        <v>daging ayam ras 1124003</v>
      </c>
      <c r="C305" s="20" t="n">
        <f aca="false">IFERROR(INDEX('Perhitungan IPH Mingguan 2025'!$C$6:$C$25,MATCH(LARGE('Perhitungan IPH Mingguan 2025'!$GZ$6:$GZ$25,4),'Perhitungan IPH Mingguan 2025'!$GZ$6:$GZ$25,0)),"")</f>
        <v>0.0479107777850277</v>
      </c>
      <c r="D305" s="14" t="n">
        <f aca="false">IFERROR(INDEX('Perhitungan IPH Mingguan 2025'!$DL$6:$DL$25,MATCH(LARGE('Perhitungan IPH Mingguan 2025'!$GZ$6:$GZ$25,4),'Perhitungan IPH Mingguan 2025'!$GZ$6:$GZ$25,0)),"")</f>
        <v>1.02611940298508</v>
      </c>
      <c r="E305" s="4" t="n">
        <f aca="false">IFERROR(INDEX('Perhitungan IPH Mingguan 2025'!$DM$6:$DM$25,MATCH(LARGE('Perhitungan IPH Mingguan 2025'!$GZ$6:$GZ$25,4),'Perhitungan IPH Mingguan 2025'!$GZ$6:$GZ$25,0)),"")</f>
        <v>0.0491621786973233</v>
      </c>
      <c r="F305" s="21" t="str">
        <f aca="false">IF(ISNUMBER(E305),IF(E305&gt;0,"Penyumbang KENAIKAN IPH","Penyumbang PENURUNAN IPH"),"-")</f>
        <v>Penyumbang KENAIKAN IPH</v>
      </c>
    </row>
    <row r="306" customFormat="false" ht="15" hidden="false" customHeight="false" outlineLevel="0" collapsed="false">
      <c r="A306" s="3" t="n">
        <v>5</v>
      </c>
      <c r="B306" s="5" t="str">
        <f aca="false">IFERROR(INDEX('Perhitungan IPH Mingguan 2025'!$B$6:$B$25,MATCH(LARGE('Perhitungan IPH Mingguan 2025'!$GZ$6:$GZ$25,5),'Perhitungan IPH Mingguan 2025'!$GZ$6:$GZ$25,0)),"-")</f>
        <v>telur ayam ras 01147002</v>
      </c>
      <c r="C306" s="20" t="n">
        <f aca="false">IFERROR(INDEX('Perhitungan IPH Mingguan 2025'!$C$6:$C$25,MATCH(LARGE('Perhitungan IPH Mingguan 2025'!$GZ$6:$GZ$25,5),'Perhitungan IPH Mingguan 2025'!$GZ$6:$GZ$25,0)),"")</f>
        <v>0.0298777910794593</v>
      </c>
      <c r="D306" s="14" t="n">
        <f aca="false">IFERROR(INDEX('Perhitungan IPH Mingguan 2025'!$DL$6:$DL$25,MATCH(LARGE('Perhitungan IPH Mingguan 2025'!$GZ$6:$GZ$25,5),'Perhitungan IPH Mingguan 2025'!$GZ$6:$GZ$25,0)),"")</f>
        <v>0.950782997762868</v>
      </c>
      <c r="E306" s="4" t="n">
        <f aca="false">IFERROR(INDEX('Perhitungan IPH Mingguan 2025'!$DM$6:$DM$25,MATCH(LARGE('Perhitungan IPH Mingguan 2025'!$GZ$6:$GZ$25,5),'Perhitungan IPH Mingguan 2025'!$GZ$6:$GZ$25,0)),"")</f>
        <v>0.028407295769061</v>
      </c>
      <c r="F306" s="21" t="str">
        <f aca="false">IF(ISNUMBER(E306),IF(E306&gt;0,"Penyumbang KENAIKAN IPH","Penyumbang PENURUNAN IPH"),"-")</f>
        <v>Penyumbang KENAIKAN IPH</v>
      </c>
    </row>
    <row r="308" customFormat="false" ht="15" hidden="false" customHeight="false" outlineLevel="0" collapsed="false">
      <c r="A308" s="19" t="s">
        <v>305</v>
      </c>
      <c r="B308" s="19"/>
      <c r="C308" s="19"/>
      <c r="D308" s="19"/>
      <c r="E308" s="19"/>
      <c r="F308" s="19"/>
    </row>
    <row r="309" customFormat="false" ht="15" hidden="false" customHeight="false" outlineLevel="0" collapsed="false">
      <c r="A309" s="10" t="s">
        <v>263</v>
      </c>
      <c r="B309" s="10" t="s">
        <v>264</v>
      </c>
      <c r="C309" s="10" t="s">
        <v>174</v>
      </c>
      <c r="D309" s="10" t="s">
        <v>265</v>
      </c>
      <c r="E309" s="10" t="s">
        <v>266</v>
      </c>
      <c r="F309" s="10" t="s">
        <v>267</v>
      </c>
    </row>
    <row r="310" customFormat="false" ht="15" hidden="false" customHeight="false" outlineLevel="0" collapsed="false">
      <c r="A310" s="3" t="n">
        <v>1</v>
      </c>
      <c r="B310" s="5" t="str">
        <f aca="false">IFERROR(INDEX('Perhitungan IPH Mingguan 2025'!$B$6:$B$25,MATCH(LARGE('Perhitungan IPH Mingguan 2025'!$HA$6:$HA$25,1),'Perhitungan IPH Mingguan 2025'!$HA$6:$HA$25,0)),"-")</f>
        <v>tahu mentah 1194011</v>
      </c>
      <c r="C310" s="20" t="n">
        <f aca="false">IFERROR(INDEX('Perhitungan IPH Mingguan 2025'!$C$6:$C$25,MATCH(LARGE('Perhitungan IPH Mingguan 2025'!$HA$6:$HA$25,1),'Perhitungan IPH Mingguan 2025'!$HA$6:$HA$25,0)),"")</f>
        <v>0.0213321576646518</v>
      </c>
      <c r="D310" s="14" t="n">
        <f aca="false">IFERROR(INDEX('Perhitungan IPH Mingguan 2025'!$DO$6:$DO$25,MATCH(LARGE('Perhitungan IPH Mingguan 2025'!$HA$6:$HA$25,1),'Perhitungan IPH Mingguan 2025'!$HA$6:$HA$25,0)),"")</f>
        <v>19.6850393700787</v>
      </c>
      <c r="E310" s="4" t="n">
        <f aca="false">IFERROR(INDEX('Perhitungan IPH Mingguan 2025'!$DP$6:$DP$25,MATCH(LARGE('Perhitungan IPH Mingguan 2025'!$HA$6:$HA$25,1),'Perhitungan IPH Mingguan 2025'!$HA$6:$HA$25,0)),"")</f>
        <v>0.419924363477397</v>
      </c>
      <c r="F310" s="21" t="str">
        <f aca="false">IF(ISNUMBER(E310),IF(E310&gt;0,"Penyumbang KENAIKAN IPH","Penyumbang PENURUNAN IPH"),"-")</f>
        <v>Penyumbang KENAIKAN IPH</v>
      </c>
    </row>
    <row r="311" customFormat="false" ht="15" hidden="false" customHeight="false" outlineLevel="0" collapsed="false">
      <c r="A311" s="3" t="n">
        <v>2</v>
      </c>
      <c r="B311" s="5" t="str">
        <f aca="false">IFERROR(INDEX('Perhitungan IPH Mingguan 2025'!$B$6:$B$25,MATCH(LARGE('Perhitungan IPH Mingguan 2025'!$HA$6:$HA$25,2),'Perhitungan IPH Mingguan 2025'!$HA$6:$HA$25,0)),"-")</f>
        <v>cabai rawit 01173013</v>
      </c>
      <c r="C311" s="20" t="n">
        <f aca="false">IFERROR(INDEX('Perhitungan IPH Mingguan 2025'!$C$6:$C$25,MATCH(LARGE('Perhitungan IPH Mingguan 2025'!$HA$6:$HA$25,2),'Perhitungan IPH Mingguan 2025'!$HA$6:$HA$25,0)),"")</f>
        <v>0.0177017323628706</v>
      </c>
      <c r="D311" s="14" t="n">
        <f aca="false">IFERROR(INDEX('Perhitungan IPH Mingguan 2025'!$DO$6:$DO$25,MATCH(LARGE('Perhitungan IPH Mingguan 2025'!$HA$6:$HA$25,2),'Perhitungan IPH Mingguan 2025'!$HA$6:$HA$25,0)),"")</f>
        <v>-13.4575569358178</v>
      </c>
      <c r="E311" s="4" t="n">
        <f aca="false">IFERROR(INDEX('Perhitungan IPH Mingguan 2025'!$DP$6:$DP$25,MATCH(LARGE('Perhitungan IPH Mingguan 2025'!$HA$6:$HA$25,2),'Perhitungan IPH Mingguan 2025'!$HA$6:$HA$25,0)),"")</f>
        <v>-0.23822207113594</v>
      </c>
      <c r="F311" s="21" t="str">
        <f aca="false">IF(ISNUMBER(E311),IF(E311&gt;0,"Penyumbang KENAIKAN IPH","Penyumbang PENURUNAN IPH"),"-")</f>
        <v>Penyumbang PENURUNAN IPH</v>
      </c>
    </row>
    <row r="312" customFormat="false" ht="15" hidden="false" customHeight="false" outlineLevel="0" collapsed="false">
      <c r="A312" s="3" t="n">
        <v>3</v>
      </c>
      <c r="B312" s="5" t="str">
        <f aca="false">IFERROR(INDEX('Perhitungan IPH Mingguan 2025'!$B$6:$B$25,MATCH(LARGE('Perhitungan IPH Mingguan 2025'!$HA$6:$HA$25,3),'Perhitungan IPH Mingguan 2025'!$HA$6:$HA$25,0)),"-")</f>
        <v>daging ayam ras 1124003</v>
      </c>
      <c r="C312" s="20" t="n">
        <f aca="false">IFERROR(INDEX('Perhitungan IPH Mingguan 2025'!$C$6:$C$25,MATCH(LARGE('Perhitungan IPH Mingguan 2025'!$HA$6:$HA$25,3),'Perhitungan IPH Mingguan 2025'!$HA$6:$HA$25,0)),"")</f>
        <v>0.0479107777850277</v>
      </c>
      <c r="D312" s="14" t="n">
        <f aca="false">IFERROR(INDEX('Perhitungan IPH Mingguan 2025'!$DO$6:$DO$25,MATCH(LARGE('Perhitungan IPH Mingguan 2025'!$HA$6:$HA$25,3),'Perhitungan IPH Mingguan 2025'!$HA$6:$HA$25,0)),"")</f>
        <v>-4.2910447761194</v>
      </c>
      <c r="E312" s="4" t="n">
        <f aca="false">IFERROR(INDEX('Perhitungan IPH Mingguan 2025'!$DP$6:$DP$25,MATCH(LARGE('Perhitungan IPH Mingguan 2025'!$HA$6:$HA$25,3),'Perhitungan IPH Mingguan 2025'!$HA$6:$HA$25,0)),"")</f>
        <v>-0.205587292734261</v>
      </c>
      <c r="F312" s="21" t="str">
        <f aca="false">IF(ISNUMBER(E312),IF(E312&gt;0,"Penyumbang KENAIKAN IPH","Penyumbang PENURUNAN IPH"),"-")</f>
        <v>Penyumbang PENURUNAN IPH</v>
      </c>
    </row>
    <row r="313" customFormat="false" ht="15" hidden="false" customHeight="false" outlineLevel="0" collapsed="false">
      <c r="A313" s="3" t="n">
        <v>4</v>
      </c>
      <c r="B313" s="5" t="str">
        <f aca="false">IFERROR(INDEX('Perhitungan IPH Mingguan 2025'!$B$6:$B$25,MATCH(LARGE('Perhitungan IPH Mingguan 2025'!$HA$6:$HA$25,4),'Perhitungan IPH Mingguan 2025'!$HA$6:$HA$25,0)),"-")</f>
        <v>cabai merah 01173012</v>
      </c>
      <c r="C313" s="20" t="n">
        <f aca="false">IFERROR(INDEX('Perhitungan IPH Mingguan 2025'!$C$6:$C$25,MATCH(LARGE('Perhitungan IPH Mingguan 2025'!$HA$6:$HA$25,4),'Perhitungan IPH Mingguan 2025'!$HA$6:$HA$25,0)),"")</f>
        <v>0.0110208839376634</v>
      </c>
      <c r="D313" s="14" t="n">
        <f aca="false">IFERROR(INDEX('Perhitungan IPH Mingguan 2025'!$DO$6:$DO$25,MATCH(LARGE('Perhitungan IPH Mingguan 2025'!$HA$6:$HA$25,4),'Perhitungan IPH Mingguan 2025'!$HA$6:$HA$25,0)),"")</f>
        <v>-12.2125813449024</v>
      </c>
      <c r="E313" s="4" t="n">
        <f aca="false">IFERROR(INDEX('Perhitungan IPH Mingguan 2025'!$DP$6:$DP$25,MATCH(LARGE('Perhitungan IPH Mingguan 2025'!$HA$6:$HA$25,4),'Perhitungan IPH Mingguan 2025'!$HA$6:$HA$25,0)),"")</f>
        <v>-0.134593441581442</v>
      </c>
      <c r="F313" s="21" t="str">
        <f aca="false">IF(ISNUMBER(E313),IF(E313&gt;0,"Penyumbang KENAIKAN IPH","Penyumbang PENURUNAN IPH"),"-")</f>
        <v>Penyumbang PENURUNAN IPH</v>
      </c>
    </row>
    <row r="314" customFormat="false" ht="15" hidden="false" customHeight="false" outlineLevel="0" collapsed="false">
      <c r="A314" s="3" t="n">
        <v>5</v>
      </c>
      <c r="B314" s="5" t="str">
        <f aca="false">IFERROR(INDEX('Perhitungan IPH Mingguan 2025'!$B$6:$B$25,MATCH(LARGE('Perhitungan IPH Mingguan 2025'!$HA$6:$HA$25,5),'Perhitungan IPH Mingguan 2025'!$HA$6:$HA$25,0)),"-")</f>
        <v>udang lobster 01132004</v>
      </c>
      <c r="C314" s="20" t="n">
        <f aca="false">IFERROR(INDEX('Perhitungan IPH Mingguan 2025'!$C$6:$C$25,MATCH(LARGE('Perhitungan IPH Mingguan 2025'!$HA$6:$HA$25,5),'Perhitungan IPH Mingguan 2025'!$HA$6:$HA$25,0)),"")</f>
        <v>0.0370107543210236</v>
      </c>
      <c r="D314" s="14" t="n">
        <f aca="false">IFERROR(INDEX('Perhitungan IPH Mingguan 2025'!$DO$6:$DO$25,MATCH(LARGE('Perhitungan IPH Mingguan 2025'!$HA$6:$HA$25,5),'Perhitungan IPH Mingguan 2025'!$HA$6:$HA$25,0)),"")</f>
        <v>2.47568523430592</v>
      </c>
      <c r="E314" s="4" t="n">
        <f aca="false">IFERROR(INDEX('Perhitungan IPH Mingguan 2025'!$DP$6:$DP$25,MATCH(LARGE('Perhitungan IPH Mingguan 2025'!$HA$6:$HA$25,5),'Perhitungan IPH Mingguan 2025'!$HA$6:$HA$25,0)),"")</f>
        <v>0.0916269779830821</v>
      </c>
      <c r="F314" s="21" t="str">
        <f aca="false">IF(ISNUMBER(E314),IF(E314&gt;0,"Penyumbang KENAIKAN IPH","Penyumbang PENURUNAN IPH"),"-")</f>
        <v>Penyumbang KENAIKAN IPH</v>
      </c>
    </row>
    <row r="316" customFormat="false" ht="15" hidden="false" customHeight="false" outlineLevel="0" collapsed="false">
      <c r="A316" s="19" t="s">
        <v>306</v>
      </c>
      <c r="B316" s="19"/>
      <c r="C316" s="19"/>
      <c r="D316" s="19"/>
      <c r="E316" s="19"/>
      <c r="F316" s="19"/>
    </row>
    <row r="317" customFormat="false" ht="15" hidden="false" customHeight="false" outlineLevel="0" collapsed="false">
      <c r="A317" s="10" t="s">
        <v>263</v>
      </c>
      <c r="B317" s="10" t="s">
        <v>264</v>
      </c>
      <c r="C317" s="10" t="s">
        <v>174</v>
      </c>
      <c r="D317" s="10" t="s">
        <v>265</v>
      </c>
      <c r="E317" s="10" t="s">
        <v>266</v>
      </c>
      <c r="F317" s="10" t="s">
        <v>267</v>
      </c>
    </row>
    <row r="318" customFormat="false" ht="15" hidden="false" customHeight="false" outlineLevel="0" collapsed="false">
      <c r="A318" s="3" t="n">
        <v>1</v>
      </c>
      <c r="B318" s="5" t="str">
        <f aca="false">IFERROR(INDEX('Perhitungan IPH Mingguan 2025'!$B$6:$B$25,MATCH(LARGE('Perhitungan IPH Mingguan 2025'!$HB$6:$HB$25,1),'Perhitungan IPH Mingguan 2025'!$HB$6:$HB$25,0)),"-")</f>
        <v>tahu mentah 1194011</v>
      </c>
      <c r="C318" s="20" t="n">
        <f aca="false">IFERROR(INDEX('Perhitungan IPH Mingguan 2025'!$C$6:$C$25,MATCH(LARGE('Perhitungan IPH Mingguan 2025'!$HB$6:$HB$25,1),'Perhitungan IPH Mingguan 2025'!$HB$6:$HB$25,0)),"")</f>
        <v>0.0213321576646518</v>
      </c>
      <c r="D318" s="14" t="n">
        <f aca="false">IFERROR(INDEX('Perhitungan IPH Mingguan 2025'!$DR$6:$DR$25,MATCH(LARGE('Perhitungan IPH Mingguan 2025'!$HB$6:$HB$25,1),'Perhitungan IPH Mingguan 2025'!$HB$6:$HB$25,0)),"")</f>
        <v>19.6850393700787</v>
      </c>
      <c r="E318" s="4" t="n">
        <f aca="false">IFERROR(INDEX('Perhitungan IPH Mingguan 2025'!$DS$6:$DS$25,MATCH(LARGE('Perhitungan IPH Mingguan 2025'!$HB$6:$HB$25,1),'Perhitungan IPH Mingguan 2025'!$HB$6:$HB$25,0)),"")</f>
        <v>0.419924363477397</v>
      </c>
      <c r="F318" s="21" t="str">
        <f aca="false">IF(ISNUMBER(E318),IF(E318&gt;0,"Penyumbang KENAIKAN IPH","Penyumbang PENURUNAN IPH"),"-")</f>
        <v>Penyumbang KENAIKAN IPH</v>
      </c>
    </row>
    <row r="319" customFormat="false" ht="15" hidden="false" customHeight="false" outlineLevel="0" collapsed="false">
      <c r="A319" s="3" t="n">
        <v>2</v>
      </c>
      <c r="B319" s="5" t="str">
        <f aca="false">IFERROR(INDEX('Perhitungan IPH Mingguan 2025'!$B$6:$B$25,MATCH(LARGE('Perhitungan IPH Mingguan 2025'!$HB$6:$HB$25,2),'Perhitungan IPH Mingguan 2025'!$HB$6:$HB$25,0)),"-")</f>
        <v>telur ayam ras 01147002</v>
      </c>
      <c r="C319" s="20" t="n">
        <f aca="false">IFERROR(INDEX('Perhitungan IPH Mingguan 2025'!$C$6:$C$25,MATCH(LARGE('Perhitungan IPH Mingguan 2025'!$HB$6:$HB$25,2),'Perhitungan IPH Mingguan 2025'!$HB$6:$HB$25,0)),"")</f>
        <v>0.0298777910794593</v>
      </c>
      <c r="D319" s="14" t="n">
        <f aca="false">IFERROR(INDEX('Perhitungan IPH Mingguan 2025'!$DR$6:$DR$25,MATCH(LARGE('Perhitungan IPH Mingguan 2025'!$HB$6:$HB$25,2),'Perhitungan IPH Mingguan 2025'!$HB$6:$HB$25,0)),"")</f>
        <v>7.96420581655482</v>
      </c>
      <c r="E319" s="4" t="n">
        <f aca="false">IFERROR(INDEX('Perhitungan IPH Mingguan 2025'!$DS$6:$DS$25,MATCH(LARGE('Perhitungan IPH Mingguan 2025'!$HB$6:$HB$25,2),'Perhitungan IPH Mingguan 2025'!$HB$6:$HB$25,0)),"")</f>
        <v>0.237952877500839</v>
      </c>
      <c r="F319" s="21" t="str">
        <f aca="false">IF(ISNUMBER(E319),IF(E319&gt;0,"Penyumbang KENAIKAN IPH","Penyumbang PENURUNAN IPH"),"-")</f>
        <v>Penyumbang KENAIKAN IPH</v>
      </c>
    </row>
    <row r="320" customFormat="false" ht="15" hidden="false" customHeight="false" outlineLevel="0" collapsed="false">
      <c r="A320" s="3" t="n">
        <v>3</v>
      </c>
      <c r="B320" s="5" t="str">
        <f aca="false">IFERROR(INDEX('Perhitungan IPH Mingguan 2025'!$B$6:$B$25,MATCH(LARGE('Perhitungan IPH Mingguan 2025'!$HB$6:$HB$25,3),'Perhitungan IPH Mingguan 2025'!$HB$6:$HB$25,0)),"-")</f>
        <v>cabai rawit 01173013</v>
      </c>
      <c r="C320" s="20" t="n">
        <f aca="false">IFERROR(INDEX('Perhitungan IPH Mingguan 2025'!$C$6:$C$25,MATCH(LARGE('Perhitungan IPH Mingguan 2025'!$HB$6:$HB$25,3),'Perhitungan IPH Mingguan 2025'!$HB$6:$HB$25,0)),"")</f>
        <v>0.0177017323628706</v>
      </c>
      <c r="D320" s="14" t="n">
        <f aca="false">IFERROR(INDEX('Perhitungan IPH Mingguan 2025'!$DR$6:$DR$25,MATCH(LARGE('Perhitungan IPH Mingguan 2025'!$HB$6:$HB$25,3),'Perhitungan IPH Mingguan 2025'!$HB$6:$HB$25,0)),"")</f>
        <v>-11.8840579710145</v>
      </c>
      <c r="E320" s="4" t="n">
        <f aca="false">IFERROR(INDEX('Perhitungan IPH Mingguan 2025'!$DS$6:$DS$25,MATCH(LARGE('Perhitungan IPH Mingguan 2025'!$HB$6:$HB$25,3),'Perhitungan IPH Mingguan 2025'!$HB$6:$HB$25,0)),"")</f>
        <v>-0.210368413587738</v>
      </c>
      <c r="F320" s="21" t="str">
        <f aca="false">IF(ISNUMBER(E320),IF(E320&gt;0,"Penyumbang KENAIKAN IPH","Penyumbang PENURUNAN IPH"),"-")</f>
        <v>Penyumbang PENURUNAN IPH</v>
      </c>
    </row>
    <row r="321" customFormat="false" ht="15" hidden="false" customHeight="false" outlineLevel="0" collapsed="false">
      <c r="A321" s="3" t="n">
        <v>4</v>
      </c>
      <c r="B321" s="5" t="str">
        <f aca="false">IFERROR(INDEX('Perhitungan IPH Mingguan 2025'!$B$6:$B$25,MATCH(LARGE('Perhitungan IPH Mingguan 2025'!$HB$6:$HB$25,4),'Perhitungan IPH Mingguan 2025'!$HB$6:$HB$25,0)),"-")</f>
        <v>daging ayam ras 1124003</v>
      </c>
      <c r="C321" s="20" t="n">
        <f aca="false">IFERROR(INDEX('Perhitungan IPH Mingguan 2025'!$C$6:$C$25,MATCH(LARGE('Perhitungan IPH Mingguan 2025'!$HB$6:$HB$25,4),'Perhitungan IPH Mingguan 2025'!$HB$6:$HB$25,0)),"")</f>
        <v>0.0479107777850277</v>
      </c>
      <c r="D321" s="14" t="n">
        <f aca="false">IFERROR(INDEX('Perhitungan IPH Mingguan 2025'!$DR$6:$DR$25,MATCH(LARGE('Perhitungan IPH Mingguan 2025'!$HB$6:$HB$25,4),'Perhitungan IPH Mingguan 2025'!$HB$6:$HB$25,0)),"")</f>
        <v>-4.2910447761194</v>
      </c>
      <c r="E321" s="4" t="n">
        <f aca="false">IFERROR(INDEX('Perhitungan IPH Mingguan 2025'!$DS$6:$DS$25,MATCH(LARGE('Perhitungan IPH Mingguan 2025'!$HB$6:$HB$25,4),'Perhitungan IPH Mingguan 2025'!$HB$6:$HB$25,0)),"")</f>
        <v>-0.205587292734261</v>
      </c>
      <c r="F321" s="21" t="str">
        <f aca="false">IF(ISNUMBER(E321),IF(E321&gt;0,"Penyumbang KENAIKAN IPH","Penyumbang PENURUNAN IPH"),"-")</f>
        <v>Penyumbang PENURUNAN IPH</v>
      </c>
    </row>
    <row r="322" customFormat="false" ht="15" hidden="false" customHeight="false" outlineLevel="0" collapsed="false">
      <c r="A322" s="3" t="n">
        <v>5</v>
      </c>
      <c r="B322" s="5" t="str">
        <f aca="false">IFERROR(INDEX('Perhitungan IPH Mingguan 2025'!$B$6:$B$25,MATCH(LARGE('Perhitungan IPH Mingguan 2025'!$HB$6:$HB$25,5),'Perhitungan IPH Mingguan 2025'!$HB$6:$HB$25,0)),"-")</f>
        <v>cabai merah 01173012</v>
      </c>
      <c r="C322" s="20" t="n">
        <f aca="false">IFERROR(INDEX('Perhitungan IPH Mingguan 2025'!$C$6:$C$25,MATCH(LARGE('Perhitungan IPH Mingguan 2025'!$HB$6:$HB$25,5),'Perhitungan IPH Mingguan 2025'!$HB$6:$HB$25,0)),"")</f>
        <v>0.0110208839376634</v>
      </c>
      <c r="D322" s="14" t="n">
        <f aca="false">IFERROR(INDEX('Perhitungan IPH Mingguan 2025'!$DR$6:$DR$25,MATCH(LARGE('Perhitungan IPH Mingguan 2025'!$HB$6:$HB$25,5),'Perhitungan IPH Mingguan 2025'!$HB$6:$HB$25,0)),"")</f>
        <v>-11.8004338394794</v>
      </c>
      <c r="E322" s="4" t="n">
        <f aca="false">IFERROR(INDEX('Perhitungan IPH Mingguan 2025'!$DS$6:$DS$25,MATCH(LARGE('Perhitungan IPH Mingguan 2025'!$HB$6:$HB$25,5),'Perhitungan IPH Mingguan 2025'!$HB$6:$HB$25,0)),"")</f>
        <v>-0.130051211758978</v>
      </c>
      <c r="F322" s="21" t="str">
        <f aca="false">IF(ISNUMBER(E322),IF(E322&gt;0,"Penyumbang KENAIKAN IPH","Penyumbang PENURUNAN IPH"),"-")</f>
        <v>Penyumbang PENURUNAN IPH</v>
      </c>
    </row>
    <row r="324" customFormat="false" ht="15" hidden="false" customHeight="false" outlineLevel="0" collapsed="false">
      <c r="A324" s="19" t="s">
        <v>307</v>
      </c>
      <c r="B324" s="19"/>
      <c r="C324" s="19"/>
      <c r="D324" s="19"/>
      <c r="E324" s="19"/>
      <c r="F324" s="19"/>
    </row>
    <row r="325" customFormat="false" ht="15" hidden="false" customHeight="false" outlineLevel="0" collapsed="false">
      <c r="A325" s="10" t="s">
        <v>263</v>
      </c>
      <c r="B325" s="10" t="s">
        <v>264</v>
      </c>
      <c r="C325" s="10" t="s">
        <v>174</v>
      </c>
      <c r="D325" s="10" t="s">
        <v>265</v>
      </c>
      <c r="E325" s="10" t="s">
        <v>266</v>
      </c>
      <c r="F325" s="10" t="s">
        <v>267</v>
      </c>
    </row>
    <row r="326" customFormat="false" ht="15" hidden="false" customHeight="false" outlineLevel="0" collapsed="false">
      <c r="A326" s="3" t="n">
        <v>1</v>
      </c>
      <c r="B326" s="5" t="str">
        <f aca="false">IFERROR(INDEX('Perhitungan IPH Mingguan 2025'!$B$6:$B$25,MATCH(LARGE('Perhitungan IPH Mingguan 2025'!$HC$6:$HC$25,1),'Perhitungan IPH Mingguan 2025'!$HC$6:$HC$25,0)),"-")</f>
        <v>tahu mentah 1194011</v>
      </c>
      <c r="C326" s="20" t="n">
        <f aca="false">IFERROR(INDEX('Perhitungan IPH Mingguan 2025'!$C$6:$C$25,MATCH(LARGE('Perhitungan IPH Mingguan 2025'!$HC$6:$HC$25,1),'Perhitungan IPH Mingguan 2025'!$HC$6:$HC$25,0)),"")</f>
        <v>0.0213321576646518</v>
      </c>
      <c r="D326" s="14" t="n">
        <f aca="false">IFERROR(INDEX('Perhitungan IPH Mingguan 2025'!$DU$6:$DU$25,MATCH(LARGE('Perhitungan IPH Mingguan 2025'!$HC$6:$HC$25,1),'Perhitungan IPH Mingguan 2025'!$HC$6:$HC$25,0)),"")</f>
        <v>19.6850393700787</v>
      </c>
      <c r="E326" s="4" t="n">
        <f aca="false">IFERROR(INDEX('Perhitungan IPH Mingguan 2025'!$DV$6:$DV$25,MATCH(LARGE('Perhitungan IPH Mingguan 2025'!$HC$6:$HC$25,1),'Perhitungan IPH Mingguan 2025'!$HC$6:$HC$25,0)),"")</f>
        <v>0.419924363477397</v>
      </c>
      <c r="F326" s="21" t="str">
        <f aca="false">IF(ISNUMBER(E326),IF(E326&gt;0,"Penyumbang KENAIKAN IPH","Penyumbang PENURUNAN IPH"),"-")</f>
        <v>Penyumbang KENAIKAN IPH</v>
      </c>
    </row>
    <row r="327" customFormat="false" ht="15" hidden="false" customHeight="false" outlineLevel="0" collapsed="false">
      <c r="A327" s="3" t="n">
        <v>2</v>
      </c>
      <c r="B327" s="5" t="str">
        <f aca="false">IFERROR(INDEX('Perhitungan IPH Mingguan 2025'!$B$6:$B$25,MATCH(LARGE('Perhitungan IPH Mingguan 2025'!$HC$6:$HC$25,2),'Perhitungan IPH Mingguan 2025'!$HC$6:$HC$25,0)),"-")</f>
        <v>bawang merah 1174006</v>
      </c>
      <c r="C327" s="20" t="n">
        <f aca="false">IFERROR(INDEX('Perhitungan IPH Mingguan 2025'!$C$6:$C$25,MATCH(LARGE('Perhitungan IPH Mingguan 2025'!$HC$6:$HC$25,2),'Perhitungan IPH Mingguan 2025'!$HC$6:$HC$25,0)),"")</f>
        <v>0.0194434650422287</v>
      </c>
      <c r="D327" s="14" t="n">
        <f aca="false">IFERROR(INDEX('Perhitungan IPH Mingguan 2025'!$DU$6:$DU$25,MATCH(LARGE('Perhitungan IPH Mingguan 2025'!$HC$6:$HC$25,2),'Perhitungan IPH Mingguan 2025'!$HC$6:$HC$25,0)),"")</f>
        <v>-14.6376811594203</v>
      </c>
      <c r="E327" s="4" t="n">
        <f aca="false">IFERROR(INDEX('Perhitungan IPH Mingguan 2025'!$DV$6:$DV$25,MATCH(LARGE('Perhitungan IPH Mingguan 2025'!$HC$6:$HC$25,2),'Perhitungan IPH Mingguan 2025'!$HC$6:$HC$25,0)),"")</f>
        <v>-0.284607241922478</v>
      </c>
      <c r="F327" s="21" t="str">
        <f aca="false">IF(ISNUMBER(E327),IF(E327&gt;0,"Penyumbang KENAIKAN IPH","Penyumbang PENURUNAN IPH"),"-")</f>
        <v>Penyumbang PENURUNAN IPH</v>
      </c>
    </row>
    <row r="328" customFormat="false" ht="15" hidden="false" customHeight="false" outlineLevel="0" collapsed="false">
      <c r="A328" s="3" t="n">
        <v>3</v>
      </c>
      <c r="B328" s="5" t="str">
        <f aca="false">IFERROR(INDEX('Perhitungan IPH Mingguan 2025'!$B$6:$B$25,MATCH(LARGE('Perhitungan IPH Mingguan 2025'!$HC$6:$HC$25,3),'Perhitungan IPH Mingguan 2025'!$HC$6:$HC$25,0)),"-")</f>
        <v>telur ayam ras 01147002</v>
      </c>
      <c r="C328" s="20" t="n">
        <f aca="false">IFERROR(INDEX('Perhitungan IPH Mingguan 2025'!$C$6:$C$25,MATCH(LARGE('Perhitungan IPH Mingguan 2025'!$HC$6:$HC$25,3),'Perhitungan IPH Mingguan 2025'!$HC$6:$HC$25,0)),"")</f>
        <v>0.0298777910794593</v>
      </c>
      <c r="D328" s="14" t="n">
        <f aca="false">IFERROR(INDEX('Perhitungan IPH Mingguan 2025'!$DU$6:$DU$25,MATCH(LARGE('Perhitungan IPH Mingguan 2025'!$HC$6:$HC$25,3),'Perhitungan IPH Mingguan 2025'!$HC$6:$HC$25,0)),"")</f>
        <v>8.81431767337808</v>
      </c>
      <c r="E328" s="4" t="n">
        <f aca="false">IFERROR(INDEX('Perhitungan IPH Mingguan 2025'!$DV$6:$DV$25,MATCH(LARGE('Perhitungan IPH Mingguan 2025'!$HC$6:$HC$25,3),'Perhitungan IPH Mingguan 2025'!$HC$6:$HC$25,0)),"")</f>
        <v>0.263352341953176</v>
      </c>
      <c r="F328" s="21" t="str">
        <f aca="false">IF(ISNUMBER(E328),IF(E328&gt;0,"Penyumbang KENAIKAN IPH","Penyumbang PENURUNAN IPH"),"-")</f>
        <v>Penyumbang KENAIKAN IPH</v>
      </c>
    </row>
    <row r="329" customFormat="false" ht="15" hidden="false" customHeight="false" outlineLevel="0" collapsed="false">
      <c r="A329" s="3" t="n">
        <v>4</v>
      </c>
      <c r="B329" s="5" t="str">
        <f aca="false">IFERROR(INDEX('Perhitungan IPH Mingguan 2025'!$B$6:$B$25,MATCH(LARGE('Perhitungan IPH Mingguan 2025'!$HC$6:$HC$25,4),'Perhitungan IPH Mingguan 2025'!$HC$6:$HC$25,0)),"-")</f>
        <v>cabai rawit 01173013</v>
      </c>
      <c r="C329" s="20" t="n">
        <f aca="false">IFERROR(INDEX('Perhitungan IPH Mingguan 2025'!$C$6:$C$25,MATCH(LARGE('Perhitungan IPH Mingguan 2025'!$HC$6:$HC$25,4),'Perhitungan IPH Mingguan 2025'!$HC$6:$HC$25,0)),"")</f>
        <v>0.0177017323628706</v>
      </c>
      <c r="D329" s="14" t="n">
        <f aca="false">IFERROR(INDEX('Perhitungan IPH Mingguan 2025'!$DU$6:$DU$25,MATCH(LARGE('Perhitungan IPH Mingguan 2025'!$HC$6:$HC$25,4),'Perhitungan IPH Mingguan 2025'!$HC$6:$HC$25,0)),"")</f>
        <v>-6.3768115942029</v>
      </c>
      <c r="E329" s="4" t="n">
        <f aca="false">IFERROR(INDEX('Perhitungan IPH Mingguan 2025'!$DV$6:$DV$25,MATCH(LARGE('Perhitungan IPH Mingguan 2025'!$HC$6:$HC$25,4),'Perhitungan IPH Mingguan 2025'!$HC$6:$HC$25,0)),"")</f>
        <v>-0.11288061216903</v>
      </c>
      <c r="F329" s="21" t="str">
        <f aca="false">IF(ISNUMBER(E329),IF(E329&gt;0,"Penyumbang KENAIKAN IPH","Penyumbang PENURUNAN IPH"),"-")</f>
        <v>Penyumbang PENURUNAN IPH</v>
      </c>
    </row>
    <row r="330" customFormat="false" ht="15" hidden="false" customHeight="false" outlineLevel="0" collapsed="false">
      <c r="A330" s="3" t="n">
        <v>5</v>
      </c>
      <c r="B330" s="5" t="str">
        <f aca="false">IFERROR(INDEX('Perhitungan IPH Mingguan 2025'!$B$6:$B$25,MATCH(LARGE('Perhitungan IPH Mingguan 2025'!$HC$6:$HC$25,5),'Perhitungan IPH Mingguan 2025'!$HC$6:$HC$25,0)),"-")</f>
        <v>udang lobster 01132004</v>
      </c>
      <c r="C330" s="20" t="n">
        <f aca="false">IFERROR(INDEX('Perhitungan IPH Mingguan 2025'!$C$6:$C$25,MATCH(LARGE('Perhitungan IPH Mingguan 2025'!$HC$6:$HC$25,5),'Perhitungan IPH Mingguan 2025'!$HC$6:$HC$25,0)),"")</f>
        <v>0.0370107543210236</v>
      </c>
      <c r="D330" s="14" t="n">
        <f aca="false">IFERROR(INDEX('Perhitungan IPH Mingguan 2025'!$DU$6:$DU$25,MATCH(LARGE('Perhitungan IPH Mingguan 2025'!$HC$6:$HC$25,5),'Perhitungan IPH Mingguan 2025'!$HC$6:$HC$25,0)),"")</f>
        <v>2.47568523430592</v>
      </c>
      <c r="E330" s="4" t="n">
        <f aca="false">IFERROR(INDEX('Perhitungan IPH Mingguan 2025'!$DV$6:$DV$25,MATCH(LARGE('Perhitungan IPH Mingguan 2025'!$HC$6:$HC$25,5),'Perhitungan IPH Mingguan 2025'!$HC$6:$HC$25,0)),"")</f>
        <v>0.0916269779830821</v>
      </c>
      <c r="F330" s="21" t="str">
        <f aca="false">IF(ISNUMBER(E330),IF(E330&gt;0,"Penyumbang KENAIKAN IPH","Penyumbang PENURUNAN IPH"),"-")</f>
        <v>Penyumbang KENAIKAN IPH</v>
      </c>
    </row>
    <row r="332" customFormat="false" ht="15" hidden="false" customHeight="false" outlineLevel="0" collapsed="false">
      <c r="A332" s="19" t="s">
        <v>308</v>
      </c>
      <c r="B332" s="19"/>
      <c r="C332" s="19"/>
      <c r="D332" s="19"/>
      <c r="E332" s="19"/>
      <c r="F332" s="19"/>
    </row>
    <row r="333" customFormat="false" ht="15" hidden="false" customHeight="false" outlineLevel="0" collapsed="false">
      <c r="A333" s="10" t="s">
        <v>263</v>
      </c>
      <c r="B333" s="10" t="s">
        <v>264</v>
      </c>
      <c r="C333" s="10" t="s">
        <v>174</v>
      </c>
      <c r="D333" s="10" t="s">
        <v>265</v>
      </c>
      <c r="E333" s="10" t="s">
        <v>266</v>
      </c>
      <c r="F333" s="10" t="s">
        <v>267</v>
      </c>
    </row>
    <row r="334" customFormat="false" ht="15" hidden="false" customHeight="false" outlineLevel="0" collapsed="false">
      <c r="A334" s="3" t="n">
        <v>1</v>
      </c>
      <c r="B334" s="5" t="str">
        <f aca="false">IFERROR(INDEX('Perhitungan IPH Mingguan 2025'!$B$6:$B$25,MATCH(LARGE('Perhitungan IPH Mingguan 2025'!$HD$6:$HD$25,1),'Perhitungan IPH Mingguan 2025'!$HD$6:$HD$25,0)),"-")</f>
        <v>daging ayam ras 1124003</v>
      </c>
      <c r="C334" s="20" t="n">
        <f aca="false">IFERROR(INDEX('Perhitungan IPH Mingguan 2025'!$C$6:$C$25,MATCH(LARGE('Perhitungan IPH Mingguan 2025'!$HD$6:$HD$25,1),'Perhitungan IPH Mingguan 2025'!$HD$6:$HD$25,0)),"")</f>
        <v>0.0479107777850277</v>
      </c>
      <c r="D334" s="14" t="n">
        <f aca="false">IFERROR(INDEX('Perhitungan IPH Mingguan 2025'!$DX$6:$DX$25,MATCH(LARGE('Perhitungan IPH Mingguan 2025'!$HD$6:$HD$25,1),'Perhitungan IPH Mingguan 2025'!$HD$6:$HD$25,0)),"")</f>
        <v>5.35372848948375</v>
      </c>
      <c r="E334" s="4" t="n">
        <f aca="false">IFERROR(INDEX('Perhitungan IPH Mingguan 2025'!$DY$6:$DY$25,MATCH(LARGE('Perhitungan IPH Mingguan 2025'!$HD$6:$HD$25,1),'Perhitungan IPH Mingguan 2025'!$HD$6:$HD$25,0)),"")</f>
        <v>0.256501295981028</v>
      </c>
      <c r="F334" s="21" t="str">
        <f aca="false">IF(ISNUMBER(E334),IF(E334&gt;0,"Penyumbang KENAIKAN IPH","Penyumbang PENURUNAN IPH"),"-")</f>
        <v>Penyumbang KENAIKAN IPH</v>
      </c>
    </row>
    <row r="335" customFormat="false" ht="15" hidden="false" customHeight="false" outlineLevel="0" collapsed="false">
      <c r="A335" s="3" t="n">
        <v>2</v>
      </c>
      <c r="B335" s="5" t="str">
        <f aca="false">IFERROR(INDEX('Perhitungan IPH Mingguan 2025'!$B$6:$B$25,MATCH(LARGE('Perhitungan IPH Mingguan 2025'!$HD$6:$HD$25,2),'Perhitungan IPH Mingguan 2025'!$HD$6:$HD$25,0)),"-")</f>
        <v>cabai rawit 01173013</v>
      </c>
      <c r="C335" s="20" t="n">
        <f aca="false">IFERROR(INDEX('Perhitungan IPH Mingguan 2025'!$C$6:$C$25,MATCH(LARGE('Perhitungan IPH Mingguan 2025'!$HD$6:$HD$25,2),'Perhitungan IPH Mingguan 2025'!$HD$6:$HD$25,0)),"")</f>
        <v>0.0177017323628706</v>
      </c>
      <c r="D335" s="14" t="n">
        <f aca="false">IFERROR(INDEX('Perhitungan IPH Mingguan 2025'!$DX$6:$DX$25,MATCH(LARGE('Perhitungan IPH Mingguan 2025'!$HD$6:$HD$25,2),'Perhitungan IPH Mingguan 2025'!$HD$6:$HD$25,0)),"")</f>
        <v>13.5632183908046</v>
      </c>
      <c r="E335" s="4" t="n">
        <f aca="false">IFERROR(INDEX('Perhitungan IPH Mingguan 2025'!$DY$6:$DY$25,MATCH(LARGE('Perhitungan IPH Mingguan 2025'!$HD$6:$HD$25,2),'Perhitungan IPH Mingguan 2025'!$HD$6:$HD$25,0)),"")</f>
        <v>0.240092461933187</v>
      </c>
      <c r="F335" s="21" t="str">
        <f aca="false">IF(ISNUMBER(E335),IF(E335&gt;0,"Penyumbang KENAIKAN IPH","Penyumbang PENURUNAN IPH"),"-")</f>
        <v>Penyumbang KENAIKAN IPH</v>
      </c>
    </row>
    <row r="336" customFormat="false" ht="15" hidden="false" customHeight="false" outlineLevel="0" collapsed="false">
      <c r="A336" s="3" t="n">
        <v>3</v>
      </c>
      <c r="B336" s="5" t="str">
        <f aca="false">IFERROR(INDEX('Perhitungan IPH Mingguan 2025'!$B$6:$B$25,MATCH(LARGE('Perhitungan IPH Mingguan 2025'!$HD$6:$HD$25,3),'Perhitungan IPH Mingguan 2025'!$HD$6:$HD$25,0)),"-")</f>
        <v>bawang merah 1174006</v>
      </c>
      <c r="C336" s="20" t="n">
        <f aca="false">IFERROR(INDEX('Perhitungan IPH Mingguan 2025'!$C$6:$C$25,MATCH(LARGE('Perhitungan IPH Mingguan 2025'!$HD$6:$HD$25,3),'Perhitungan IPH Mingguan 2025'!$HD$6:$HD$25,0)),"")</f>
        <v>0.0194434650422287</v>
      </c>
      <c r="D336" s="14" t="n">
        <f aca="false">IFERROR(INDEX('Perhitungan IPH Mingguan 2025'!$DX$6:$DX$25,MATCH(LARGE('Perhitungan IPH Mingguan 2025'!$HD$6:$HD$25,3),'Perhitungan IPH Mingguan 2025'!$HD$6:$HD$25,0)),"")</f>
        <v>-8.65384615384616</v>
      </c>
      <c r="E336" s="4" t="n">
        <f aca="false">IFERROR(INDEX('Perhitungan IPH Mingguan 2025'!$DY$6:$DY$25,MATCH(LARGE('Perhitungan IPH Mingguan 2025'!$HD$6:$HD$25,3),'Perhitungan IPH Mingguan 2025'!$HD$6:$HD$25,0)),"")</f>
        <v>-0.168260755173133</v>
      </c>
      <c r="F336" s="21" t="str">
        <f aca="false">IF(ISNUMBER(E336),IF(E336&gt;0,"Penyumbang KENAIKAN IPH","Penyumbang PENURUNAN IPH"),"-")</f>
        <v>Penyumbang PENURUNAN IPH</v>
      </c>
    </row>
    <row r="337" customFormat="false" ht="15" hidden="false" customHeight="false" outlineLevel="0" collapsed="false">
      <c r="A337" s="3" t="n">
        <v>4</v>
      </c>
      <c r="B337" s="5" t="str">
        <f aca="false">IFERROR(INDEX('Perhitungan IPH Mingguan 2025'!$B$6:$B$25,MATCH(LARGE('Perhitungan IPH Mingguan 2025'!$HD$6:$HD$25,4),'Perhitungan IPH Mingguan 2025'!$HD$6:$HD$25,0)),"-")</f>
        <v>cabai merah 01173012</v>
      </c>
      <c r="C337" s="20" t="n">
        <f aca="false">IFERROR(INDEX('Perhitungan IPH Mingguan 2025'!$C$6:$C$25,MATCH(LARGE('Perhitungan IPH Mingguan 2025'!$HD$6:$HD$25,4),'Perhitungan IPH Mingguan 2025'!$HD$6:$HD$25,0)),"")</f>
        <v>0.0110208839376634</v>
      </c>
      <c r="D337" s="14" t="n">
        <f aca="false">IFERROR(INDEX('Perhitungan IPH Mingguan 2025'!$DX$6:$DX$25,MATCH(LARGE('Perhitungan IPH Mingguan 2025'!$HD$6:$HD$25,4),'Perhitungan IPH Mingguan 2025'!$HD$6:$HD$25,0)),"")</f>
        <v>7.80141843971632</v>
      </c>
      <c r="E337" s="4" t="n">
        <f aca="false">IFERROR(INDEX('Perhitungan IPH Mingguan 2025'!$DY$6:$DY$25,MATCH(LARGE('Perhitungan IPH Mingguan 2025'!$HD$6:$HD$25,4),'Perhitungan IPH Mingguan 2025'!$HD$6:$HD$25,0)),"")</f>
        <v>0.0859785271732607</v>
      </c>
      <c r="F337" s="21" t="str">
        <f aca="false">IF(ISNUMBER(E337),IF(E337&gt;0,"Penyumbang KENAIKAN IPH","Penyumbang PENURUNAN IPH"),"-")</f>
        <v>Penyumbang KENAIKAN IPH</v>
      </c>
    </row>
    <row r="338" customFormat="false" ht="15" hidden="false" customHeight="false" outlineLevel="0" collapsed="false">
      <c r="A338" s="3" t="n">
        <v>5</v>
      </c>
      <c r="B338" s="5" t="str">
        <f aca="false">IFERROR(INDEX('Perhitungan IPH Mingguan 2025'!$B$6:$B$25,MATCH(LARGE('Perhitungan IPH Mingguan 2025'!$HD$6:$HD$25,5),'Perhitungan IPH Mingguan 2025'!$HD$6:$HD$25,0)),"-")</f>
        <v>telur ayam ras 01147002</v>
      </c>
      <c r="C338" s="20" t="n">
        <f aca="false">IFERROR(INDEX('Perhitungan IPH Mingguan 2025'!$C$6:$C$25,MATCH(LARGE('Perhitungan IPH Mingguan 2025'!$HD$6:$HD$25,5),'Perhitungan IPH Mingguan 2025'!$HD$6:$HD$25,0)),"")</f>
        <v>0.0298777910794593</v>
      </c>
      <c r="D338" s="14" t="n">
        <f aca="false">IFERROR(INDEX('Perhitungan IPH Mingguan 2025'!$DX$6:$DX$25,MATCH(LARGE('Perhitungan IPH Mingguan 2025'!$HD$6:$HD$25,5),'Perhitungan IPH Mingguan 2025'!$HD$6:$HD$25,0)),"")</f>
        <v>1.27931769722814</v>
      </c>
      <c r="E338" s="4" t="n">
        <f aca="false">IFERROR(INDEX('Perhitungan IPH Mingguan 2025'!$DY$6:$DY$25,MATCH(LARGE('Perhitungan IPH Mingguan 2025'!$HD$6:$HD$25,5),'Perhitungan IPH Mingguan 2025'!$HD$6:$HD$25,0)),"")</f>
        <v>0.0382231868820374</v>
      </c>
      <c r="F338" s="21" t="str">
        <f aca="false">IF(ISNUMBER(E338),IF(E338&gt;0,"Penyumbang KENAIKAN IPH","Penyumbang PENURUNAN IPH"),"-")</f>
        <v>Penyumbang KENAIKAN IPH</v>
      </c>
    </row>
    <row r="340" customFormat="false" ht="15" hidden="false" customHeight="false" outlineLevel="0" collapsed="false">
      <c r="A340" s="19" t="s">
        <v>309</v>
      </c>
      <c r="B340" s="19"/>
      <c r="C340" s="19"/>
      <c r="D340" s="19"/>
      <c r="E340" s="19"/>
      <c r="F340" s="19"/>
    </row>
    <row r="341" customFormat="false" ht="15" hidden="false" customHeight="false" outlineLevel="0" collapsed="false">
      <c r="A341" s="10" t="s">
        <v>263</v>
      </c>
      <c r="B341" s="10" t="s">
        <v>264</v>
      </c>
      <c r="C341" s="10" t="s">
        <v>174</v>
      </c>
      <c r="D341" s="10" t="s">
        <v>265</v>
      </c>
      <c r="E341" s="10" t="s">
        <v>266</v>
      </c>
      <c r="F341" s="10" t="s">
        <v>267</v>
      </c>
    </row>
    <row r="342" customFormat="false" ht="15" hidden="false" customHeight="false" outlineLevel="0" collapsed="false">
      <c r="A342" s="3" t="n">
        <v>1</v>
      </c>
      <c r="B342" s="5" t="str">
        <f aca="false">IFERROR(INDEX('Perhitungan IPH Mingguan 2025'!$B$6:$B$25,MATCH(LARGE('Perhitungan IPH Mingguan 2025'!$HE$6:$HE$25,1),'Perhitungan IPH Mingguan 2025'!$HE$6:$HE$25,0)),"-")</f>
        <v>bawang merah 1174006</v>
      </c>
      <c r="C342" s="20" t="n">
        <f aca="false">IFERROR(INDEX('Perhitungan IPH Mingguan 2025'!$C$6:$C$25,MATCH(LARGE('Perhitungan IPH Mingguan 2025'!$HE$6:$HE$25,1),'Perhitungan IPH Mingguan 2025'!$HE$6:$HE$25,0)),"")</f>
        <v>0.0194434650422287</v>
      </c>
      <c r="D342" s="14" t="n">
        <f aca="false">IFERROR(INDEX('Perhitungan IPH Mingguan 2025'!$EA$6:$EA$25,MATCH(LARGE('Perhitungan IPH Mingguan 2025'!$HE$6:$HE$25,1),'Perhitungan IPH Mingguan 2025'!$HE$6:$HE$25,0)),"")</f>
        <v>-10.8461538461539</v>
      </c>
      <c r="E342" s="4" t="n">
        <f aca="false">IFERROR(INDEX('Perhitungan IPH Mingguan 2025'!$EB$6:$EB$25,MATCH(LARGE('Perhitungan IPH Mingguan 2025'!$HE$6:$HE$25,1),'Perhitungan IPH Mingguan 2025'!$HE$6:$HE$25,0)),"")</f>
        <v>-0.210886813150327</v>
      </c>
      <c r="F342" s="21" t="str">
        <f aca="false">IF(ISNUMBER(E342),IF(E342&gt;0,"Penyumbang KENAIKAN IPH","Penyumbang PENURUNAN IPH"),"-")</f>
        <v>Penyumbang PENURUNAN IPH</v>
      </c>
    </row>
    <row r="343" customFormat="false" ht="15" hidden="false" customHeight="false" outlineLevel="0" collapsed="false">
      <c r="A343" s="3" t="n">
        <v>2</v>
      </c>
      <c r="B343" s="5" t="str">
        <f aca="false">IFERROR(INDEX('Perhitungan IPH Mingguan 2025'!$B$6:$B$25,MATCH(LARGE('Perhitungan IPH Mingguan 2025'!$HE$6:$HE$25,2),'Perhitungan IPH Mingguan 2025'!$HE$6:$HE$25,0)),"-")</f>
        <v>cabai rawit 01173013</v>
      </c>
      <c r="C343" s="20" t="n">
        <f aca="false">IFERROR(INDEX('Perhitungan IPH Mingguan 2025'!$C$6:$C$25,MATCH(LARGE('Perhitungan IPH Mingguan 2025'!$HE$6:$HE$25,2),'Perhitungan IPH Mingguan 2025'!$HE$6:$HE$25,0)),"")</f>
        <v>0.0177017323628706</v>
      </c>
      <c r="D343" s="14" t="n">
        <f aca="false">IFERROR(INDEX('Perhitungan IPH Mingguan 2025'!$EA$6:$EA$25,MATCH(LARGE('Perhitungan IPH Mingguan 2025'!$HE$6:$HE$25,2),'Perhitungan IPH Mingguan 2025'!$HE$6:$HE$25,0)),"")</f>
        <v>10.0689655172414</v>
      </c>
      <c r="E343" s="4" t="n">
        <f aca="false">IFERROR(INDEX('Perhitungan IPH Mingguan 2025'!$EB$6:$EB$25,MATCH(LARGE('Perhitungan IPH Mingguan 2025'!$HE$6:$HE$25,2),'Perhitungan IPH Mingguan 2025'!$HE$6:$HE$25,0)),"")</f>
        <v>0.17823813275718</v>
      </c>
      <c r="F343" s="21" t="str">
        <f aca="false">IF(ISNUMBER(E343),IF(E343&gt;0,"Penyumbang KENAIKAN IPH","Penyumbang PENURUNAN IPH"),"-")</f>
        <v>Penyumbang KENAIKAN IPH</v>
      </c>
    </row>
    <row r="344" customFormat="false" ht="15" hidden="false" customHeight="false" outlineLevel="0" collapsed="false">
      <c r="A344" s="3" t="n">
        <v>3</v>
      </c>
      <c r="B344" s="5" t="str">
        <f aca="false">IFERROR(INDEX('Perhitungan IPH Mingguan 2025'!$B$6:$B$25,MATCH(LARGE('Perhitungan IPH Mingguan 2025'!$HE$6:$HE$25,3),'Perhitungan IPH Mingguan 2025'!$HE$6:$HE$25,0)),"-")</f>
        <v>daging ayam ras 1124003</v>
      </c>
      <c r="C344" s="20" t="n">
        <f aca="false">IFERROR(INDEX('Perhitungan IPH Mingguan 2025'!$C$6:$C$25,MATCH(LARGE('Perhitungan IPH Mingguan 2025'!$HE$6:$HE$25,3),'Perhitungan IPH Mingguan 2025'!$HE$6:$HE$25,0)),"")</f>
        <v>0.0479107777850277</v>
      </c>
      <c r="D344" s="14" t="n">
        <f aca="false">IFERROR(INDEX('Perhitungan IPH Mingguan 2025'!$EA$6:$EA$25,MATCH(LARGE('Perhitungan IPH Mingguan 2025'!$HE$6:$HE$25,3),'Perhitungan IPH Mingguan 2025'!$HE$6:$HE$25,0)),"")</f>
        <v>2.44741873804972</v>
      </c>
      <c r="E344" s="4" t="n">
        <f aca="false">IFERROR(INDEX('Perhitungan IPH Mingguan 2025'!$EB$6:$EB$25,MATCH(LARGE('Perhitungan IPH Mingguan 2025'!$HE$6:$HE$25,3),'Perhitungan IPH Mingguan 2025'!$HE$6:$HE$25,0)),"")</f>
        <v>0.117257735305613</v>
      </c>
      <c r="F344" s="21" t="str">
        <f aca="false">IF(ISNUMBER(E344),IF(E344&gt;0,"Penyumbang KENAIKAN IPH","Penyumbang PENURUNAN IPH"),"-")</f>
        <v>Penyumbang KENAIKAN IPH</v>
      </c>
    </row>
    <row r="345" customFormat="false" ht="15" hidden="false" customHeight="false" outlineLevel="0" collapsed="false">
      <c r="A345" s="3" t="n">
        <v>4</v>
      </c>
      <c r="B345" s="5" t="str">
        <f aca="false">IFERROR(INDEX('Perhitungan IPH Mingguan 2025'!$B$6:$B$25,MATCH(LARGE('Perhitungan IPH Mingguan 2025'!$HE$6:$HE$25,4),'Perhitungan IPH Mingguan 2025'!$HE$6:$HE$25,0)),"-")</f>
        <v>cabai merah 01173012</v>
      </c>
      <c r="C345" s="20" t="n">
        <f aca="false">IFERROR(INDEX('Perhitungan IPH Mingguan 2025'!$C$6:$C$25,MATCH(LARGE('Perhitungan IPH Mingguan 2025'!$HE$6:$HE$25,4),'Perhitungan IPH Mingguan 2025'!$HE$6:$HE$25,0)),"")</f>
        <v>0.0110208839376634</v>
      </c>
      <c r="D345" s="14" t="n">
        <f aca="false">IFERROR(INDEX('Perhitungan IPH Mingguan 2025'!$EA$6:$EA$25,MATCH(LARGE('Perhitungan IPH Mingguan 2025'!$HE$6:$HE$25,4),'Perhitungan IPH Mingguan 2025'!$HE$6:$HE$25,0)),"")</f>
        <v>5.55555555555557</v>
      </c>
      <c r="E345" s="4" t="n">
        <f aca="false">IFERROR(INDEX('Perhitungan IPH Mingguan 2025'!$EB$6:$EB$25,MATCH(LARGE('Perhitungan IPH Mingguan 2025'!$HE$6:$HE$25,4),'Perhitungan IPH Mingguan 2025'!$HE$6:$HE$25,0)),"")</f>
        <v>0.061227132987019</v>
      </c>
      <c r="F345" s="21" t="str">
        <f aca="false">IF(ISNUMBER(E345),IF(E345&gt;0,"Penyumbang KENAIKAN IPH","Penyumbang PENURUNAN IPH"),"-")</f>
        <v>Penyumbang KENAIKAN IPH</v>
      </c>
    </row>
    <row r="346" customFormat="false" ht="15" hidden="false" customHeight="false" outlineLevel="0" collapsed="false">
      <c r="A346" s="3" t="n">
        <v>5</v>
      </c>
      <c r="B346" s="5" t="str">
        <f aca="false">IFERROR(INDEX('Perhitungan IPH Mingguan 2025'!$B$6:$B$25,MATCH(LARGE('Perhitungan IPH Mingguan 2025'!$HE$6:$HE$25,5),'Perhitungan IPH Mingguan 2025'!$HE$6:$HE$25,0)),"-")</f>
        <v>daging sapi 01121001</v>
      </c>
      <c r="C346" s="20" t="n">
        <f aca="false">IFERROR(INDEX('Perhitungan IPH Mingguan 2025'!$C$6:$C$25,MATCH(LARGE('Perhitungan IPH Mingguan 2025'!$HE$6:$HE$25,5),'Perhitungan IPH Mingguan 2025'!$HE$6:$HE$25,0)),"")</f>
        <v>0.0598704213474298</v>
      </c>
      <c r="D346" s="14" t="n">
        <f aca="false">IFERROR(INDEX('Perhitungan IPH Mingguan 2025'!$EA$6:$EA$25,MATCH(LARGE('Perhitungan IPH Mingguan 2025'!$HE$6:$HE$25,5),'Perhitungan IPH Mingguan 2025'!$HE$6:$HE$25,0)),"")</f>
        <v>-0.536261491317662</v>
      </c>
      <c r="E346" s="4" t="n">
        <f aca="false">IFERROR(INDEX('Perhitungan IPH Mingguan 2025'!$EB$6:$EB$25,MATCH(LARGE('Perhitungan IPH Mingguan 2025'!$HE$6:$HE$25,5),'Perhitungan IPH Mingguan 2025'!$HE$6:$HE$25,0)),"")</f>
        <v>-0.0321062014375895</v>
      </c>
      <c r="F346" s="21" t="str">
        <f aca="false">IF(ISNUMBER(E346),IF(E346&gt;0,"Penyumbang KENAIKAN IPH","Penyumbang PENURUNAN IPH"),"-")</f>
        <v>Penyumbang PENURUNAN IPH</v>
      </c>
    </row>
    <row r="348" customFormat="false" ht="15" hidden="false" customHeight="false" outlineLevel="0" collapsed="false">
      <c r="A348" s="19" t="s">
        <v>310</v>
      </c>
      <c r="B348" s="19"/>
      <c r="C348" s="19"/>
      <c r="D348" s="19"/>
      <c r="E348" s="19"/>
      <c r="F348" s="19"/>
    </row>
    <row r="349" customFormat="false" ht="15" hidden="false" customHeight="false" outlineLevel="0" collapsed="false">
      <c r="A349" s="10" t="s">
        <v>263</v>
      </c>
      <c r="B349" s="10" t="s">
        <v>264</v>
      </c>
      <c r="C349" s="10" t="s">
        <v>174</v>
      </c>
      <c r="D349" s="10" t="s">
        <v>265</v>
      </c>
      <c r="E349" s="10" t="s">
        <v>266</v>
      </c>
      <c r="F349" s="10" t="s">
        <v>267</v>
      </c>
    </row>
    <row r="350" customFormat="false" ht="15" hidden="false" customHeight="false" outlineLevel="0" collapsed="false">
      <c r="A350" s="3" t="n">
        <v>1</v>
      </c>
      <c r="B350" s="5" t="str">
        <f aca="false">IFERROR(INDEX('Perhitungan IPH Mingguan 2025'!$B$6:$B$25,MATCH(LARGE('Perhitungan IPH Mingguan 2025'!$HF$6:$HF$25,1),'Perhitungan IPH Mingguan 2025'!$HF$6:$HF$25,0)),"-")</f>
        <v>daging ayam ras 1124003</v>
      </c>
      <c r="C350" s="20" t="n">
        <f aca="false">IFERROR(INDEX('Perhitungan IPH Mingguan 2025'!$C$6:$C$25,MATCH(LARGE('Perhitungan IPH Mingguan 2025'!$HF$6:$HF$25,1),'Perhitungan IPH Mingguan 2025'!$HF$6:$HF$25,0)),"")</f>
        <v>0.0479107777850277</v>
      </c>
      <c r="D350" s="14" t="n">
        <f aca="false">IFERROR(INDEX('Perhitungan IPH Mingguan 2025'!$ED$6:$ED$25,MATCH(LARGE('Perhitungan IPH Mingguan 2025'!$HF$6:$HF$25,1),'Perhitungan IPH Mingguan 2025'!$HF$6:$HF$25,0)),"")</f>
        <v>-9.17782026768642</v>
      </c>
      <c r="E350" s="4" t="n">
        <f aca="false">IFERROR(INDEX('Perhitungan IPH Mingguan 2025'!$EE$6:$EE$25,MATCH(LARGE('Perhitungan IPH Mingguan 2025'!$HF$6:$HF$25,1),'Perhitungan IPH Mingguan 2025'!$HF$6:$HF$25,0)),"")</f>
        <v>-0.439716507396048</v>
      </c>
      <c r="F350" s="21" t="str">
        <f aca="false">IF(ISNUMBER(E350),IF(E350&gt;0,"Penyumbang KENAIKAN IPH","Penyumbang PENURUNAN IPH"),"-")</f>
        <v>Penyumbang PENURUNAN IPH</v>
      </c>
    </row>
    <row r="351" customFormat="false" ht="15" hidden="false" customHeight="false" outlineLevel="0" collapsed="false">
      <c r="A351" s="3" t="n">
        <v>2</v>
      </c>
      <c r="B351" s="5" t="str">
        <f aca="false">IFERROR(INDEX('Perhitungan IPH Mingguan 2025'!$B$6:$B$25,MATCH(LARGE('Perhitungan IPH Mingguan 2025'!$HF$6:$HF$25,2),'Perhitungan IPH Mingguan 2025'!$HF$6:$HF$25,0)),"-")</f>
        <v>bawang merah 1174006</v>
      </c>
      <c r="C351" s="20" t="n">
        <f aca="false">IFERROR(INDEX('Perhitungan IPH Mingguan 2025'!$C$6:$C$25,MATCH(LARGE('Perhitungan IPH Mingguan 2025'!$HF$6:$HF$25,2),'Perhitungan IPH Mingguan 2025'!$HF$6:$HF$25,0)),"")</f>
        <v>0.0194434650422287</v>
      </c>
      <c r="D351" s="14" t="n">
        <f aca="false">IFERROR(INDEX('Perhitungan IPH Mingguan 2025'!$ED$6:$ED$25,MATCH(LARGE('Perhitungan IPH Mingguan 2025'!$HF$6:$HF$25,2),'Perhitungan IPH Mingguan 2025'!$HF$6:$HF$25,0)),"")</f>
        <v>-19.6153846153846</v>
      </c>
      <c r="E351" s="4" t="n">
        <f aca="false">IFERROR(INDEX('Perhitungan IPH Mingguan 2025'!$EE$6:$EE$25,MATCH(LARGE('Perhitungan IPH Mingguan 2025'!$HF$6:$HF$25,2),'Perhitungan IPH Mingguan 2025'!$HF$6:$HF$25,0)),"")</f>
        <v>-0.381391045059101</v>
      </c>
      <c r="F351" s="21" t="str">
        <f aca="false">IF(ISNUMBER(E351),IF(E351&gt;0,"Penyumbang KENAIKAN IPH","Penyumbang PENURUNAN IPH"),"-")</f>
        <v>Penyumbang PENURUNAN IPH</v>
      </c>
    </row>
    <row r="352" customFormat="false" ht="15" hidden="false" customHeight="false" outlineLevel="0" collapsed="false">
      <c r="A352" s="3" t="n">
        <v>3</v>
      </c>
      <c r="B352" s="5" t="str">
        <f aca="false">IFERROR(INDEX('Perhitungan IPH Mingguan 2025'!$B$6:$B$25,MATCH(LARGE('Perhitungan IPH Mingguan 2025'!$HF$6:$HF$25,3),'Perhitungan IPH Mingguan 2025'!$HF$6:$HF$25,0)),"-")</f>
        <v>telur ayam ras 01147002</v>
      </c>
      <c r="C352" s="20" t="n">
        <f aca="false">IFERROR(INDEX('Perhitungan IPH Mingguan 2025'!$C$6:$C$25,MATCH(LARGE('Perhitungan IPH Mingguan 2025'!$HF$6:$HF$25,3),'Perhitungan IPH Mingguan 2025'!$HF$6:$HF$25,0)),"")</f>
        <v>0.0298777910794593</v>
      </c>
      <c r="D352" s="14" t="n">
        <f aca="false">IFERROR(INDEX('Perhitungan IPH Mingguan 2025'!$ED$6:$ED$25,MATCH(LARGE('Perhitungan IPH Mingguan 2025'!$HF$6:$HF$25,3),'Perhitungan IPH Mingguan 2025'!$HF$6:$HF$25,0)),"")</f>
        <v>-6.82302771855011</v>
      </c>
      <c r="E352" s="4" t="n">
        <f aca="false">IFERROR(INDEX('Perhitungan IPH Mingguan 2025'!$EE$6:$EE$25,MATCH(LARGE('Perhitungan IPH Mingguan 2025'!$HF$6:$HF$25,3),'Perhitungan IPH Mingguan 2025'!$HF$6:$HF$25,0)),"")</f>
        <v>-0.2038569967042</v>
      </c>
      <c r="F352" s="21" t="str">
        <f aca="false">IF(ISNUMBER(E352),IF(E352&gt;0,"Penyumbang KENAIKAN IPH","Penyumbang PENURUNAN IPH"),"-")</f>
        <v>Penyumbang PENURUNAN IPH</v>
      </c>
    </row>
    <row r="353" customFormat="false" ht="15" hidden="false" customHeight="false" outlineLevel="0" collapsed="false">
      <c r="A353" s="3" t="n">
        <v>4</v>
      </c>
      <c r="B353" s="5" t="str">
        <f aca="false">IFERROR(INDEX('Perhitungan IPH Mingguan 2025'!$B$6:$B$25,MATCH(LARGE('Perhitungan IPH Mingguan 2025'!$HF$6:$HF$25,4),'Perhitungan IPH Mingguan 2025'!$HF$6:$HF$25,0)),"-")</f>
        <v>cabai rawit 01173013</v>
      </c>
      <c r="C353" s="20" t="n">
        <f aca="false">IFERROR(INDEX('Perhitungan IPH Mingguan 2025'!$C$6:$C$25,MATCH(LARGE('Perhitungan IPH Mingguan 2025'!$HF$6:$HF$25,4),'Perhitungan IPH Mingguan 2025'!$HF$6:$HF$25,0)),"")</f>
        <v>0.0177017323628706</v>
      </c>
      <c r="D353" s="14" t="n">
        <f aca="false">IFERROR(INDEX('Perhitungan IPH Mingguan 2025'!$ED$6:$ED$25,MATCH(LARGE('Perhitungan IPH Mingguan 2025'!$HF$6:$HF$25,4),'Perhitungan IPH Mingguan 2025'!$HF$6:$HF$25,0)),"")</f>
        <v>-3.9080459770115</v>
      </c>
      <c r="E353" s="4" t="n">
        <f aca="false">IFERROR(INDEX('Perhitungan IPH Mingguan 2025'!$EE$6:$EE$25,MATCH(LARGE('Perhitungan IPH Mingguan 2025'!$HF$6:$HF$25,4),'Perhitungan IPH Mingguan 2025'!$HF$6:$HF$25,0)),"")</f>
        <v>-0.0691791839468506</v>
      </c>
      <c r="F353" s="21" t="str">
        <f aca="false">IF(ISNUMBER(E353),IF(E353&gt;0,"Penyumbang KENAIKAN IPH","Penyumbang PENURUNAN IPH"),"-")</f>
        <v>Penyumbang PENURUNAN IPH</v>
      </c>
    </row>
    <row r="354" customFormat="false" ht="15" hidden="false" customHeight="false" outlineLevel="0" collapsed="false">
      <c r="A354" s="3" t="n">
        <v>5</v>
      </c>
      <c r="B354" s="5" t="str">
        <f aca="false">IFERROR(INDEX('Perhitungan IPH Mingguan 2025'!$B$6:$B$25,MATCH(LARGE('Perhitungan IPH Mingguan 2025'!$HF$6:$HF$25,5),'Perhitungan IPH Mingguan 2025'!$HF$6:$HF$25,0)),"-")</f>
        <v>udang lobster 01132004</v>
      </c>
      <c r="C354" s="20" t="n">
        <f aca="false">IFERROR(INDEX('Perhitungan IPH Mingguan 2025'!$C$6:$C$25,MATCH(LARGE('Perhitungan IPH Mingguan 2025'!$HF$6:$HF$25,5),'Perhitungan IPH Mingguan 2025'!$HF$6:$HF$25,0)),"")</f>
        <v>0.0370107543210236</v>
      </c>
      <c r="D354" s="14" t="n">
        <f aca="false">IFERROR(INDEX('Perhitungan IPH Mingguan 2025'!$ED$6:$ED$25,MATCH(LARGE('Perhitungan IPH Mingguan 2025'!$HF$6:$HF$25,5),'Perhitungan IPH Mingguan 2025'!$HF$6:$HF$25,0)),"")</f>
        <v>-1.63934426229508</v>
      </c>
      <c r="E354" s="4" t="n">
        <f aca="false">IFERROR(INDEX('Perhitungan IPH Mingguan 2025'!$EE$6:$EE$25,MATCH(LARGE('Perhitungan IPH Mingguan 2025'!$HF$6:$HF$25,5),'Perhitungan IPH Mingguan 2025'!$HF$6:$HF$25,0)),"")</f>
        <v>-0.060673367739383</v>
      </c>
      <c r="F354" s="21" t="str">
        <f aca="false">IF(ISNUMBER(E354),IF(E354&gt;0,"Penyumbang KENAIKAN IPH","Penyumbang PENURUNAN IPH"),"-")</f>
        <v>Penyumbang PENURUNAN IPH</v>
      </c>
    </row>
    <row r="356" customFormat="false" ht="15" hidden="false" customHeight="false" outlineLevel="0" collapsed="false">
      <c r="A356" s="19" t="s">
        <v>311</v>
      </c>
      <c r="B356" s="19"/>
      <c r="C356" s="19"/>
      <c r="D356" s="19"/>
      <c r="E356" s="19"/>
      <c r="F356" s="19"/>
    </row>
    <row r="357" customFormat="false" ht="15" hidden="false" customHeight="false" outlineLevel="0" collapsed="false">
      <c r="A357" s="10" t="s">
        <v>263</v>
      </c>
      <c r="B357" s="10" t="s">
        <v>264</v>
      </c>
      <c r="C357" s="10" t="s">
        <v>174</v>
      </c>
      <c r="D357" s="10" t="s">
        <v>265</v>
      </c>
      <c r="E357" s="10" t="s">
        <v>266</v>
      </c>
      <c r="F357" s="10" t="s">
        <v>267</v>
      </c>
    </row>
    <row r="358" customFormat="false" ht="15" hidden="false" customHeight="false" outlineLevel="0" collapsed="false">
      <c r="A358" s="3" t="n">
        <v>1</v>
      </c>
      <c r="B358" s="5" t="str">
        <f aca="false">IFERROR(INDEX('Perhitungan IPH Mingguan 2025'!$B$6:$B$25,MATCH(LARGE('Perhitungan IPH Mingguan 2025'!$HG$6:$HG$25,1),'Perhitungan IPH Mingguan 2025'!$HG$6:$HG$25,0)),"-")</f>
        <v>bawang merah 1174006</v>
      </c>
      <c r="C358" s="20" t="n">
        <f aca="false">IFERROR(INDEX('Perhitungan IPH Mingguan 2025'!$C$6:$C$25,MATCH(LARGE('Perhitungan IPH Mingguan 2025'!$HG$6:$HG$25,1),'Perhitungan IPH Mingguan 2025'!$HG$6:$HG$25,0)),"")</f>
        <v>0.0194434650422287</v>
      </c>
      <c r="D358" s="14" t="n">
        <f aca="false">IFERROR(INDEX('Perhitungan IPH Mingguan 2025'!$EG$6:$EG$25,MATCH(LARGE('Perhitungan IPH Mingguan 2025'!$HG$6:$HG$25,1),'Perhitungan IPH Mingguan 2025'!$HG$6:$HG$25,0)),"")</f>
        <v>-15.2307692307692</v>
      </c>
      <c r="E358" s="4" t="n">
        <f aca="false">IFERROR(INDEX('Perhitungan IPH Mingguan 2025'!$EH$6:$EH$25,MATCH(LARGE('Perhitungan IPH Mingguan 2025'!$HG$6:$HG$25,1),'Perhitungan IPH Mingguan 2025'!$HG$6:$HG$25,0)),"")</f>
        <v>-0.296138929104714</v>
      </c>
      <c r="F358" s="21" t="str">
        <f aca="false">IF(ISNUMBER(E358),IF(E358&gt;0,"Penyumbang KENAIKAN IPH","Penyumbang PENURUNAN IPH"),"-")</f>
        <v>Penyumbang PENURUNAN IPH</v>
      </c>
    </row>
    <row r="359" customFormat="false" ht="15" hidden="false" customHeight="false" outlineLevel="0" collapsed="false">
      <c r="A359" s="3" t="n">
        <v>2</v>
      </c>
      <c r="B359" s="5" t="str">
        <f aca="false">IFERROR(INDEX('Perhitungan IPH Mingguan 2025'!$B$6:$B$25,MATCH(LARGE('Perhitungan IPH Mingguan 2025'!$HG$6:$HG$25,2),'Perhitungan IPH Mingguan 2025'!$HG$6:$HG$25,0)),"-")</f>
        <v>daging ayam ras 1124003</v>
      </c>
      <c r="C359" s="20" t="n">
        <f aca="false">IFERROR(INDEX('Perhitungan IPH Mingguan 2025'!$C$6:$C$25,MATCH(LARGE('Perhitungan IPH Mingguan 2025'!$HG$6:$HG$25,2),'Perhitungan IPH Mingguan 2025'!$HG$6:$HG$25,0)),"")</f>
        <v>0.0479107777850277</v>
      </c>
      <c r="D359" s="14" t="n">
        <f aca="false">IFERROR(INDEX('Perhitungan IPH Mingguan 2025'!$EG$6:$EG$25,MATCH(LARGE('Perhitungan IPH Mingguan 2025'!$HG$6:$HG$25,2),'Perhitungan IPH Mingguan 2025'!$HG$6:$HG$25,0)),"")</f>
        <v>-4.81835564053537</v>
      </c>
      <c r="E359" s="4" t="n">
        <f aca="false">IFERROR(INDEX('Perhitungan IPH Mingguan 2025'!$EH$6:$EH$25,MATCH(LARGE('Perhitungan IPH Mingguan 2025'!$HG$6:$HG$25,2),'Perhitungan IPH Mingguan 2025'!$HG$6:$HG$25,0)),"")</f>
        <v>-0.230851166382925</v>
      </c>
      <c r="F359" s="21" t="str">
        <f aca="false">IF(ISNUMBER(E359),IF(E359&gt;0,"Penyumbang KENAIKAN IPH","Penyumbang PENURUNAN IPH"),"-")</f>
        <v>Penyumbang PENURUNAN IPH</v>
      </c>
    </row>
    <row r="360" customFormat="false" ht="15" hidden="false" customHeight="false" outlineLevel="0" collapsed="false">
      <c r="A360" s="3" t="n">
        <v>3</v>
      </c>
      <c r="B360" s="5" t="str">
        <f aca="false">IFERROR(INDEX('Perhitungan IPH Mingguan 2025'!$B$6:$B$25,MATCH(LARGE('Perhitungan IPH Mingguan 2025'!$HG$6:$HG$25,3),'Perhitungan IPH Mingguan 2025'!$HG$6:$HG$25,0)),"-")</f>
        <v>telur ayam ras 01147002</v>
      </c>
      <c r="C360" s="20" t="n">
        <f aca="false">IFERROR(INDEX('Perhitungan IPH Mingguan 2025'!$C$6:$C$25,MATCH(LARGE('Perhitungan IPH Mingguan 2025'!$HG$6:$HG$25,3),'Perhitungan IPH Mingguan 2025'!$HG$6:$HG$25,0)),"")</f>
        <v>0.0298777910794593</v>
      </c>
      <c r="D360" s="14" t="n">
        <f aca="false">IFERROR(INDEX('Perhitungan IPH Mingguan 2025'!$EG$6:$EG$25,MATCH(LARGE('Perhitungan IPH Mingguan 2025'!$HG$6:$HG$25,3),'Perhitungan IPH Mingguan 2025'!$HG$6:$HG$25,0)),"")</f>
        <v>-1.15138592750533</v>
      </c>
      <c r="E360" s="4" t="n">
        <f aca="false">IFERROR(INDEX('Perhitungan IPH Mingguan 2025'!$EH$6:$EH$25,MATCH(LARGE('Perhitungan IPH Mingguan 2025'!$HG$6:$HG$25,3),'Perhitungan IPH Mingguan 2025'!$HG$6:$HG$25,0)),"")</f>
        <v>-0.0344008681938338</v>
      </c>
      <c r="F360" s="21" t="str">
        <f aca="false">IF(ISNUMBER(E360),IF(E360&gt;0,"Penyumbang KENAIKAN IPH","Penyumbang PENURUNAN IPH"),"-")</f>
        <v>Penyumbang PENURUNAN IPH</v>
      </c>
    </row>
    <row r="361" customFormat="false" ht="15" hidden="false" customHeight="false" outlineLevel="0" collapsed="false">
      <c r="A361" s="3" t="n">
        <v>4</v>
      </c>
      <c r="B361" s="5" t="str">
        <f aca="false">IFERROR(INDEX('Perhitungan IPH Mingguan 2025'!$B$6:$B$25,MATCH(LARGE('Perhitungan IPH Mingguan 2025'!$HG$6:$HG$25,4),'Perhitungan IPH Mingguan 2025'!$HG$6:$HG$25,0)),"-")</f>
        <v>daging sapi 01121001</v>
      </c>
      <c r="C361" s="20" t="n">
        <f aca="false">IFERROR(INDEX('Perhitungan IPH Mingguan 2025'!$C$6:$C$25,MATCH(LARGE('Perhitungan IPH Mingguan 2025'!$HG$6:$HG$25,4),'Perhitungan IPH Mingguan 2025'!$HG$6:$HG$25,0)),"")</f>
        <v>0.0598704213474298</v>
      </c>
      <c r="D361" s="14" t="n">
        <f aca="false">IFERROR(INDEX('Perhitungan IPH Mingguan 2025'!$EG$6:$EG$25,MATCH(LARGE('Perhitungan IPH Mingguan 2025'!$HG$6:$HG$25,4),'Perhitungan IPH Mingguan 2025'!$HG$6:$HG$25,0)),"")</f>
        <v>-0.536261491317662</v>
      </c>
      <c r="E361" s="4" t="n">
        <f aca="false">IFERROR(INDEX('Perhitungan IPH Mingguan 2025'!$EH$6:$EH$25,MATCH(LARGE('Perhitungan IPH Mingguan 2025'!$HG$6:$HG$25,4),'Perhitungan IPH Mingguan 2025'!$HG$6:$HG$25,0)),"")</f>
        <v>-0.0321062014375895</v>
      </c>
      <c r="F361" s="21" t="str">
        <f aca="false">IF(ISNUMBER(E361),IF(E361&gt;0,"Penyumbang KENAIKAN IPH","Penyumbang PENURUNAN IPH"),"-")</f>
        <v>Penyumbang PENURUNAN IPH</v>
      </c>
    </row>
    <row r="362" customFormat="false" ht="15" hidden="false" customHeight="false" outlineLevel="0" collapsed="false">
      <c r="A362" s="3" t="n">
        <v>5</v>
      </c>
      <c r="B362" s="5" t="str">
        <f aca="false">IFERROR(INDEX('Perhitungan IPH Mingguan 2025'!$B$6:$B$25,MATCH(LARGE('Perhitungan IPH Mingguan 2025'!$HG$6:$HG$25,5),'Perhitungan IPH Mingguan 2025'!$HG$6:$HG$25,0)),"-")</f>
        <v>udang lobster 01132004</v>
      </c>
      <c r="C362" s="20" t="n">
        <f aca="false">IFERROR(INDEX('Perhitungan IPH Mingguan 2025'!$C$6:$C$25,MATCH(LARGE('Perhitungan IPH Mingguan 2025'!$HG$6:$HG$25,5),'Perhitungan IPH Mingguan 2025'!$HG$6:$HG$25,0)),"")</f>
        <v>0.0370107543210236</v>
      </c>
      <c r="D362" s="14" t="n">
        <f aca="false">IFERROR(INDEX('Perhitungan IPH Mingguan 2025'!$EG$6:$EG$25,MATCH(LARGE('Perhitungan IPH Mingguan 2025'!$HG$6:$HG$25,5),'Perhitungan IPH Mingguan 2025'!$HG$6:$HG$25,0)),"")</f>
        <v>-0.655737704918033</v>
      </c>
      <c r="E362" s="4" t="n">
        <f aca="false">IFERROR(INDEX('Perhitungan IPH Mingguan 2025'!$EH$6:$EH$25,MATCH(LARGE('Perhitungan IPH Mingguan 2025'!$HG$6:$HG$25,5),'Perhitungan IPH Mingguan 2025'!$HG$6:$HG$25,0)),"")</f>
        <v>-0.0242693470957532</v>
      </c>
      <c r="F362" s="21" t="str">
        <f aca="false">IF(ISNUMBER(E362),IF(E362&gt;0,"Penyumbang KENAIKAN IPH","Penyumbang PENURUNAN IPH"),"-")</f>
        <v>Penyumbang PENURUNAN IPH</v>
      </c>
    </row>
    <row r="364" customFormat="false" ht="15" hidden="false" customHeight="false" outlineLevel="0" collapsed="false">
      <c r="A364" s="19" t="s">
        <v>312</v>
      </c>
      <c r="B364" s="19"/>
      <c r="C364" s="19"/>
      <c r="D364" s="19"/>
      <c r="E364" s="19"/>
      <c r="F364" s="19"/>
    </row>
    <row r="365" customFormat="false" ht="15" hidden="false" customHeight="false" outlineLevel="0" collapsed="false">
      <c r="A365" s="10" t="s">
        <v>263</v>
      </c>
      <c r="B365" s="10" t="s">
        <v>264</v>
      </c>
      <c r="C365" s="10" t="s">
        <v>174</v>
      </c>
      <c r="D365" s="10" t="s">
        <v>265</v>
      </c>
      <c r="E365" s="10" t="s">
        <v>266</v>
      </c>
      <c r="F365" s="10" t="s">
        <v>267</v>
      </c>
    </row>
    <row r="366" customFormat="false" ht="15" hidden="false" customHeight="false" outlineLevel="0" collapsed="false">
      <c r="A366" s="3" t="n">
        <v>1</v>
      </c>
      <c r="B366" s="5" t="str">
        <f aca="false">IFERROR(INDEX('Perhitungan IPH Mingguan 2025'!$B$6:$B$25,MATCH(LARGE('Perhitungan IPH Mingguan 2025'!$HH$6:$HH$25,1),'Perhitungan IPH Mingguan 2025'!$HH$6:$HH$25,0)),"-")</f>
        <v>telur ayam ras 01147002</v>
      </c>
      <c r="C366" s="20" t="n">
        <f aca="false">IFERROR(INDEX('Perhitungan IPH Mingguan 2025'!$C$6:$C$25,MATCH(LARGE('Perhitungan IPH Mingguan 2025'!$HH$6:$HH$25,1),'Perhitungan IPH Mingguan 2025'!$HH$6:$HH$25,0)),"")</f>
        <v>0.0298777910794593</v>
      </c>
      <c r="D366" s="14" t="n">
        <f aca="false">IFERROR(INDEX('Perhitungan IPH Mingguan 2025'!$EJ$6:$EJ$25,MATCH(LARGE('Perhitungan IPH Mingguan 2025'!$HH$6:$HH$25,1),'Perhitungan IPH Mingguan 2025'!$HH$6:$HH$25,0)),"")</f>
        <v>8.57142857142857</v>
      </c>
      <c r="E366" s="4" t="n">
        <f aca="false">IFERROR(INDEX('Perhitungan IPH Mingguan 2025'!$EK$6:$EK$25,MATCH(LARGE('Perhitungan IPH Mingguan 2025'!$HH$6:$HH$25,1),'Perhitungan IPH Mingguan 2025'!$HH$6:$HH$25,0)),"")</f>
        <v>0.256095352109651</v>
      </c>
      <c r="F366" s="21" t="str">
        <f aca="false">IF(ISNUMBER(E366),IF(E366&gt;0,"Penyumbang KENAIKAN IPH","Penyumbang PENURUNAN IPH"),"-")</f>
        <v>Penyumbang KENAIKAN IPH</v>
      </c>
    </row>
    <row r="367" customFormat="false" ht="15" hidden="false" customHeight="false" outlineLevel="0" collapsed="false">
      <c r="A367" s="3" t="n">
        <v>2</v>
      </c>
      <c r="B367" s="5" t="str">
        <f aca="false">IFERROR(INDEX('Perhitungan IPH Mingguan 2025'!$B$6:$B$25,MATCH(LARGE('Perhitungan IPH Mingguan 2025'!$HH$6:$HH$25,2),'Perhitungan IPH Mingguan 2025'!$HH$6:$HH$25,0)),"-")</f>
        <v>bawang merah 1174006</v>
      </c>
      <c r="C367" s="20" t="n">
        <f aca="false">IFERROR(INDEX('Perhitungan IPH Mingguan 2025'!$C$6:$C$25,MATCH(LARGE('Perhitungan IPH Mingguan 2025'!$HH$6:$HH$25,2),'Perhitungan IPH Mingguan 2025'!$HH$6:$HH$25,0)),"")</f>
        <v>0.0194434650422287</v>
      </c>
      <c r="D367" s="14" t="n">
        <f aca="false">IFERROR(INDEX('Perhitungan IPH Mingguan 2025'!$EJ$6:$EJ$25,MATCH(LARGE('Perhitungan IPH Mingguan 2025'!$HH$6:$HH$25,2),'Perhitungan IPH Mingguan 2025'!$HH$6:$HH$25,0)),"")</f>
        <v>-12.3076923076923</v>
      </c>
      <c r="E367" s="4" t="n">
        <f aca="false">IFERROR(INDEX('Perhitungan IPH Mingguan 2025'!$EK$6:$EK$25,MATCH(LARGE('Perhitungan IPH Mingguan 2025'!$HH$6:$HH$25,2),'Perhitungan IPH Mingguan 2025'!$HH$6:$HH$25,0)),"")</f>
        <v>-0.239304185135123</v>
      </c>
      <c r="F367" s="21" t="str">
        <f aca="false">IF(ISNUMBER(E367),IF(E367&gt;0,"Penyumbang KENAIKAN IPH","Penyumbang PENURUNAN IPH"),"-")</f>
        <v>Penyumbang PENURUNAN IPH</v>
      </c>
    </row>
    <row r="368" customFormat="false" ht="15" hidden="false" customHeight="false" outlineLevel="0" collapsed="false">
      <c r="A368" s="3" t="n">
        <v>3</v>
      </c>
      <c r="B368" s="5" t="str">
        <f aca="false">IFERROR(INDEX('Perhitungan IPH Mingguan 2025'!$B$6:$B$25,MATCH(LARGE('Perhitungan IPH Mingguan 2025'!$HH$6:$HH$25,3),'Perhitungan IPH Mingguan 2025'!$HH$6:$HH$25,0)),"-")</f>
        <v>cabai merah 01173012</v>
      </c>
      <c r="C368" s="20" t="n">
        <f aca="false">IFERROR(INDEX('Perhitungan IPH Mingguan 2025'!$C$6:$C$25,MATCH(LARGE('Perhitungan IPH Mingguan 2025'!$HH$6:$HH$25,3),'Perhitungan IPH Mingguan 2025'!$HH$6:$HH$25,0)),"")</f>
        <v>0.0110208839376634</v>
      </c>
      <c r="D368" s="14" t="n">
        <f aca="false">IFERROR(INDEX('Perhitungan IPH Mingguan 2025'!$EJ$6:$EJ$25,MATCH(LARGE('Perhitungan IPH Mingguan 2025'!$HH$6:$HH$25,3),'Perhitungan IPH Mingguan 2025'!$HH$6:$HH$25,0)),"")</f>
        <v>8.25059101654848</v>
      </c>
      <c r="E368" s="4" t="n">
        <f aca="false">IFERROR(INDEX('Perhitungan IPH Mingguan 2025'!$EK$6:$EK$25,MATCH(LARGE('Perhitungan IPH Mingguan 2025'!$HH$6:$HH$25,3),'Perhitungan IPH Mingguan 2025'!$HH$6:$HH$25,0)),"")</f>
        <v>0.090928806010509</v>
      </c>
      <c r="F368" s="21" t="str">
        <f aca="false">IF(ISNUMBER(E368),IF(E368&gt;0,"Penyumbang KENAIKAN IPH","Penyumbang PENURUNAN IPH"),"-")</f>
        <v>Penyumbang KENAIKAN IPH</v>
      </c>
    </row>
    <row r="369" customFormat="false" ht="15" hidden="false" customHeight="false" outlineLevel="0" collapsed="false">
      <c r="A369" s="3" t="n">
        <v>4</v>
      </c>
      <c r="B369" s="5" t="str">
        <f aca="false">IFERROR(INDEX('Perhitungan IPH Mingguan 2025'!$B$6:$B$25,MATCH(LARGE('Perhitungan IPH Mingguan 2025'!$HH$6:$HH$25,4),'Perhitungan IPH Mingguan 2025'!$HH$6:$HH$25,0)),"-")</f>
        <v>cabai rawit 01173013</v>
      </c>
      <c r="C369" s="20" t="n">
        <f aca="false">IFERROR(INDEX('Perhitungan IPH Mingguan 2025'!$C$6:$C$25,MATCH(LARGE('Perhitungan IPH Mingguan 2025'!$HH$6:$HH$25,4),'Perhitungan IPH Mingguan 2025'!$HH$6:$HH$25,0)),"")</f>
        <v>0.0177017323628706</v>
      </c>
      <c r="D369" s="14" t="n">
        <f aca="false">IFERROR(INDEX('Perhitungan IPH Mingguan 2025'!$EJ$6:$EJ$25,MATCH(LARGE('Perhitungan IPH Mingguan 2025'!$HH$6:$HH$25,4),'Perhitungan IPH Mingguan 2025'!$HH$6:$HH$25,0)),"")</f>
        <v>4.82758620689655</v>
      </c>
      <c r="E369" s="4" t="n">
        <f aca="false">IFERROR(INDEX('Perhitungan IPH Mingguan 2025'!$EK$6:$EK$25,MATCH(LARGE('Perhitungan IPH Mingguan 2025'!$HH$6:$HH$25,4),'Perhitungan IPH Mingguan 2025'!$HH$6:$HH$25,0)),"")</f>
        <v>0.0854566389931684</v>
      </c>
      <c r="F369" s="21" t="str">
        <f aca="false">IF(ISNUMBER(E369),IF(E369&gt;0,"Penyumbang KENAIKAN IPH","Penyumbang PENURUNAN IPH"),"-")</f>
        <v>Penyumbang KENAIKAN IPH</v>
      </c>
    </row>
    <row r="370" customFormat="false" ht="15" hidden="false" customHeight="false" outlineLevel="0" collapsed="false">
      <c r="A370" s="3" t="n">
        <v>5</v>
      </c>
      <c r="B370" s="5" t="str">
        <f aca="false">IFERROR(INDEX('Perhitungan IPH Mingguan 2025'!$B$6:$B$25,MATCH(LARGE('Perhitungan IPH Mingguan 2025'!$HH$6:$HH$25,5),'Perhitungan IPH Mingguan 2025'!$HH$6:$HH$25,0)),"-")</f>
        <v>daging ayam ras 1124003</v>
      </c>
      <c r="C370" s="20" t="n">
        <f aca="false">IFERROR(INDEX('Perhitungan IPH Mingguan 2025'!$C$6:$C$25,MATCH(LARGE('Perhitungan IPH Mingguan 2025'!$HH$6:$HH$25,5),'Perhitungan IPH Mingguan 2025'!$HH$6:$HH$25,0)),"")</f>
        <v>0.0479107777850277</v>
      </c>
      <c r="D370" s="14" t="n">
        <f aca="false">IFERROR(INDEX('Perhitungan IPH Mingguan 2025'!$EJ$6:$EJ$25,MATCH(LARGE('Perhitungan IPH Mingguan 2025'!$HH$6:$HH$25,5),'Perhitungan IPH Mingguan 2025'!$HH$6:$HH$25,0)),"")</f>
        <v>0.9942638623327</v>
      </c>
      <c r="E370" s="4" t="n">
        <f aca="false">IFERROR(INDEX('Perhitungan IPH Mingguan 2025'!$EK$6:$EK$25,MATCH(LARGE('Perhitungan IPH Mingguan 2025'!$HH$6:$HH$25,5),'Perhitungan IPH Mingguan 2025'!$HH$6:$HH$25,0)),"")</f>
        <v>0.0476359549679053</v>
      </c>
      <c r="F370" s="21" t="str">
        <f aca="false">IF(ISNUMBER(E370),IF(E370&gt;0,"Penyumbang KENAIKAN IPH","Penyumbang PENURUNAN IPH"),"-")</f>
        <v>Penyumbang KENAIKAN IPH</v>
      </c>
    </row>
    <row r="372" customFormat="false" ht="15" hidden="false" customHeight="false" outlineLevel="0" collapsed="false">
      <c r="A372" s="19" t="s">
        <v>313</v>
      </c>
      <c r="B372" s="19"/>
      <c r="C372" s="19"/>
      <c r="D372" s="19"/>
      <c r="E372" s="19"/>
      <c r="F372" s="19"/>
    </row>
    <row r="373" customFormat="false" ht="15" hidden="false" customHeight="false" outlineLevel="0" collapsed="false">
      <c r="A373" s="10" t="s">
        <v>263</v>
      </c>
      <c r="B373" s="10" t="s">
        <v>264</v>
      </c>
      <c r="C373" s="10" t="s">
        <v>174</v>
      </c>
      <c r="D373" s="10" t="s">
        <v>265</v>
      </c>
      <c r="E373" s="10" t="s">
        <v>266</v>
      </c>
      <c r="F373" s="10" t="s">
        <v>267</v>
      </c>
    </row>
    <row r="374" customFormat="false" ht="15" hidden="false" customHeight="false" outlineLevel="0" collapsed="false">
      <c r="A374" s="3" t="n">
        <v>1</v>
      </c>
      <c r="B374" s="5" t="str">
        <f aca="false">IFERROR(INDEX('Perhitungan IPH Mingguan 2025'!$B$6:$B$25,MATCH(LARGE('Perhitungan IPH Mingguan 2025'!$HI$6:$HI$25,1),'Perhitungan IPH Mingguan 2025'!$HI$6:$HI$25,0)),"-")</f>
        <v>daging sapi 01121001</v>
      </c>
      <c r="C374" s="20" t="n">
        <f aca="false">IFERROR(INDEX('Perhitungan IPH Mingguan 2025'!$C$6:$C$25,MATCH(LARGE('Perhitungan IPH Mingguan 2025'!$HI$6:$HI$25,1),'Perhitungan IPH Mingguan 2025'!$HI$6:$HI$25,0)),"")</f>
        <v>0.0598704213474298</v>
      </c>
      <c r="D374" s="14" t="n">
        <f aca="false">IFERROR(INDEX('Perhitungan IPH Mingguan 2025'!$EM$6:$EM$25,MATCH(LARGE('Perhitungan IPH Mingguan 2025'!$HI$6:$HI$25,1),'Perhitungan IPH Mingguan 2025'!$HI$6:$HI$25,0)),"")</f>
        <v>9.75609756097562</v>
      </c>
      <c r="E374" s="4" t="n">
        <f aca="false">IFERROR(INDEX('Perhitungan IPH Mingguan 2025'!$EN$6:$EN$25,MATCH(LARGE('Perhitungan IPH Mingguan 2025'!$HI$6:$HI$25,1),'Perhitungan IPH Mingguan 2025'!$HI$6:$HI$25,0)),"")</f>
        <v>0.584101671682242</v>
      </c>
      <c r="F374" s="21" t="str">
        <f aca="false">IF(ISNUMBER(E374),IF(E374&gt;0,"Penyumbang KENAIKAN IPH","Penyumbang PENURUNAN IPH"),"-")</f>
        <v>Penyumbang KENAIKAN IPH</v>
      </c>
    </row>
    <row r="375" customFormat="false" ht="15" hidden="false" customHeight="false" outlineLevel="0" collapsed="false">
      <c r="A375" s="3" t="n">
        <v>2</v>
      </c>
      <c r="B375" s="5" t="str">
        <f aca="false">IFERROR(INDEX('Perhitungan IPH Mingguan 2025'!$B$6:$B$25,MATCH(LARGE('Perhitungan IPH Mingguan 2025'!$HI$6:$HI$25,2),'Perhitungan IPH Mingguan 2025'!$HI$6:$HI$25,0)),"-")</f>
        <v>telur ayam ras 01147002</v>
      </c>
      <c r="C375" s="20" t="n">
        <f aca="false">IFERROR(INDEX('Perhitungan IPH Mingguan 2025'!$C$6:$C$25,MATCH(LARGE('Perhitungan IPH Mingguan 2025'!$HI$6:$HI$25,2),'Perhitungan IPH Mingguan 2025'!$HI$6:$HI$25,0)),"")</f>
        <v>0.0298777910794593</v>
      </c>
      <c r="D375" s="14" t="n">
        <f aca="false">IFERROR(INDEX('Perhitungan IPH Mingguan 2025'!$EM$6:$EM$25,MATCH(LARGE('Perhitungan IPH Mingguan 2025'!$HI$6:$HI$25,2),'Perhitungan IPH Mingguan 2025'!$HI$6:$HI$25,0)),"")</f>
        <v>7.52196836555361</v>
      </c>
      <c r="E375" s="4" t="n">
        <f aca="false">IFERROR(INDEX('Perhitungan IPH Mingguan 2025'!$EN$6:$EN$25,MATCH(LARGE('Perhitungan IPH Mingguan 2025'!$HI$6:$HI$25,2),'Perhitungan IPH Mingguan 2025'!$HI$6:$HI$25,0)),"")</f>
        <v>0.224739799332313</v>
      </c>
      <c r="F375" s="21" t="str">
        <f aca="false">IF(ISNUMBER(E375),IF(E375&gt;0,"Penyumbang KENAIKAN IPH","Penyumbang PENURUNAN IPH"),"-")</f>
        <v>Penyumbang KENAIKAN IPH</v>
      </c>
    </row>
    <row r="376" customFormat="false" ht="15" hidden="false" customHeight="false" outlineLevel="0" collapsed="false">
      <c r="A376" s="3" t="n">
        <v>3</v>
      </c>
      <c r="B376" s="5" t="str">
        <f aca="false">IFERROR(INDEX('Perhitungan IPH Mingguan 2025'!$B$6:$B$25,MATCH(LARGE('Perhitungan IPH Mingguan 2025'!$HI$6:$HI$25,3),'Perhitungan IPH Mingguan 2025'!$HI$6:$HI$25,0)),"-")</f>
        <v>cabai rawit 01173013</v>
      </c>
      <c r="C376" s="20" t="n">
        <f aca="false">IFERROR(INDEX('Perhitungan IPH Mingguan 2025'!$C$6:$C$25,MATCH(LARGE('Perhitungan IPH Mingguan 2025'!$HI$6:$HI$25,3),'Perhitungan IPH Mingguan 2025'!$HI$6:$HI$25,0)),"")</f>
        <v>0.0177017323628706</v>
      </c>
      <c r="D376" s="14" t="n">
        <f aca="false">IFERROR(INDEX('Perhitungan IPH Mingguan 2025'!$EM$6:$EM$25,MATCH(LARGE('Perhitungan IPH Mingguan 2025'!$HI$6:$HI$25,3),'Perhitungan IPH Mingguan 2025'!$HI$6:$HI$25,0)),"")</f>
        <v>-8</v>
      </c>
      <c r="E376" s="4" t="n">
        <f aca="false">IFERROR(INDEX('Perhitungan IPH Mingguan 2025'!$EN$6:$EN$25,MATCH(LARGE('Perhitungan IPH Mingguan 2025'!$HI$6:$HI$25,3),'Perhitungan IPH Mingguan 2025'!$HI$6:$HI$25,0)),"")</f>
        <v>-0.141613858902965</v>
      </c>
      <c r="F376" s="21" t="str">
        <f aca="false">IF(ISNUMBER(E376),IF(E376&gt;0,"Penyumbang KENAIKAN IPH","Penyumbang PENURUNAN IPH"),"-")</f>
        <v>Penyumbang PENURUNAN IPH</v>
      </c>
    </row>
    <row r="377" customFormat="false" ht="15" hidden="false" customHeight="false" outlineLevel="0" collapsed="false">
      <c r="A377" s="3" t="n">
        <v>4</v>
      </c>
      <c r="B377" s="5" t="str">
        <f aca="false">IFERROR(INDEX('Perhitungan IPH Mingguan 2025'!$B$6:$B$25,MATCH(LARGE('Perhitungan IPH Mingguan 2025'!$HI$6:$HI$25,4),'Perhitungan IPH Mingguan 2025'!$HI$6:$HI$25,0)),"-")</f>
        <v>cabai merah 01173012</v>
      </c>
      <c r="C377" s="20" t="n">
        <f aca="false">IFERROR(INDEX('Perhitungan IPH Mingguan 2025'!$C$6:$C$25,MATCH(LARGE('Perhitungan IPH Mingguan 2025'!$HI$6:$HI$25,4),'Perhitungan IPH Mingguan 2025'!$HI$6:$HI$25,0)),"")</f>
        <v>0.0110208839376634</v>
      </c>
      <c r="D377" s="14" t="n">
        <f aca="false">IFERROR(INDEX('Perhitungan IPH Mingguan 2025'!$EM$6:$EM$25,MATCH(LARGE('Perhitungan IPH Mingguan 2025'!$HI$6:$HI$25,4),'Perhitungan IPH Mingguan 2025'!$HI$6:$HI$25,0)),"")</f>
        <v>4.9810606060606</v>
      </c>
      <c r="E377" s="4" t="n">
        <f aca="false">IFERROR(INDEX('Perhitungan IPH Mingguan 2025'!$EN$6:$EN$25,MATCH(LARGE('Perhitungan IPH Mingguan 2025'!$HI$6:$HI$25,4),'Perhitungan IPH Mingguan 2025'!$HI$6:$HI$25,0)),"")</f>
        <v>0.0548956908258612</v>
      </c>
      <c r="F377" s="21" t="str">
        <f aca="false">IF(ISNUMBER(E377),IF(E377&gt;0,"Penyumbang KENAIKAN IPH","Penyumbang PENURUNAN IPH"),"-")</f>
        <v>Penyumbang KENAIKAN IPH</v>
      </c>
    </row>
    <row r="378" customFormat="false" ht="15" hidden="false" customHeight="false" outlineLevel="0" collapsed="false">
      <c r="A378" s="3" t="n">
        <v>5</v>
      </c>
      <c r="B378" s="5" t="str">
        <f aca="false">IFERROR(INDEX('Perhitungan IPH Mingguan 2025'!$B$6:$B$25,MATCH(LARGE('Perhitungan IPH Mingguan 2025'!$HI$6:$HI$25,5),'Perhitungan IPH Mingguan 2025'!$HI$6:$HI$25,0)),"-")</f>
        <v>daging ayam ras 1124003</v>
      </c>
      <c r="C378" s="20" t="n">
        <f aca="false">IFERROR(INDEX('Perhitungan IPH Mingguan 2025'!$C$6:$C$25,MATCH(LARGE('Perhitungan IPH Mingguan 2025'!$HI$6:$HI$25,5),'Perhitungan IPH Mingguan 2025'!$HI$6:$HI$25,0)),"")</f>
        <v>0.0479107777850277</v>
      </c>
      <c r="D378" s="14" t="n">
        <f aca="false">IFERROR(INDEX('Perhitungan IPH Mingguan 2025'!$EM$6:$EM$25,MATCH(LARGE('Perhitungan IPH Mingguan 2025'!$HI$6:$HI$25,5),'Perhitungan IPH Mingguan 2025'!$HI$6:$HI$25,0)),"")</f>
        <v>0.417335473515244</v>
      </c>
      <c r="E378" s="4" t="n">
        <f aca="false">IFERROR(INDEX('Perhitungan IPH Mingguan 2025'!$EN$6:$EN$25,MATCH(LARGE('Perhitungan IPH Mingguan 2025'!$HI$6:$HI$25,5),'Perhitungan IPH Mingguan 2025'!$HI$6:$HI$25,0)),"")</f>
        <v>0.0199948671333981</v>
      </c>
      <c r="F378" s="21" t="str">
        <f aca="false">IF(ISNUMBER(E378),IF(E378&gt;0,"Penyumbang KENAIKAN IPH","Penyumbang PENURUNAN IPH"),"-")</f>
        <v>Penyumbang KENAIKAN IPH</v>
      </c>
    </row>
    <row r="380" customFormat="false" ht="15" hidden="false" customHeight="false" outlineLevel="0" collapsed="false">
      <c r="A380" s="19" t="s">
        <v>314</v>
      </c>
      <c r="B380" s="19"/>
      <c r="C380" s="19"/>
      <c r="D380" s="19"/>
      <c r="E380" s="19"/>
      <c r="F380" s="19"/>
    </row>
    <row r="381" customFormat="false" ht="15" hidden="false" customHeight="false" outlineLevel="0" collapsed="false">
      <c r="A381" s="10" t="s">
        <v>263</v>
      </c>
      <c r="B381" s="10" t="s">
        <v>264</v>
      </c>
      <c r="C381" s="10" t="s">
        <v>174</v>
      </c>
      <c r="D381" s="10" t="s">
        <v>265</v>
      </c>
      <c r="E381" s="10" t="s">
        <v>266</v>
      </c>
      <c r="F381" s="10" t="s">
        <v>267</v>
      </c>
    </row>
    <row r="382" customFormat="false" ht="15" hidden="false" customHeight="false" outlineLevel="0" collapsed="false">
      <c r="A382" s="3" t="n">
        <v>1</v>
      </c>
      <c r="B382" s="5" t="str">
        <f aca="false">IFERROR(INDEX('Perhitungan IPH Mingguan 2025'!$B$6:$B$25,MATCH(LARGE('Perhitungan IPH Mingguan 2025'!$HJ$6:$HJ$25,1),'Perhitungan IPH Mingguan 2025'!$HJ$6:$HJ$25,0)),"-")</f>
        <v>daging sapi 01121001</v>
      </c>
      <c r="C382" s="20" t="n">
        <f aca="false">IFERROR(INDEX('Perhitungan IPH Mingguan 2025'!$C$6:$C$25,MATCH(LARGE('Perhitungan IPH Mingguan 2025'!$HJ$6:$HJ$25,1),'Perhitungan IPH Mingguan 2025'!$HJ$6:$HJ$25,0)),"")</f>
        <v>0.0598704213474298</v>
      </c>
      <c r="D382" s="14" t="n">
        <f aca="false">IFERROR(INDEX('Perhitungan IPH Mingguan 2025'!$EP$6:$EP$25,MATCH(LARGE('Perhitungan IPH Mingguan 2025'!$HJ$6:$HJ$25,1),'Perhitungan IPH Mingguan 2025'!$HJ$6:$HJ$25,0)),"")</f>
        <v>9.75609756097562</v>
      </c>
      <c r="E382" s="4" t="n">
        <f aca="false">IFERROR(INDEX('Perhitungan IPH Mingguan 2025'!$EQ$6:$EQ$25,MATCH(LARGE('Perhitungan IPH Mingguan 2025'!$HJ$6:$HJ$25,1),'Perhitungan IPH Mingguan 2025'!$HJ$6:$HJ$25,0)),"")</f>
        <v>0.584101671682242</v>
      </c>
      <c r="F382" s="21" t="str">
        <f aca="false">IF(ISNUMBER(E382),IF(E382&gt;0,"Penyumbang KENAIKAN IPH","Penyumbang PENURUNAN IPH"),"-")</f>
        <v>Penyumbang KENAIKAN IPH</v>
      </c>
    </row>
    <row r="383" customFormat="false" ht="15" hidden="false" customHeight="false" outlineLevel="0" collapsed="false">
      <c r="A383" s="3" t="n">
        <v>2</v>
      </c>
      <c r="B383" s="5" t="str">
        <f aca="false">IFERROR(INDEX('Perhitungan IPH Mingguan 2025'!$B$6:$B$25,MATCH(LARGE('Perhitungan IPH Mingguan 2025'!$HJ$6:$HJ$25,2),'Perhitungan IPH Mingguan 2025'!$HJ$6:$HJ$25,0)),"-")</f>
        <v>daging ayam ras 1124003</v>
      </c>
      <c r="C383" s="20" t="n">
        <f aca="false">IFERROR(INDEX('Perhitungan IPH Mingguan 2025'!$C$6:$C$25,MATCH(LARGE('Perhitungan IPH Mingguan 2025'!$HJ$6:$HJ$25,2),'Perhitungan IPH Mingguan 2025'!$HJ$6:$HJ$25,0)),"")</f>
        <v>0.0479107777850277</v>
      </c>
      <c r="D383" s="14" t="n">
        <f aca="false">IFERROR(INDEX('Perhitungan IPH Mingguan 2025'!$EP$6:$EP$25,MATCH(LARGE('Perhitungan IPH Mingguan 2025'!$HJ$6:$HJ$25,2),'Perhitungan IPH Mingguan 2025'!$HJ$6:$HJ$25,0)),"")</f>
        <v>-4.01284109149278</v>
      </c>
      <c r="E383" s="4" t="n">
        <f aca="false">IFERROR(INDEX('Perhitungan IPH Mingguan 2025'!$EQ$6:$EQ$25,MATCH(LARGE('Perhitungan IPH Mingguan 2025'!$HJ$6:$HJ$25,2),'Perhitungan IPH Mingguan 2025'!$HJ$6:$HJ$25,0)),"")</f>
        <v>-0.192258337821139</v>
      </c>
      <c r="F383" s="21" t="str">
        <f aca="false">IF(ISNUMBER(E383),IF(E383&gt;0,"Penyumbang KENAIKAN IPH","Penyumbang PENURUNAN IPH"),"-")</f>
        <v>Penyumbang PENURUNAN IPH</v>
      </c>
    </row>
    <row r="384" customFormat="false" ht="15" hidden="false" customHeight="false" outlineLevel="0" collapsed="false">
      <c r="A384" s="3" t="n">
        <v>3</v>
      </c>
      <c r="B384" s="5" t="str">
        <f aca="false">IFERROR(INDEX('Perhitungan IPH Mingguan 2025'!$B$6:$B$25,MATCH(LARGE('Perhitungan IPH Mingguan 2025'!$HJ$6:$HJ$25,3),'Perhitungan IPH Mingguan 2025'!$HJ$6:$HJ$25,0)),"-")</f>
        <v>telur ayam ras 01147002</v>
      </c>
      <c r="C384" s="20" t="n">
        <f aca="false">IFERROR(INDEX('Perhitungan IPH Mingguan 2025'!$C$6:$C$25,MATCH(LARGE('Perhitungan IPH Mingguan 2025'!$HJ$6:$HJ$25,3),'Perhitungan IPH Mingguan 2025'!$HJ$6:$HJ$25,0)),"")</f>
        <v>0.0298777910794593</v>
      </c>
      <c r="D384" s="14" t="n">
        <f aca="false">IFERROR(INDEX('Perhitungan IPH Mingguan 2025'!$EP$6:$EP$25,MATCH(LARGE('Perhitungan IPH Mingguan 2025'!$HJ$6:$HJ$25,3),'Perhitungan IPH Mingguan 2025'!$HJ$6:$HJ$25,0)),"")</f>
        <v>5.09666080843586</v>
      </c>
      <c r="E384" s="4" t="n">
        <f aca="false">IFERROR(INDEX('Perhitungan IPH Mingguan 2025'!$EQ$6:$EQ$25,MATCH(LARGE('Perhitungan IPH Mingguan 2025'!$HJ$6:$HJ$25,3),'Perhitungan IPH Mingguan 2025'!$HJ$6:$HJ$25,0)),"")</f>
        <v>0.152276966837315</v>
      </c>
      <c r="F384" s="21" t="str">
        <f aca="false">IF(ISNUMBER(E384),IF(E384&gt;0,"Penyumbang KENAIKAN IPH","Penyumbang PENURUNAN IPH"),"-")</f>
        <v>Penyumbang KENAIKAN IPH</v>
      </c>
    </row>
    <row r="385" customFormat="false" ht="15" hidden="false" customHeight="false" outlineLevel="0" collapsed="false">
      <c r="A385" s="3" t="n">
        <v>4</v>
      </c>
      <c r="B385" s="5" t="str">
        <f aca="false">IFERROR(INDEX('Perhitungan IPH Mingguan 2025'!$B$6:$B$25,MATCH(LARGE('Perhitungan IPH Mingguan 2025'!$HJ$6:$HJ$25,4),'Perhitungan IPH Mingguan 2025'!$HJ$6:$HJ$25,0)),"-")</f>
        <v>cabai rawit 01173013</v>
      </c>
      <c r="C385" s="20" t="n">
        <f aca="false">IFERROR(INDEX('Perhitungan IPH Mingguan 2025'!$C$6:$C$25,MATCH(LARGE('Perhitungan IPH Mingguan 2025'!$HJ$6:$HJ$25,4),'Perhitungan IPH Mingguan 2025'!$HJ$6:$HJ$25,0)),"")</f>
        <v>0.0177017323628706</v>
      </c>
      <c r="D385" s="14" t="n">
        <f aca="false">IFERROR(INDEX('Perhitungan IPH Mingguan 2025'!$EP$6:$EP$25,MATCH(LARGE('Perhitungan IPH Mingguan 2025'!$HJ$6:$HJ$25,4),'Perhitungan IPH Mingguan 2025'!$HJ$6:$HJ$25,0)),"")</f>
        <v>-8</v>
      </c>
      <c r="E385" s="4" t="n">
        <f aca="false">IFERROR(INDEX('Perhitungan IPH Mingguan 2025'!$EQ$6:$EQ$25,MATCH(LARGE('Perhitungan IPH Mingguan 2025'!$HJ$6:$HJ$25,4),'Perhitungan IPH Mingguan 2025'!$HJ$6:$HJ$25,0)),"")</f>
        <v>-0.141613858902965</v>
      </c>
      <c r="F385" s="21" t="str">
        <f aca="false">IF(ISNUMBER(E385),IF(E385&gt;0,"Penyumbang KENAIKAN IPH","Penyumbang PENURUNAN IPH"),"-")</f>
        <v>Penyumbang PENURUNAN IPH</v>
      </c>
    </row>
    <row r="386" customFormat="false" ht="15" hidden="false" customHeight="false" outlineLevel="0" collapsed="false">
      <c r="A386" s="3" t="n">
        <v>5</v>
      </c>
      <c r="B386" s="5" t="str">
        <f aca="false">IFERROR(INDEX('Perhitungan IPH Mingguan 2025'!$B$6:$B$25,MATCH(LARGE('Perhitungan IPH Mingguan 2025'!$HJ$6:$HJ$25,5),'Perhitungan IPH Mingguan 2025'!$HJ$6:$HJ$25,0)),"-")</f>
        <v>bawang merah 1174006</v>
      </c>
      <c r="C386" s="20" t="n">
        <f aca="false">IFERROR(INDEX('Perhitungan IPH Mingguan 2025'!$C$6:$C$25,MATCH(LARGE('Perhitungan IPH Mingguan 2025'!$HJ$6:$HJ$25,5),'Perhitungan IPH Mingguan 2025'!$HJ$6:$HJ$25,0)),"")</f>
        <v>0.0194434650422287</v>
      </c>
      <c r="D386" s="14" t="n">
        <f aca="false">IFERROR(INDEX('Perhitungan IPH Mingguan 2025'!$EP$6:$EP$25,MATCH(LARGE('Perhitungan IPH Mingguan 2025'!$HJ$6:$HJ$25,5),'Perhitungan IPH Mingguan 2025'!$HJ$6:$HJ$25,0)),"")</f>
        <v>-2.57826887661141</v>
      </c>
      <c r="E386" s="4" t="n">
        <f aca="false">IFERROR(INDEX('Perhitungan IPH Mingguan 2025'!$EQ$6:$EQ$25,MATCH(LARGE('Perhitungan IPH Mingguan 2025'!$HJ$6:$HJ$25,5),'Perhitungan IPH Mingguan 2025'!$HJ$6:$HJ$25,0)),"")</f>
        <v>-0.0501304807718603</v>
      </c>
      <c r="F386" s="21" t="str">
        <f aca="false">IF(ISNUMBER(E386),IF(E386&gt;0,"Penyumbang KENAIKAN IPH","Penyumbang PENURUNAN IPH"),"-")</f>
        <v>Penyumbang PENURUNAN IPH</v>
      </c>
    </row>
    <row r="388" customFormat="false" ht="15" hidden="false" customHeight="false" outlineLevel="0" collapsed="false">
      <c r="A388" s="19" t="s">
        <v>315</v>
      </c>
      <c r="B388" s="19"/>
      <c r="C388" s="19"/>
      <c r="D388" s="19"/>
      <c r="E388" s="19"/>
      <c r="F388" s="19"/>
    </row>
    <row r="389" customFormat="false" ht="15" hidden="false" customHeight="false" outlineLevel="0" collapsed="false">
      <c r="A389" s="10" t="s">
        <v>263</v>
      </c>
      <c r="B389" s="10" t="s">
        <v>264</v>
      </c>
      <c r="C389" s="10" t="s">
        <v>174</v>
      </c>
      <c r="D389" s="10" t="s">
        <v>265</v>
      </c>
      <c r="E389" s="10" t="s">
        <v>266</v>
      </c>
      <c r="F389" s="10" t="s">
        <v>267</v>
      </c>
    </row>
    <row r="390" customFormat="false" ht="15" hidden="false" customHeight="false" outlineLevel="0" collapsed="false">
      <c r="A390" s="3" t="n">
        <v>1</v>
      </c>
      <c r="B390" s="5" t="str">
        <f aca="false">IFERROR(INDEX('Perhitungan IPH Mingguan 2025'!$B$6:$B$25,MATCH(LARGE('Perhitungan IPH Mingguan 2025'!$HK$6:$HK$25,1),'Perhitungan IPH Mingguan 2025'!$HK$6:$HK$25,0)),"-")</f>
        <v>daging sapi 01121001</v>
      </c>
      <c r="C390" s="20" t="n">
        <f aca="false">IFERROR(INDEX('Perhitungan IPH Mingguan 2025'!$C$6:$C$25,MATCH(LARGE('Perhitungan IPH Mingguan 2025'!$HK$6:$HK$25,1),'Perhitungan IPH Mingguan 2025'!$HK$6:$HK$25,0)),"")</f>
        <v>0.0598704213474298</v>
      </c>
      <c r="D390" s="14" t="n">
        <f aca="false">IFERROR(INDEX('Perhitungan IPH Mingguan 2025'!$ES$6:$ES$25,MATCH(LARGE('Perhitungan IPH Mingguan 2025'!$HK$6:$HK$25,1),'Perhitungan IPH Mingguan 2025'!$HK$6:$HK$25,0)),"")</f>
        <v>9.75609756097562</v>
      </c>
      <c r="E390" s="4" t="n">
        <f aca="false">IFERROR(INDEX('Perhitungan IPH Mingguan 2025'!$ET$6:$ET$25,MATCH(LARGE('Perhitungan IPH Mingguan 2025'!$HK$6:$HK$25,1),'Perhitungan IPH Mingguan 2025'!$HK$6:$HK$25,0)),"")</f>
        <v>0.584101671682242</v>
      </c>
      <c r="F390" s="21" t="str">
        <f aca="false">IF(ISNUMBER(E390),IF(E390&gt;0,"Penyumbang KENAIKAN IPH","Penyumbang PENURUNAN IPH"),"-")</f>
        <v>Penyumbang KENAIKAN IPH</v>
      </c>
    </row>
    <row r="391" customFormat="false" ht="15" hidden="false" customHeight="false" outlineLevel="0" collapsed="false">
      <c r="A391" s="3" t="n">
        <v>2</v>
      </c>
      <c r="B391" s="5" t="str">
        <f aca="false">IFERROR(INDEX('Perhitungan IPH Mingguan 2025'!$B$6:$B$25,MATCH(LARGE('Perhitungan IPH Mingguan 2025'!$HK$6:$HK$25,2),'Perhitungan IPH Mingguan 2025'!$HK$6:$HK$25,0)),"-")</f>
        <v>daging ayam ras 1124003</v>
      </c>
      <c r="C391" s="20" t="n">
        <f aca="false">IFERROR(INDEX('Perhitungan IPH Mingguan 2025'!$C$6:$C$25,MATCH(LARGE('Perhitungan IPH Mingguan 2025'!$HK$6:$HK$25,2),'Perhitungan IPH Mingguan 2025'!$HK$6:$HK$25,0)),"")</f>
        <v>0.0479107777850277</v>
      </c>
      <c r="D391" s="14" t="n">
        <f aca="false">IFERROR(INDEX('Perhitungan IPH Mingguan 2025'!$ES$6:$ES$25,MATCH(LARGE('Perhitungan IPH Mingguan 2025'!$HK$6:$HK$25,2),'Perhitungan IPH Mingguan 2025'!$HK$6:$HK$25,0)),"")</f>
        <v>-4.01284109149278</v>
      </c>
      <c r="E391" s="4" t="n">
        <f aca="false">IFERROR(INDEX('Perhitungan IPH Mingguan 2025'!$ET$6:$ET$25,MATCH(LARGE('Perhitungan IPH Mingguan 2025'!$HK$6:$HK$25,2),'Perhitungan IPH Mingguan 2025'!$HK$6:$HK$25,0)),"")</f>
        <v>-0.192258337821139</v>
      </c>
      <c r="F391" s="21" t="str">
        <f aca="false">IF(ISNUMBER(E391),IF(E391&gt;0,"Penyumbang KENAIKAN IPH","Penyumbang PENURUNAN IPH"),"-")</f>
        <v>Penyumbang PENURUNAN IPH</v>
      </c>
    </row>
    <row r="392" customFormat="false" ht="15" hidden="false" customHeight="false" outlineLevel="0" collapsed="false">
      <c r="A392" s="3" t="n">
        <v>3</v>
      </c>
      <c r="B392" s="5" t="str">
        <f aca="false">IFERROR(INDEX('Perhitungan IPH Mingguan 2025'!$B$6:$B$25,MATCH(LARGE('Perhitungan IPH Mingguan 2025'!$HK$6:$HK$25,3),'Perhitungan IPH Mingguan 2025'!$HK$6:$HK$25,0)),"-")</f>
        <v>telur ayam ras 01147002</v>
      </c>
      <c r="C392" s="20" t="n">
        <f aca="false">IFERROR(INDEX('Perhitungan IPH Mingguan 2025'!$C$6:$C$25,MATCH(LARGE('Perhitungan IPH Mingguan 2025'!$HK$6:$HK$25,3),'Perhitungan IPH Mingguan 2025'!$HK$6:$HK$25,0)),"")</f>
        <v>0.0298777910794593</v>
      </c>
      <c r="D392" s="14" t="n">
        <f aca="false">IFERROR(INDEX('Perhitungan IPH Mingguan 2025'!$ES$6:$ES$25,MATCH(LARGE('Perhitungan IPH Mingguan 2025'!$HK$6:$HK$25,3),'Perhitungan IPH Mingguan 2025'!$HK$6:$HK$25,0)),"")</f>
        <v>5.09666080843586</v>
      </c>
      <c r="E392" s="4" t="n">
        <f aca="false">IFERROR(INDEX('Perhitungan IPH Mingguan 2025'!$ET$6:$ET$25,MATCH(LARGE('Perhitungan IPH Mingguan 2025'!$HK$6:$HK$25,3),'Perhitungan IPH Mingguan 2025'!$HK$6:$HK$25,0)),"")</f>
        <v>0.152276966837315</v>
      </c>
      <c r="F392" s="21" t="str">
        <f aca="false">IF(ISNUMBER(E392),IF(E392&gt;0,"Penyumbang KENAIKAN IPH","Penyumbang PENURUNAN IPH"),"-")</f>
        <v>Penyumbang KENAIKAN IPH</v>
      </c>
    </row>
    <row r="393" customFormat="false" ht="15" hidden="false" customHeight="false" outlineLevel="0" collapsed="false">
      <c r="A393" s="3" t="n">
        <v>4</v>
      </c>
      <c r="B393" s="5" t="str">
        <f aca="false">IFERROR(INDEX('Perhitungan IPH Mingguan 2025'!$B$6:$B$25,MATCH(LARGE('Perhitungan IPH Mingguan 2025'!$HK$6:$HK$25,4),'Perhitungan IPH Mingguan 2025'!$HK$6:$HK$25,0)),"-")</f>
        <v>pisang ambon 1162001</v>
      </c>
      <c r="C393" s="20" t="n">
        <f aca="false">IFERROR(INDEX('Perhitungan IPH Mingguan 2025'!$C$6:$C$25,MATCH(LARGE('Perhitungan IPH Mingguan 2025'!$HK$6:$HK$25,4),'Perhitungan IPH Mingguan 2025'!$HK$6:$HK$25,0)),"")</f>
        <v>0.0406365728580274</v>
      </c>
      <c r="D393" s="14" t="n">
        <f aca="false">IFERROR(INDEX('Perhitungan IPH Mingguan 2025'!$ES$6:$ES$25,MATCH(LARGE('Perhitungan IPH Mingguan 2025'!$HK$6:$HK$25,4),'Perhitungan IPH Mingguan 2025'!$HK$6:$HK$25,0)),"")</f>
        <v>-3.33333333333333</v>
      </c>
      <c r="E393" s="4" t="n">
        <f aca="false">IFERROR(INDEX('Perhitungan IPH Mingguan 2025'!$ET$6:$ET$25,MATCH(LARGE('Perhitungan IPH Mingguan 2025'!$HK$6:$HK$25,4),'Perhitungan IPH Mingguan 2025'!$HK$6:$HK$25,0)),"")</f>
        <v>-0.135455242860091</v>
      </c>
      <c r="F393" s="21" t="str">
        <f aca="false">IF(ISNUMBER(E393),IF(E393&gt;0,"Penyumbang KENAIKAN IPH","Penyumbang PENURUNAN IPH"),"-")</f>
        <v>Penyumbang PENURUNAN IPH</v>
      </c>
    </row>
    <row r="394" customFormat="false" ht="15" hidden="false" customHeight="false" outlineLevel="0" collapsed="false">
      <c r="A394" s="3" t="n">
        <v>5</v>
      </c>
      <c r="B394" s="5" t="str">
        <f aca="false">IFERROR(INDEX('Perhitungan IPH Mingguan 2025'!$B$6:$B$25,MATCH(LARGE('Perhitungan IPH Mingguan 2025'!$HK$6:$HK$25,5),'Perhitungan IPH Mingguan 2025'!$HK$6:$HK$25,0)),"-")</f>
        <v>udang lobster 01132004</v>
      </c>
      <c r="C394" s="20" t="n">
        <f aca="false">IFERROR(INDEX('Perhitungan IPH Mingguan 2025'!$C$6:$C$25,MATCH(LARGE('Perhitungan IPH Mingguan 2025'!$HK$6:$HK$25,5),'Perhitungan IPH Mingguan 2025'!$HK$6:$HK$25,0)),"")</f>
        <v>0.0370107543210236</v>
      </c>
      <c r="D394" s="14" t="n">
        <f aca="false">IFERROR(INDEX('Perhitungan IPH Mingguan 2025'!$ES$6:$ES$25,MATCH(LARGE('Perhitungan IPH Mingguan 2025'!$HK$6:$HK$25,5),'Perhitungan IPH Mingguan 2025'!$HK$6:$HK$25,0)),"")</f>
        <v>-2.39426523297491</v>
      </c>
      <c r="E394" s="4" t="n">
        <f aca="false">IFERROR(INDEX('Perhitungan IPH Mingguan 2025'!$ET$6:$ET$25,MATCH(LARGE('Perhitungan IPH Mingguan 2025'!$HK$6:$HK$25,5),'Perhitungan IPH Mingguan 2025'!$HK$6:$HK$25,0)),"")</f>
        <v>-0.0886135623170029</v>
      </c>
      <c r="F394" s="21" t="str">
        <f aca="false">IF(ISNUMBER(E394),IF(E394&gt;0,"Penyumbang KENAIKAN IPH","Penyumbang PENURUNAN IPH"),"-")</f>
        <v>Penyumbang PENURUNAN IPH</v>
      </c>
    </row>
    <row r="396" customFormat="false" ht="15" hidden="false" customHeight="false" outlineLevel="0" collapsed="false">
      <c r="A396" s="19" t="s">
        <v>316</v>
      </c>
      <c r="B396" s="19"/>
      <c r="C396" s="19"/>
      <c r="D396" s="19"/>
      <c r="E396" s="19"/>
      <c r="F396" s="19"/>
    </row>
    <row r="397" customFormat="false" ht="15" hidden="false" customHeight="false" outlineLevel="0" collapsed="false">
      <c r="A397" s="10" t="s">
        <v>263</v>
      </c>
      <c r="B397" s="10" t="s">
        <v>264</v>
      </c>
      <c r="C397" s="10" t="s">
        <v>174</v>
      </c>
      <c r="D397" s="10" t="s">
        <v>265</v>
      </c>
      <c r="E397" s="10" t="s">
        <v>266</v>
      </c>
      <c r="F397" s="10" t="s">
        <v>267</v>
      </c>
    </row>
    <row r="398" customFormat="false" ht="15" hidden="false" customHeight="false" outlineLevel="0" collapsed="false">
      <c r="A398" s="3" t="n">
        <v>1</v>
      </c>
      <c r="B398" s="5" t="str">
        <f aca="false">IFERROR(INDEX('Perhitungan IPH Mingguan 2025'!$B$6:$B$25,MATCH(LARGE('Perhitungan IPH Mingguan 2025'!$HL$6:$HL$25,1),'Perhitungan IPH Mingguan 2025'!$HL$6:$HL$25,0)),"-")</f>
        <v>daging sapi 01121001</v>
      </c>
      <c r="C398" s="20" t="n">
        <f aca="false">IFERROR(INDEX('Perhitungan IPH Mingguan 2025'!$C$6:$C$25,MATCH(LARGE('Perhitungan IPH Mingguan 2025'!$HL$6:$HL$25,1),'Perhitungan IPH Mingguan 2025'!$HL$6:$HL$25,0)),"")</f>
        <v>0.0598704213474298</v>
      </c>
      <c r="D398" s="14" t="n">
        <f aca="false">IFERROR(INDEX('Perhitungan IPH Mingguan 2025'!$EV$6:$EV$25,MATCH(LARGE('Perhitungan IPH Mingguan 2025'!$HL$6:$HL$25,1),'Perhitungan IPH Mingguan 2025'!$HL$6:$HL$25,0)),"")</f>
        <v>9.75609756097562</v>
      </c>
      <c r="E398" s="4" t="n">
        <f aca="false">IFERROR(INDEX('Perhitungan IPH Mingguan 2025'!$EW$6:$EW$25,MATCH(LARGE('Perhitungan IPH Mingguan 2025'!$HL$6:$HL$25,1),'Perhitungan IPH Mingguan 2025'!$HL$6:$HL$25,0)),"")</f>
        <v>0.584101671682242</v>
      </c>
      <c r="F398" s="21" t="str">
        <f aca="false">IF(ISNUMBER(E398),IF(E398&gt;0,"Penyumbang KENAIKAN IPH","Penyumbang PENURUNAN IPH"),"-")</f>
        <v>Penyumbang KENAIKAN IPH</v>
      </c>
    </row>
    <row r="399" customFormat="false" ht="15" hidden="false" customHeight="false" outlineLevel="0" collapsed="false">
      <c r="A399" s="3" t="n">
        <v>2</v>
      </c>
      <c r="B399" s="5" t="str">
        <f aca="false">IFERROR(INDEX('Perhitungan IPH Mingguan 2025'!$B$6:$B$25,MATCH(LARGE('Perhitungan IPH Mingguan 2025'!$HL$6:$HL$25,2),'Perhitungan IPH Mingguan 2025'!$HL$6:$HL$25,0)),"-")</f>
        <v>daging ayam ras 1124003</v>
      </c>
      <c r="C399" s="20" t="n">
        <f aca="false">IFERROR(INDEX('Perhitungan IPH Mingguan 2025'!$C$6:$C$25,MATCH(LARGE('Perhitungan IPH Mingguan 2025'!$HL$6:$HL$25,2),'Perhitungan IPH Mingguan 2025'!$HL$6:$HL$25,0)),"")</f>
        <v>0.0479107777850277</v>
      </c>
      <c r="D399" s="14" t="n">
        <f aca="false">IFERROR(INDEX('Perhitungan IPH Mingguan 2025'!$EV$6:$EV$25,MATCH(LARGE('Perhitungan IPH Mingguan 2025'!$HL$6:$HL$25,2),'Perhitungan IPH Mingguan 2025'!$HL$6:$HL$25,0)),"")</f>
        <v>-4.01284109149278</v>
      </c>
      <c r="E399" s="4" t="n">
        <f aca="false">IFERROR(INDEX('Perhitungan IPH Mingguan 2025'!$EW$6:$EW$25,MATCH(LARGE('Perhitungan IPH Mingguan 2025'!$HL$6:$HL$25,2),'Perhitungan IPH Mingguan 2025'!$HL$6:$HL$25,0)),"")</f>
        <v>-0.192258337821139</v>
      </c>
      <c r="F399" s="21" t="str">
        <f aca="false">IF(ISNUMBER(E399),IF(E399&gt;0,"Penyumbang KENAIKAN IPH","Penyumbang PENURUNAN IPH"),"-")</f>
        <v>Penyumbang PENURUNAN IPH</v>
      </c>
    </row>
    <row r="400" customFormat="false" ht="15" hidden="false" customHeight="false" outlineLevel="0" collapsed="false">
      <c r="A400" s="3" t="n">
        <v>3</v>
      </c>
      <c r="B400" s="5" t="str">
        <f aca="false">IFERROR(INDEX('Perhitungan IPH Mingguan 2025'!$B$6:$B$25,MATCH(LARGE('Perhitungan IPH Mingguan 2025'!$HL$6:$HL$25,3),'Perhitungan IPH Mingguan 2025'!$HL$6:$HL$25,0)),"-")</f>
        <v>telur ayam ras 01147002</v>
      </c>
      <c r="C400" s="20" t="n">
        <f aca="false">IFERROR(INDEX('Perhitungan IPH Mingguan 2025'!$C$6:$C$25,MATCH(LARGE('Perhitungan IPH Mingguan 2025'!$HL$6:$HL$25,3),'Perhitungan IPH Mingguan 2025'!$HL$6:$HL$25,0)),"")</f>
        <v>0.0298777910794593</v>
      </c>
      <c r="D400" s="14" t="n">
        <f aca="false">IFERROR(INDEX('Perhitungan IPH Mingguan 2025'!$EV$6:$EV$25,MATCH(LARGE('Perhitungan IPH Mingguan 2025'!$HL$6:$HL$25,3),'Perhitungan IPH Mingguan 2025'!$HL$6:$HL$25,0)),"")</f>
        <v>5.09666080843586</v>
      </c>
      <c r="E400" s="4" t="n">
        <f aca="false">IFERROR(INDEX('Perhitungan IPH Mingguan 2025'!$EW$6:$EW$25,MATCH(LARGE('Perhitungan IPH Mingguan 2025'!$HL$6:$HL$25,3),'Perhitungan IPH Mingguan 2025'!$HL$6:$HL$25,0)),"")</f>
        <v>0.152276966837315</v>
      </c>
      <c r="F400" s="21" t="str">
        <f aca="false">IF(ISNUMBER(E400),IF(E400&gt;0,"Penyumbang KENAIKAN IPH","Penyumbang PENURUNAN IPH"),"-")</f>
        <v>Penyumbang KENAIKAN IPH</v>
      </c>
    </row>
    <row r="401" customFormat="false" ht="15" hidden="false" customHeight="false" outlineLevel="0" collapsed="false">
      <c r="A401" s="3" t="n">
        <v>4</v>
      </c>
      <c r="B401" s="5" t="str">
        <f aca="false">IFERROR(INDEX('Perhitungan IPH Mingguan 2025'!$B$6:$B$25,MATCH(LARGE('Perhitungan IPH Mingguan 2025'!$HL$6:$HL$25,4),'Perhitungan IPH Mingguan 2025'!$HL$6:$HL$25,0)),"-")</f>
        <v>bawang merah 1174006</v>
      </c>
      <c r="C401" s="20" t="n">
        <f aca="false">IFERROR(INDEX('Perhitungan IPH Mingguan 2025'!$C$6:$C$25,MATCH(LARGE('Perhitungan IPH Mingguan 2025'!$HL$6:$HL$25,4),'Perhitungan IPH Mingguan 2025'!$HL$6:$HL$25,0)),"")</f>
        <v>0.0194434650422287</v>
      </c>
      <c r="D401" s="14" t="n">
        <f aca="false">IFERROR(INDEX('Perhitungan IPH Mingguan 2025'!$EV$6:$EV$25,MATCH(LARGE('Perhitungan IPH Mingguan 2025'!$HL$6:$HL$25,4),'Perhitungan IPH Mingguan 2025'!$HL$6:$HL$25,0)),"")</f>
        <v>7.58747697974218</v>
      </c>
      <c r="E401" s="4" t="n">
        <f aca="false">IFERROR(INDEX('Perhitungan IPH Mingguan 2025'!$EW$6:$EW$25,MATCH(LARGE('Perhitungan IPH Mingguan 2025'!$HL$6:$HL$25,4),'Perhitungan IPH Mingguan 2025'!$HL$6:$HL$25,0)),"")</f>
        <v>0.147526843414332</v>
      </c>
      <c r="F401" s="21" t="str">
        <f aca="false">IF(ISNUMBER(E401),IF(E401&gt;0,"Penyumbang KENAIKAN IPH","Penyumbang PENURUNAN IPH"),"-")</f>
        <v>Penyumbang KENAIKAN IPH</v>
      </c>
    </row>
    <row r="402" customFormat="false" ht="15" hidden="false" customHeight="false" outlineLevel="0" collapsed="false">
      <c r="A402" s="3" t="n">
        <v>5</v>
      </c>
      <c r="B402" s="5" t="str">
        <f aca="false">IFERROR(INDEX('Perhitungan IPH Mingguan 2025'!$B$6:$B$25,MATCH(LARGE('Perhitungan IPH Mingguan 2025'!$HL$6:$HL$25,5),'Perhitungan IPH Mingguan 2025'!$HL$6:$HL$25,0)),"-")</f>
        <v>cabai merah 01173012</v>
      </c>
      <c r="C402" s="20" t="n">
        <f aca="false">IFERROR(INDEX('Perhitungan IPH Mingguan 2025'!$C$6:$C$25,MATCH(LARGE('Perhitungan IPH Mingguan 2025'!$HL$6:$HL$25,5),'Perhitungan IPH Mingguan 2025'!$HL$6:$HL$25,0)),"")</f>
        <v>0.0110208839376634</v>
      </c>
      <c r="D402" s="14" t="n">
        <f aca="false">IFERROR(INDEX('Perhitungan IPH Mingguan 2025'!$EV$6:$EV$25,MATCH(LARGE('Perhitungan IPH Mingguan 2025'!$HL$6:$HL$25,5),'Perhitungan IPH Mingguan 2025'!$HL$6:$HL$25,0)),"")</f>
        <v>9.77272727272727</v>
      </c>
      <c r="E402" s="4" t="n">
        <f aca="false">IFERROR(INDEX('Perhitungan IPH Mingguan 2025'!$EW$6:$EW$25,MATCH(LARGE('Perhitungan IPH Mingguan 2025'!$HL$6:$HL$25,5),'Perhitungan IPH Mingguan 2025'!$HL$6:$HL$25,0)),"")</f>
        <v>0.107704093027165</v>
      </c>
      <c r="F402" s="21" t="str">
        <f aca="false">IF(ISNUMBER(E402),IF(E402&gt;0,"Penyumbang KENAIKAN IPH","Penyumbang PENURUNAN IPH"),"-")</f>
        <v>Penyumbang KENAIKAN IPH</v>
      </c>
    </row>
    <row r="404" customFormat="false" ht="15" hidden="false" customHeight="false" outlineLevel="0" collapsed="false">
      <c r="A404" s="19" t="s">
        <v>317</v>
      </c>
      <c r="B404" s="19"/>
      <c r="C404" s="19"/>
      <c r="D404" s="19"/>
      <c r="E404" s="19"/>
      <c r="F404" s="19"/>
    </row>
    <row r="405" customFormat="false" ht="15" hidden="false" customHeight="false" outlineLevel="0" collapsed="false">
      <c r="A405" s="10" t="s">
        <v>263</v>
      </c>
      <c r="B405" s="10" t="s">
        <v>264</v>
      </c>
      <c r="C405" s="10" t="s">
        <v>174</v>
      </c>
      <c r="D405" s="10" t="s">
        <v>265</v>
      </c>
      <c r="E405" s="10" t="s">
        <v>266</v>
      </c>
      <c r="F405" s="10" t="s">
        <v>267</v>
      </c>
    </row>
    <row r="406" customFormat="false" ht="15" hidden="false" customHeight="false" outlineLevel="0" collapsed="false">
      <c r="A406" s="3" t="n">
        <v>1</v>
      </c>
      <c r="B406" s="5" t="str">
        <f aca="false">IFERROR(INDEX('Perhitungan IPH Mingguan 2025'!$B$6:$B$25,MATCH(LARGE('Perhitungan IPH Mingguan 2025'!$HM$6:$HM$25,1),'Perhitungan IPH Mingguan 2025'!$HM$6:$HM$25,0)),"-")</f>
        <v>cabai rawit 01173013</v>
      </c>
      <c r="C406" s="20" t="n">
        <f aca="false">IFERROR(INDEX('Perhitungan IPH Mingguan 2025'!$C$6:$C$25,MATCH(LARGE('Perhitungan IPH Mingguan 2025'!$HM$6:$HM$25,1),'Perhitungan IPH Mingguan 2025'!$HM$6:$HM$25,0)),"")</f>
        <v>0.0177017323628706</v>
      </c>
      <c r="D406" s="14" t="n">
        <f aca="false">IFERROR(INDEX('Perhitungan IPH Mingguan 2025'!$EY$6:$EY$25,MATCH(LARGE('Perhitungan IPH Mingguan 2025'!$HM$6:$HM$25,1),'Perhitungan IPH Mingguan 2025'!$HM$6:$HM$25,0)),"")</f>
        <v>11.304347826087</v>
      </c>
      <c r="E406" s="4" t="n">
        <f aca="false">IFERROR(INDEX('Perhitungan IPH Mingguan 2025'!$EZ$6:$EZ$25,MATCH(LARGE('Perhitungan IPH Mingguan 2025'!$HM$6:$HM$25,1),'Perhitungan IPH Mingguan 2025'!$HM$6:$HM$25,0)),"")</f>
        <v>0.200106539754189</v>
      </c>
      <c r="F406" s="21" t="str">
        <f aca="false">IF(ISNUMBER(E406),IF(E406&gt;0,"Penyumbang KENAIKAN IPH","Penyumbang PENURUNAN IPH"),"-")</f>
        <v>Penyumbang KENAIKAN IPH</v>
      </c>
    </row>
    <row r="407" customFormat="false" ht="15" hidden="false" customHeight="false" outlineLevel="0" collapsed="false">
      <c r="A407" s="3" t="n">
        <v>2</v>
      </c>
      <c r="B407" s="5" t="str">
        <f aca="false">IFERROR(INDEX('Perhitungan IPH Mingguan 2025'!$B$6:$B$25,MATCH(LARGE('Perhitungan IPH Mingguan 2025'!$HM$6:$HM$25,2),'Perhitungan IPH Mingguan 2025'!$HM$6:$HM$25,0)),"-")</f>
        <v>bawang merah 1174006</v>
      </c>
      <c r="C407" s="20" t="n">
        <f aca="false">IFERROR(INDEX('Perhitungan IPH Mingguan 2025'!$C$6:$C$25,MATCH(LARGE('Perhitungan IPH Mingguan 2025'!$HM$6:$HM$25,2),'Perhitungan IPH Mingguan 2025'!$HM$6:$HM$25,0)),"")</f>
        <v>0.0194434650422287</v>
      </c>
      <c r="D407" s="14" t="n">
        <f aca="false">IFERROR(INDEX('Perhitungan IPH Mingguan 2025'!$EY$6:$EY$25,MATCH(LARGE('Perhitungan IPH Mingguan 2025'!$HM$6:$HM$25,2),'Perhitungan IPH Mingguan 2025'!$HM$6:$HM$25,0)),"")</f>
        <v>9.3167701863354</v>
      </c>
      <c r="E407" s="4" t="n">
        <f aca="false">IFERROR(INDEX('Perhitungan IPH Mingguan 2025'!$EZ$6:$EZ$25,MATCH(LARGE('Perhitungan IPH Mingguan 2025'!$HM$6:$HM$25,2),'Perhitungan IPH Mingguan 2025'!$HM$6:$HM$25,0)),"")</f>
        <v>0.181150295424491</v>
      </c>
      <c r="F407" s="21" t="str">
        <f aca="false">IF(ISNUMBER(E407),IF(E407&gt;0,"Penyumbang KENAIKAN IPH","Penyumbang PENURUNAN IPH"),"-")</f>
        <v>Penyumbang KENAIKAN IPH</v>
      </c>
    </row>
    <row r="408" customFormat="false" ht="15" hidden="false" customHeight="false" outlineLevel="0" collapsed="false">
      <c r="A408" s="3" t="n">
        <v>3</v>
      </c>
      <c r="B408" s="5" t="str">
        <f aca="false">IFERROR(INDEX('Perhitungan IPH Mingguan 2025'!$B$6:$B$25,MATCH(LARGE('Perhitungan IPH Mingguan 2025'!$HM$6:$HM$25,3),'Perhitungan IPH Mingguan 2025'!$HM$6:$HM$25,0)),"-")</f>
        <v>cabai merah 01173012</v>
      </c>
      <c r="C408" s="20" t="n">
        <f aca="false">IFERROR(INDEX('Perhitungan IPH Mingguan 2025'!$C$6:$C$25,MATCH(LARGE('Perhitungan IPH Mingguan 2025'!$HM$6:$HM$25,3),'Perhitungan IPH Mingguan 2025'!$HM$6:$HM$25,0)),"")</f>
        <v>0.0110208839376634</v>
      </c>
      <c r="D408" s="14" t="n">
        <f aca="false">IFERROR(INDEX('Perhitungan IPH Mingguan 2025'!$EY$6:$EY$25,MATCH(LARGE('Perhitungan IPH Mingguan 2025'!$HM$6:$HM$25,3),'Perhitungan IPH Mingguan 2025'!$HM$6:$HM$25,0)),"")</f>
        <v>6.5015479876161</v>
      </c>
      <c r="E408" s="4" t="n">
        <f aca="false">IFERROR(INDEX('Perhitungan IPH Mingguan 2025'!$EZ$6:$EZ$25,MATCH(LARGE('Perhitungan IPH Mingguan 2025'!$HM$6:$HM$25,3),'Perhitungan IPH Mingguan 2025'!$HM$6:$HM$25,0)),"")</f>
        <v>0.0716528057866661</v>
      </c>
      <c r="F408" s="21" t="str">
        <f aca="false">IF(ISNUMBER(E408),IF(E408&gt;0,"Penyumbang KENAIKAN IPH","Penyumbang PENURUNAN IPH"),"-")</f>
        <v>Penyumbang KENAIKAN IPH</v>
      </c>
    </row>
    <row r="409" customFormat="false" ht="15" hidden="false" customHeight="false" outlineLevel="0" collapsed="false">
      <c r="A409" s="3" t="n">
        <v>4</v>
      </c>
      <c r="B409" s="5" t="str">
        <f aca="false">IFERROR(INDEX('Perhitungan IPH Mingguan 2025'!$B$6:$B$25,MATCH(LARGE('Perhitungan IPH Mingguan 2025'!$HM$6:$HM$25,4),'Perhitungan IPH Mingguan 2025'!$HM$6:$HM$25,0)),"-")</f>
        <v>daging ayam ras 1124003</v>
      </c>
      <c r="C409" s="20" t="n">
        <f aca="false">IFERROR(INDEX('Perhitungan IPH Mingguan 2025'!$C$6:$C$25,MATCH(LARGE('Perhitungan IPH Mingguan 2025'!$HM$6:$HM$25,4),'Perhitungan IPH Mingguan 2025'!$HM$6:$HM$25,0)),"")</f>
        <v>0.0479107777850277</v>
      </c>
      <c r="D409" s="14" t="n">
        <f aca="false">IFERROR(INDEX('Perhitungan IPH Mingguan 2025'!$EY$6:$EY$25,MATCH(LARGE('Perhitungan IPH Mingguan 2025'!$HM$6:$HM$25,4),'Perhitungan IPH Mingguan 2025'!$HM$6:$HM$25,0)),"")</f>
        <v>-1.14068441064639</v>
      </c>
      <c r="E409" s="4" t="n">
        <f aca="false">IFERROR(INDEX('Perhitungan IPH Mingguan 2025'!$EZ$6:$EZ$25,MATCH(LARGE('Perhitungan IPH Mingguan 2025'!$HM$6:$HM$25,4),'Perhitungan IPH Mingguan 2025'!$HM$6:$HM$25,0)),"")</f>
        <v>-0.0546510773213244</v>
      </c>
      <c r="F409" s="21" t="str">
        <f aca="false">IF(ISNUMBER(E409),IF(E409&gt;0,"Penyumbang KENAIKAN IPH","Penyumbang PENURUNAN IPH"),"-")</f>
        <v>Penyumbang PENURUNAN IPH</v>
      </c>
    </row>
    <row r="410" customFormat="false" ht="15" hidden="false" customHeight="false" outlineLevel="0" collapsed="false">
      <c r="A410" s="3" t="n">
        <v>5</v>
      </c>
      <c r="B410" s="5" t="str">
        <f aca="false">IFERROR(INDEX('Perhitungan IPH Mingguan 2025'!$B$6:$B$25,MATCH(LARGE('Perhitungan IPH Mingguan 2025'!$HM$6:$HM$25,5),'Perhitungan IPH Mingguan 2025'!$HM$6:$HM$25,0)),"-")</f>
        <v>pisang ambon 1162001</v>
      </c>
      <c r="C410" s="20" t="n">
        <f aca="false">IFERROR(INDEX('Perhitungan IPH Mingguan 2025'!$C$6:$C$25,MATCH(LARGE('Perhitungan IPH Mingguan 2025'!$HM$6:$HM$25,5),'Perhitungan IPH Mingguan 2025'!$HM$6:$HM$25,0)),"")</f>
        <v>0.0406365728580274</v>
      </c>
      <c r="D410" s="14" t="n">
        <f aca="false">IFERROR(INDEX('Perhitungan IPH Mingguan 2025'!$EY$6:$EY$25,MATCH(LARGE('Perhitungan IPH Mingguan 2025'!$HM$6:$HM$25,5),'Perhitungan IPH Mingguan 2025'!$HM$6:$HM$25,0)),"")</f>
        <v>1.26582278481013</v>
      </c>
      <c r="E410" s="4" t="n">
        <f aca="false">IFERROR(INDEX('Perhitungan IPH Mingguan 2025'!$EZ$6:$EZ$25,MATCH(LARGE('Perhitungan IPH Mingguan 2025'!$HM$6:$HM$25,5),'Perhitungan IPH Mingguan 2025'!$HM$6:$HM$25,0)),"")</f>
        <v>0.0514386998202879</v>
      </c>
      <c r="F410" s="21" t="str">
        <f aca="false">IF(ISNUMBER(E410),IF(E410&gt;0,"Penyumbang KENAIKAN IPH","Penyumbang PENURUNAN IPH"),"-")</f>
        <v>Penyumbang KENAIKAN IPH</v>
      </c>
    </row>
    <row r="412" customFormat="false" ht="15" hidden="false" customHeight="false" outlineLevel="0" collapsed="false">
      <c r="A412" s="19" t="s">
        <v>318</v>
      </c>
      <c r="B412" s="19"/>
      <c r="C412" s="19"/>
      <c r="D412" s="19"/>
      <c r="E412" s="19"/>
      <c r="F412" s="19"/>
    </row>
    <row r="413" customFormat="false" ht="15" hidden="false" customHeight="false" outlineLevel="0" collapsed="false">
      <c r="A413" s="10" t="s">
        <v>263</v>
      </c>
      <c r="B413" s="10" t="s">
        <v>264</v>
      </c>
      <c r="C413" s="10" t="s">
        <v>174</v>
      </c>
      <c r="D413" s="10" t="s">
        <v>265</v>
      </c>
      <c r="E413" s="10" t="s">
        <v>266</v>
      </c>
      <c r="F413" s="10" t="s">
        <v>267</v>
      </c>
    </row>
    <row r="414" customFormat="false" ht="15" hidden="false" customHeight="false" outlineLevel="0" collapsed="false">
      <c r="A414" s="3" t="n">
        <v>1</v>
      </c>
      <c r="B414" s="5" t="str">
        <f aca="false">IFERROR(INDEX('Perhitungan IPH Mingguan 2025'!$B$6:$B$25,MATCH(LARGE('Perhitungan IPH Mingguan 2025'!$HN$6:$HN$25,1),'Perhitungan IPH Mingguan 2025'!$HN$6:$HN$25,0)),"-")</f>
        <v>cabai rawit 01173013</v>
      </c>
      <c r="C414" s="20" t="n">
        <f aca="false">IFERROR(INDEX('Perhitungan IPH Mingguan 2025'!$C$6:$C$25,MATCH(LARGE('Perhitungan IPH Mingguan 2025'!$HN$6:$HN$25,1),'Perhitungan IPH Mingguan 2025'!$HN$6:$HN$25,0)),"")</f>
        <v>0.0177017323628706</v>
      </c>
      <c r="D414" s="14" t="n">
        <f aca="false">IFERROR(INDEX('Perhitungan IPH Mingguan 2025'!$FB$6:$FB$25,MATCH(LARGE('Perhitungan IPH Mingguan 2025'!$HN$6:$HN$25,1),'Perhitungan IPH Mingguan 2025'!$HN$6:$HN$25,0)),"")</f>
        <v>23.4782608695652</v>
      </c>
      <c r="E414" s="4" t="n">
        <f aca="false">IFERROR(INDEX('Perhitungan IPH Mingguan 2025'!$FC$6:$FC$25,MATCH(LARGE('Perhitungan IPH Mingguan 2025'!$HN$6:$HN$25,1),'Perhitungan IPH Mingguan 2025'!$HN$6:$HN$25,0)),"")</f>
        <v>0.415605890258701</v>
      </c>
      <c r="F414" s="21" t="str">
        <f aca="false">IF(ISNUMBER(E414),IF(E414&gt;0,"Penyumbang KENAIKAN IPH","Penyumbang PENURUNAN IPH"),"-")</f>
        <v>Penyumbang KENAIKAN IPH</v>
      </c>
    </row>
    <row r="415" customFormat="false" ht="15" hidden="false" customHeight="false" outlineLevel="0" collapsed="false">
      <c r="A415" s="3" t="n">
        <v>2</v>
      </c>
      <c r="B415" s="5" t="str">
        <f aca="false">IFERROR(INDEX('Perhitungan IPH Mingguan 2025'!$B$6:$B$25,MATCH(LARGE('Perhitungan IPH Mingguan 2025'!$HN$6:$HN$25,2),'Perhitungan IPH Mingguan 2025'!$HN$6:$HN$25,0)),"-")</f>
        <v>bawang merah 1174006</v>
      </c>
      <c r="C415" s="20" t="n">
        <f aca="false">IFERROR(INDEX('Perhitungan IPH Mingguan 2025'!$C$6:$C$25,MATCH(LARGE('Perhitungan IPH Mingguan 2025'!$HN$6:$HN$25,2),'Perhitungan IPH Mingguan 2025'!$HN$6:$HN$25,0)),"")</f>
        <v>0.0194434650422287</v>
      </c>
      <c r="D415" s="14" t="n">
        <f aca="false">IFERROR(INDEX('Perhitungan IPH Mingguan 2025'!$FB$6:$FB$25,MATCH(LARGE('Perhitungan IPH Mingguan 2025'!$HN$6:$HN$25,2),'Perhitungan IPH Mingguan 2025'!$HN$6:$HN$25,0)),"")</f>
        <v>10.1449275362319</v>
      </c>
      <c r="E415" s="4" t="n">
        <f aca="false">IFERROR(INDEX('Perhitungan IPH Mingguan 2025'!$FC$6:$FC$25,MATCH(LARGE('Perhitungan IPH Mingguan 2025'!$HN$6:$HN$25,2),'Perhitungan IPH Mingguan 2025'!$HN$6:$HN$25,0)),"")</f>
        <v>0.197252543906668</v>
      </c>
      <c r="F415" s="21" t="str">
        <f aca="false">IF(ISNUMBER(E415),IF(E415&gt;0,"Penyumbang KENAIKAN IPH","Penyumbang PENURUNAN IPH"),"-")</f>
        <v>Penyumbang KENAIKAN IPH</v>
      </c>
    </row>
    <row r="416" customFormat="false" ht="15" hidden="false" customHeight="false" outlineLevel="0" collapsed="false">
      <c r="A416" s="3" t="n">
        <v>3</v>
      </c>
      <c r="B416" s="5" t="str">
        <f aca="false">IFERROR(INDEX('Perhitungan IPH Mingguan 2025'!$B$6:$B$25,MATCH(LARGE('Perhitungan IPH Mingguan 2025'!$HN$6:$HN$25,3),'Perhitungan IPH Mingguan 2025'!$HN$6:$HN$25,0)),"-")</f>
        <v>daging ayam ras 1124003</v>
      </c>
      <c r="C416" s="20" t="n">
        <f aca="false">IFERROR(INDEX('Perhitungan IPH Mingguan 2025'!$C$6:$C$25,MATCH(LARGE('Perhitungan IPH Mingguan 2025'!$HN$6:$HN$25,3),'Perhitungan IPH Mingguan 2025'!$HN$6:$HN$25,0)),"")</f>
        <v>0.0479107777850277</v>
      </c>
      <c r="D416" s="14" t="n">
        <f aca="false">IFERROR(INDEX('Perhitungan IPH Mingguan 2025'!$FB$6:$FB$25,MATCH(LARGE('Perhitungan IPH Mingguan 2025'!$HN$6:$HN$25,3),'Perhitungan IPH Mingguan 2025'!$HN$6:$HN$25,0)),"")</f>
        <v>-2.6615969581749</v>
      </c>
      <c r="E416" s="4" t="n">
        <f aca="false">IFERROR(INDEX('Perhitungan IPH Mingguan 2025'!$FC$6:$FC$25,MATCH(LARGE('Perhitungan IPH Mingguan 2025'!$HN$6:$HN$25,3),'Perhitungan IPH Mingguan 2025'!$HN$6:$HN$25,0)),"")</f>
        <v>-0.127519180416424</v>
      </c>
      <c r="F416" s="21" t="str">
        <f aca="false">IF(ISNUMBER(E416),IF(E416&gt;0,"Penyumbang KENAIKAN IPH","Penyumbang PENURUNAN IPH"),"-")</f>
        <v>Penyumbang PENURUNAN IPH</v>
      </c>
    </row>
    <row r="417" customFormat="false" ht="15" hidden="false" customHeight="false" outlineLevel="0" collapsed="false">
      <c r="A417" s="3" t="n">
        <v>4</v>
      </c>
      <c r="B417" s="5" t="str">
        <f aca="false">IFERROR(INDEX('Perhitungan IPH Mingguan 2025'!$B$6:$B$25,MATCH(LARGE('Perhitungan IPH Mingguan 2025'!$HN$6:$HN$25,4),'Perhitungan IPH Mingguan 2025'!$HN$6:$HN$25,0)),"-")</f>
        <v>pisang ambon 1162001</v>
      </c>
      <c r="C417" s="20" t="n">
        <f aca="false">IFERROR(INDEX('Perhitungan IPH Mingguan 2025'!$C$6:$C$25,MATCH(LARGE('Perhitungan IPH Mingguan 2025'!$HN$6:$HN$25,4),'Perhitungan IPH Mingguan 2025'!$HN$6:$HN$25,0)),"")</f>
        <v>0.0406365728580274</v>
      </c>
      <c r="D417" s="14" t="n">
        <f aca="false">IFERROR(INDEX('Perhitungan IPH Mingguan 2025'!$FB$6:$FB$25,MATCH(LARGE('Perhitungan IPH Mingguan 2025'!$HN$6:$HN$25,4),'Perhitungan IPH Mingguan 2025'!$HN$6:$HN$25,0)),"")</f>
        <v>-2.10970464135021</v>
      </c>
      <c r="E417" s="4" t="n">
        <f aca="false">IFERROR(INDEX('Perhitungan IPH Mingguan 2025'!$FC$6:$FC$25,MATCH(LARGE('Perhitungan IPH Mingguan 2025'!$HN$6:$HN$25,4),'Perhitungan IPH Mingguan 2025'!$HN$6:$HN$25,0)),"")</f>
        <v>-0.0857311663671464</v>
      </c>
      <c r="F417" s="21" t="str">
        <f aca="false">IF(ISNUMBER(E417),IF(E417&gt;0,"Penyumbang KENAIKAN IPH","Penyumbang PENURUNAN IPH"),"-")</f>
        <v>Penyumbang PENURUNAN IPH</v>
      </c>
    </row>
    <row r="418" customFormat="false" ht="15" hidden="false" customHeight="false" outlineLevel="0" collapsed="false">
      <c r="A418" s="3" t="n">
        <v>5</v>
      </c>
      <c r="B418" s="5" t="str">
        <f aca="false">IFERROR(INDEX('Perhitungan IPH Mingguan 2025'!$B$6:$B$25,MATCH(LARGE('Perhitungan IPH Mingguan 2025'!$HN$6:$HN$25,5),'Perhitungan IPH Mingguan 2025'!$HN$6:$HN$25,0)),"-")</f>
        <v>telur ayam ras 01147002</v>
      </c>
      <c r="C418" s="20" t="n">
        <f aca="false">IFERROR(INDEX('Perhitungan IPH Mingguan 2025'!$C$6:$C$25,MATCH(LARGE('Perhitungan IPH Mingguan 2025'!$HN$6:$HN$25,5),'Perhitungan IPH Mingguan 2025'!$HN$6:$HN$25,0)),"")</f>
        <v>0.0298777910794593</v>
      </c>
      <c r="D418" s="14" t="n">
        <f aca="false">IFERROR(INDEX('Perhitungan IPH Mingguan 2025'!$FB$6:$FB$25,MATCH(LARGE('Perhitungan IPH Mingguan 2025'!$HN$6:$HN$25,5),'Perhitungan IPH Mingguan 2025'!$HN$6:$HN$25,0)),"")</f>
        <v>-2.86806883365201</v>
      </c>
      <c r="E418" s="4" t="n">
        <f aca="false">IFERROR(INDEX('Perhitungan IPH Mingguan 2025'!$FC$6:$FC$25,MATCH(LARGE('Perhitungan IPH Mingguan 2025'!$HN$6:$HN$25,5),'Perhitungan IPH Mingguan 2025'!$HN$6:$HN$25,0)),"")</f>
        <v>-0.0856915614133632</v>
      </c>
      <c r="F418" s="21" t="str">
        <f aca="false">IF(ISNUMBER(E418),IF(E418&gt;0,"Penyumbang KENAIKAN IPH","Penyumbang PENURUNAN IPH"),"-")</f>
        <v>Penyumbang PENURUNAN IPH</v>
      </c>
    </row>
    <row r="420" customFormat="false" ht="15" hidden="false" customHeight="false" outlineLevel="0" collapsed="false">
      <c r="A420" s="19" t="s">
        <v>319</v>
      </c>
      <c r="B420" s="19"/>
      <c r="C420" s="19"/>
      <c r="D420" s="19"/>
      <c r="E420" s="19"/>
      <c r="F420" s="19"/>
    </row>
    <row r="421" customFormat="false" ht="15" hidden="false" customHeight="false" outlineLevel="0" collapsed="false">
      <c r="A421" s="10" t="s">
        <v>263</v>
      </c>
      <c r="B421" s="10" t="s">
        <v>264</v>
      </c>
      <c r="C421" s="10" t="s">
        <v>174</v>
      </c>
      <c r="D421" s="10" t="s">
        <v>265</v>
      </c>
      <c r="E421" s="10" t="s">
        <v>266</v>
      </c>
      <c r="F421" s="10" t="s">
        <v>267</v>
      </c>
    </row>
    <row r="422" customFormat="false" ht="15" hidden="false" customHeight="false" outlineLevel="0" collapsed="false">
      <c r="A422" s="3" t="n">
        <v>1</v>
      </c>
      <c r="B422" s="5" t="str">
        <f aca="false">IFERROR(INDEX('Perhitungan IPH Mingguan 2025'!$B$6:$B$25,MATCH(LARGE('Perhitungan IPH Mingguan 2025'!$HO$6:$HO$25,1),'Perhitungan IPH Mingguan 2025'!$HO$6:$HO$25,0)),"-")</f>
        <v>jeruk 01161001-33</v>
      </c>
      <c r="C422" s="20" t="n">
        <f aca="false">IFERROR(INDEX('Perhitungan IPH Mingguan 2025'!$C$6:$C$25,MATCH(LARGE('Perhitungan IPH Mingguan 2025'!$HO$6:$HO$25,1),'Perhitungan IPH Mingguan 2025'!$HO$6:$HO$25,0)),"")</f>
        <v>0.0341776157179401</v>
      </c>
      <c r="D422" s="14" t="n">
        <f aca="false">IFERROR(INDEX('Perhitungan IPH Mingguan 2025'!$FE$6:$FE$25,MATCH(LARGE('Perhitungan IPH Mingguan 2025'!$HO$6:$HO$25,1),'Perhitungan IPH Mingguan 2025'!$HO$6:$HO$25,0)),"")</f>
        <v>-12.5</v>
      </c>
      <c r="E422" s="4" t="n">
        <f aca="false">IFERROR(INDEX('Perhitungan IPH Mingguan 2025'!$FF$6:$FF$25,MATCH(LARGE('Perhitungan IPH Mingguan 2025'!$HO$6:$HO$25,1),'Perhitungan IPH Mingguan 2025'!$HO$6:$HO$25,0)),"")</f>
        <v>-0.427220196474251</v>
      </c>
      <c r="F422" s="21" t="str">
        <f aca="false">IF(ISNUMBER(E422),IF(E422&gt;0,"Penyumbang KENAIKAN IPH","Penyumbang PENURUNAN IPH"),"-")</f>
        <v>Penyumbang PENURUNAN IPH</v>
      </c>
    </row>
    <row r="423" customFormat="false" ht="15" hidden="false" customHeight="false" outlineLevel="0" collapsed="false">
      <c r="A423" s="3" t="n">
        <v>2</v>
      </c>
      <c r="B423" s="5" t="str">
        <f aca="false">IFERROR(INDEX('Perhitungan IPH Mingguan 2025'!$B$6:$B$25,MATCH(LARGE('Perhitungan IPH Mingguan 2025'!$HO$6:$HO$25,2),'Perhitungan IPH Mingguan 2025'!$HO$6:$HO$25,0)),"-")</f>
        <v>daging ayam ras 1124003</v>
      </c>
      <c r="C423" s="20" t="n">
        <f aca="false">IFERROR(INDEX('Perhitungan IPH Mingguan 2025'!$C$6:$C$25,MATCH(LARGE('Perhitungan IPH Mingguan 2025'!$HO$6:$HO$25,2),'Perhitungan IPH Mingguan 2025'!$HO$6:$HO$25,0)),"")</f>
        <v>0.0479107777850277</v>
      </c>
      <c r="D423" s="14" t="n">
        <f aca="false">IFERROR(INDEX('Perhitungan IPH Mingguan 2025'!$FE$6:$FE$25,MATCH(LARGE('Perhitungan IPH Mingguan 2025'!$HO$6:$HO$25,2),'Perhitungan IPH Mingguan 2025'!$HO$6:$HO$25,0)),"")</f>
        <v>-7.22433460076046</v>
      </c>
      <c r="E423" s="4" t="n">
        <f aca="false">IFERROR(INDEX('Perhitungan IPH Mingguan 2025'!$FF$6:$FF$25,MATCH(LARGE('Perhitungan IPH Mingguan 2025'!$HO$6:$HO$25,2),'Perhitungan IPH Mingguan 2025'!$HO$6:$HO$25,0)),"")</f>
        <v>-0.346123489701721</v>
      </c>
      <c r="F423" s="21" t="str">
        <f aca="false">IF(ISNUMBER(E423),IF(E423&gt;0,"Penyumbang KENAIKAN IPH","Penyumbang PENURUNAN IPH"),"-")</f>
        <v>Penyumbang PENURUNAN IPH</v>
      </c>
    </row>
    <row r="424" customFormat="false" ht="15" hidden="false" customHeight="false" outlineLevel="0" collapsed="false">
      <c r="A424" s="3" t="n">
        <v>3</v>
      </c>
      <c r="B424" s="5" t="str">
        <f aca="false">IFERROR(INDEX('Perhitungan IPH Mingguan 2025'!$B$6:$B$25,MATCH(LARGE('Perhitungan IPH Mingguan 2025'!$HO$6:$HO$25,3),'Perhitungan IPH Mingguan 2025'!$HO$6:$HO$25,0)),"-")</f>
        <v>pisang ambon 1162001</v>
      </c>
      <c r="C424" s="20" t="n">
        <f aca="false">IFERROR(INDEX('Perhitungan IPH Mingguan 2025'!$C$6:$C$25,MATCH(LARGE('Perhitungan IPH Mingguan 2025'!$HO$6:$HO$25,3),'Perhitungan IPH Mingguan 2025'!$HO$6:$HO$25,0)),"")</f>
        <v>0.0406365728580274</v>
      </c>
      <c r="D424" s="14" t="n">
        <f aca="false">IFERROR(INDEX('Perhitungan IPH Mingguan 2025'!$FE$6:$FE$25,MATCH(LARGE('Perhitungan IPH Mingguan 2025'!$HO$6:$HO$25,3),'Perhitungan IPH Mingguan 2025'!$HO$6:$HO$25,0)),"")</f>
        <v>-7.17299578059072</v>
      </c>
      <c r="E424" s="4" t="n">
        <f aca="false">IFERROR(INDEX('Perhitungan IPH Mingguan 2025'!$FF$6:$FF$25,MATCH(LARGE('Perhitungan IPH Mingguan 2025'!$HO$6:$HO$25,3),'Perhitungan IPH Mingguan 2025'!$HO$6:$HO$25,0)),"")</f>
        <v>-0.291485965648298</v>
      </c>
      <c r="F424" s="21" t="str">
        <f aca="false">IF(ISNUMBER(E424),IF(E424&gt;0,"Penyumbang KENAIKAN IPH","Penyumbang PENURUNAN IPH"),"-")</f>
        <v>Penyumbang PENURUNAN IPH</v>
      </c>
    </row>
    <row r="425" customFormat="false" ht="15" hidden="false" customHeight="false" outlineLevel="0" collapsed="false">
      <c r="A425" s="3" t="n">
        <v>4</v>
      </c>
      <c r="B425" s="5" t="str">
        <f aca="false">IFERROR(INDEX('Perhitungan IPH Mingguan 2025'!$B$6:$B$25,MATCH(LARGE('Perhitungan IPH Mingguan 2025'!$HO$6:$HO$25,4),'Perhitungan IPH Mingguan 2025'!$HO$6:$HO$25,0)),"-")</f>
        <v>cabai rawit 01173013</v>
      </c>
      <c r="C425" s="20" t="n">
        <f aca="false">IFERROR(INDEX('Perhitungan IPH Mingguan 2025'!$C$6:$C$25,MATCH(LARGE('Perhitungan IPH Mingguan 2025'!$HO$6:$HO$25,4),'Perhitungan IPH Mingguan 2025'!$HO$6:$HO$25,0)),"")</f>
        <v>0.0177017323628706</v>
      </c>
      <c r="D425" s="14" t="n">
        <f aca="false">IFERROR(INDEX('Perhitungan IPH Mingguan 2025'!$FE$6:$FE$25,MATCH(LARGE('Perhitungan IPH Mingguan 2025'!$HO$6:$HO$25,4),'Perhitungan IPH Mingguan 2025'!$HO$6:$HO$25,0)),"")</f>
        <v>15.6521739130435</v>
      </c>
      <c r="E425" s="4" t="n">
        <f aca="false">IFERROR(INDEX('Perhitungan IPH Mingguan 2025'!$FF$6:$FF$25,MATCH(LARGE('Perhitungan IPH Mingguan 2025'!$HO$6:$HO$25,4),'Perhitungan IPH Mingguan 2025'!$HO$6:$HO$25,0)),"")</f>
        <v>0.277070593505801</v>
      </c>
      <c r="F425" s="21" t="str">
        <f aca="false">IF(ISNUMBER(E425),IF(E425&gt;0,"Penyumbang KENAIKAN IPH","Penyumbang PENURUNAN IPH"),"-")</f>
        <v>Penyumbang KENAIKAN IPH</v>
      </c>
    </row>
    <row r="426" customFormat="false" ht="15" hidden="false" customHeight="false" outlineLevel="0" collapsed="false">
      <c r="A426" s="3" t="n">
        <v>5</v>
      </c>
      <c r="B426" s="5" t="str">
        <f aca="false">IFERROR(INDEX('Perhitungan IPH Mingguan 2025'!$B$6:$B$25,MATCH(LARGE('Perhitungan IPH Mingguan 2025'!$HO$6:$HO$25,5),'Perhitungan IPH Mingguan 2025'!$HO$6:$HO$25,0)),"-")</f>
        <v>telur ayam ras 01147002</v>
      </c>
      <c r="C426" s="20" t="n">
        <f aca="false">IFERROR(INDEX('Perhitungan IPH Mingguan 2025'!$C$6:$C$25,MATCH(LARGE('Perhitungan IPH Mingguan 2025'!$HO$6:$HO$25,5),'Perhitungan IPH Mingguan 2025'!$HO$6:$HO$25,0)),"")</f>
        <v>0.0298777910794593</v>
      </c>
      <c r="D426" s="14" t="n">
        <f aca="false">IFERROR(INDEX('Perhitungan IPH Mingguan 2025'!$FE$6:$FE$25,MATCH(LARGE('Perhitungan IPH Mingguan 2025'!$HO$6:$HO$25,5),'Perhitungan IPH Mingguan 2025'!$HO$6:$HO$25,0)),"")</f>
        <v>-8.22179732313576</v>
      </c>
      <c r="E426" s="4" t="n">
        <f aca="false">IFERROR(INDEX('Perhitungan IPH Mingguan 2025'!$FF$6:$FF$25,MATCH(LARGE('Perhitungan IPH Mingguan 2025'!$HO$6:$HO$25,5),'Perhitungan IPH Mingguan 2025'!$HO$6:$HO$25,0)),"")</f>
        <v>-0.245649142718308</v>
      </c>
      <c r="F426" s="21" t="str">
        <f aca="false">IF(ISNUMBER(E426),IF(E426&gt;0,"Penyumbang KENAIKAN IPH","Penyumbang PENURUNAN IPH"),"-")</f>
        <v>Penyumbang PENURUNAN IPH</v>
      </c>
    </row>
    <row r="428" customFormat="false" ht="15" hidden="false" customHeight="false" outlineLevel="0" collapsed="false">
      <c r="A428" s="19" t="s">
        <v>320</v>
      </c>
      <c r="B428" s="19"/>
      <c r="C428" s="19"/>
      <c r="D428" s="19"/>
      <c r="E428" s="19"/>
      <c r="F428" s="19"/>
    </row>
    <row r="429" customFormat="false" ht="15" hidden="false" customHeight="false" outlineLevel="0" collapsed="false">
      <c r="A429" s="10" t="s">
        <v>263</v>
      </c>
      <c r="B429" s="10" t="s">
        <v>264</v>
      </c>
      <c r="C429" s="10" t="s">
        <v>174</v>
      </c>
      <c r="D429" s="10" t="s">
        <v>265</v>
      </c>
      <c r="E429" s="10" t="s">
        <v>266</v>
      </c>
      <c r="F429" s="10" t="s">
        <v>267</v>
      </c>
    </row>
    <row r="430" customFormat="false" ht="15" hidden="false" customHeight="false" outlineLevel="0" collapsed="false">
      <c r="A430" s="3" t="n">
        <v>1</v>
      </c>
      <c r="B430" s="5" t="str">
        <f aca="false">IFERROR(INDEX('Perhitungan IPH Mingguan 2025'!$B$6:$B$25,MATCH(LARGE('Perhitungan IPH Mingguan 2025'!$HP$6:$HP$25,1),'Perhitungan IPH Mingguan 2025'!$HP$6:$HP$25,0)),"-")</f>
        <v>cabai rawit 01173013</v>
      </c>
      <c r="C430" s="20" t="n">
        <f aca="false">IFERROR(INDEX('Perhitungan IPH Mingguan 2025'!$C$6:$C$25,MATCH(LARGE('Perhitungan IPH Mingguan 2025'!$HP$6:$HP$25,1),'Perhitungan IPH Mingguan 2025'!$HP$6:$HP$25,0)),"")</f>
        <v>0.0177017323628706</v>
      </c>
      <c r="D430" s="14" t="n">
        <f aca="false">IFERROR(INDEX('Perhitungan IPH Mingguan 2025'!$FH$6:$FH$25,MATCH(LARGE('Perhitungan IPH Mingguan 2025'!$HP$6:$HP$25,1),'Perhitungan IPH Mingguan 2025'!$HP$6:$HP$25,0)),"")</f>
        <v>27.536231884058</v>
      </c>
      <c r="E430" s="4" t="n">
        <f aca="false">IFERROR(INDEX('Perhitungan IPH Mingguan 2025'!$FI$6:$FI$25,MATCH(LARGE('Perhitungan IPH Mingguan 2025'!$HP$6:$HP$25,1),'Perhitungan IPH Mingguan 2025'!$HP$6:$HP$25,0)),"")</f>
        <v>0.487439007093538</v>
      </c>
      <c r="F430" s="21" t="str">
        <f aca="false">IF(ISNUMBER(E430),IF(E430&gt;0,"Penyumbang KENAIKAN IPH","Penyumbang PENURUNAN IPH"),"-")</f>
        <v>Penyumbang KENAIKAN IPH</v>
      </c>
    </row>
    <row r="431" customFormat="false" ht="15" hidden="false" customHeight="false" outlineLevel="0" collapsed="false">
      <c r="A431" s="3" t="n">
        <v>2</v>
      </c>
      <c r="B431" s="5" t="str">
        <f aca="false">IFERROR(INDEX('Perhitungan IPH Mingguan 2025'!$B$6:$B$25,MATCH(LARGE('Perhitungan IPH Mingguan 2025'!$HP$6:$HP$25,2),'Perhitungan IPH Mingguan 2025'!$HP$6:$HP$25,0)),"-")</f>
        <v>jeruk 01161001-33</v>
      </c>
      <c r="C431" s="20" t="n">
        <f aca="false">IFERROR(INDEX('Perhitungan IPH Mingguan 2025'!$C$6:$C$25,MATCH(LARGE('Perhitungan IPH Mingguan 2025'!$HP$6:$HP$25,2),'Perhitungan IPH Mingguan 2025'!$HP$6:$HP$25,0)),"")</f>
        <v>0.0341776157179401</v>
      </c>
      <c r="D431" s="14" t="n">
        <f aca="false">IFERROR(INDEX('Perhitungan IPH Mingguan 2025'!$FH$6:$FH$25,MATCH(LARGE('Perhitungan IPH Mingguan 2025'!$HP$6:$HP$25,2),'Perhitungan IPH Mingguan 2025'!$HP$6:$HP$25,0)),"")</f>
        <v>-12.5</v>
      </c>
      <c r="E431" s="4" t="n">
        <f aca="false">IFERROR(INDEX('Perhitungan IPH Mingguan 2025'!$FI$6:$FI$25,MATCH(LARGE('Perhitungan IPH Mingguan 2025'!$HP$6:$HP$25,2),'Perhitungan IPH Mingguan 2025'!$HP$6:$HP$25,0)),"")</f>
        <v>-0.427220196474251</v>
      </c>
      <c r="F431" s="21" t="str">
        <f aca="false">IF(ISNUMBER(E431),IF(E431&gt;0,"Penyumbang KENAIKAN IPH","Penyumbang PENURUNAN IPH"),"-")</f>
        <v>Penyumbang PENURUNAN IPH</v>
      </c>
    </row>
    <row r="432" customFormat="false" ht="15" hidden="false" customHeight="false" outlineLevel="0" collapsed="false">
      <c r="A432" s="3" t="n">
        <v>3</v>
      </c>
      <c r="B432" s="5" t="str">
        <f aca="false">IFERROR(INDEX('Perhitungan IPH Mingguan 2025'!$B$6:$B$25,MATCH(LARGE('Perhitungan IPH Mingguan 2025'!$HP$6:$HP$25,3),'Perhitungan IPH Mingguan 2025'!$HP$6:$HP$25,0)),"-")</f>
        <v>pisang ambon 1162001</v>
      </c>
      <c r="C432" s="20" t="n">
        <f aca="false">IFERROR(INDEX('Perhitungan IPH Mingguan 2025'!$C$6:$C$25,MATCH(LARGE('Perhitungan IPH Mingguan 2025'!$HP$6:$HP$25,3),'Perhitungan IPH Mingguan 2025'!$HP$6:$HP$25,0)),"")</f>
        <v>0.0406365728580274</v>
      </c>
      <c r="D432" s="14" t="n">
        <f aca="false">IFERROR(INDEX('Perhitungan IPH Mingguan 2025'!$FH$6:$FH$25,MATCH(LARGE('Perhitungan IPH Mingguan 2025'!$HP$6:$HP$25,3),'Perhitungan IPH Mingguan 2025'!$HP$6:$HP$25,0)),"")</f>
        <v>-7.17299578059072</v>
      </c>
      <c r="E432" s="4" t="n">
        <f aca="false">IFERROR(INDEX('Perhitungan IPH Mingguan 2025'!$FI$6:$FI$25,MATCH(LARGE('Perhitungan IPH Mingguan 2025'!$HP$6:$HP$25,3),'Perhitungan IPH Mingguan 2025'!$HP$6:$HP$25,0)),"")</f>
        <v>-0.291485965648298</v>
      </c>
      <c r="F432" s="21" t="str">
        <f aca="false">IF(ISNUMBER(E432),IF(E432&gt;0,"Penyumbang KENAIKAN IPH","Penyumbang PENURUNAN IPH"),"-")</f>
        <v>Penyumbang PENURUNAN IPH</v>
      </c>
    </row>
    <row r="433" customFormat="false" ht="15" hidden="false" customHeight="false" outlineLevel="0" collapsed="false">
      <c r="A433" s="3" t="n">
        <v>4</v>
      </c>
      <c r="B433" s="5" t="str">
        <f aca="false">IFERROR(INDEX('Perhitungan IPH Mingguan 2025'!$B$6:$B$25,MATCH(LARGE('Perhitungan IPH Mingguan 2025'!$HP$6:$HP$25,4),'Perhitungan IPH Mingguan 2025'!$HP$6:$HP$25,0)),"-")</f>
        <v>bawang merah 1174006</v>
      </c>
      <c r="C433" s="20" t="n">
        <f aca="false">IFERROR(INDEX('Perhitungan IPH Mingguan 2025'!$C$6:$C$25,MATCH(LARGE('Perhitungan IPH Mingguan 2025'!$HP$6:$HP$25,4),'Perhitungan IPH Mingguan 2025'!$HP$6:$HP$25,0)),"")</f>
        <v>0.0194434650422287</v>
      </c>
      <c r="D433" s="14" t="n">
        <f aca="false">IFERROR(INDEX('Perhitungan IPH Mingguan 2025'!$FH$6:$FH$25,MATCH(LARGE('Perhitungan IPH Mingguan 2025'!$HP$6:$HP$25,4),'Perhitungan IPH Mingguan 2025'!$HP$6:$HP$25,0)),"")</f>
        <v>13.1815044858523</v>
      </c>
      <c r="E433" s="4" t="n">
        <f aca="false">IFERROR(INDEX('Perhitungan IPH Mingguan 2025'!$FI$6:$FI$25,MATCH(LARGE('Perhitungan IPH Mingguan 2025'!$HP$6:$HP$25,4),'Perhitungan IPH Mingguan 2025'!$HP$6:$HP$25,0)),"")</f>
        <v>0.25629412167465</v>
      </c>
      <c r="F433" s="21" t="str">
        <f aca="false">IF(ISNUMBER(E433),IF(E433&gt;0,"Penyumbang KENAIKAN IPH","Penyumbang PENURUNAN IPH"),"-")</f>
        <v>Penyumbang KENAIKAN IPH</v>
      </c>
    </row>
    <row r="434" customFormat="false" ht="15" hidden="false" customHeight="false" outlineLevel="0" collapsed="false">
      <c r="A434" s="3" t="n">
        <v>5</v>
      </c>
      <c r="B434" s="5" t="str">
        <f aca="false">IFERROR(INDEX('Perhitungan IPH Mingguan 2025'!$B$6:$B$25,MATCH(LARGE('Perhitungan IPH Mingguan 2025'!$HP$6:$HP$25,5),'Perhitungan IPH Mingguan 2025'!$HP$6:$HP$25,0)),"-")</f>
        <v>telur ayam ras 01147002</v>
      </c>
      <c r="C434" s="20" t="n">
        <f aca="false">IFERROR(INDEX('Perhitungan IPH Mingguan 2025'!$C$6:$C$25,MATCH(LARGE('Perhitungan IPH Mingguan 2025'!$HP$6:$HP$25,5),'Perhitungan IPH Mingguan 2025'!$HP$6:$HP$25,0)),"")</f>
        <v>0.0298777910794593</v>
      </c>
      <c r="D434" s="14" t="n">
        <f aca="false">IFERROR(INDEX('Perhitungan IPH Mingguan 2025'!$FH$6:$FH$25,MATCH(LARGE('Perhitungan IPH Mingguan 2025'!$HP$6:$HP$25,5),'Perhitungan IPH Mingguan 2025'!$HP$6:$HP$25,0)),"")</f>
        <v>-5.67240280433397</v>
      </c>
      <c r="E434" s="4" t="n">
        <f aca="false">IFERROR(INDEX('Perhitungan IPH Mingguan 2025'!$FI$6:$FI$25,MATCH(LARGE('Perhitungan IPH Mingguan 2025'!$HP$6:$HP$25,5),'Perhitungan IPH Mingguan 2025'!$HP$6:$HP$25,0)),"")</f>
        <v>-0.169478865906429</v>
      </c>
      <c r="F434" s="21" t="str">
        <f aca="false">IF(ISNUMBER(E434),IF(E434&gt;0,"Penyumbang KENAIKAN IPH","Penyumbang PENURUNAN IPH"),"-")</f>
        <v>Penyumbang PENURUNAN IPH</v>
      </c>
    </row>
    <row r="436" customFormat="false" ht="15" hidden="false" customHeight="false" outlineLevel="0" collapsed="false">
      <c r="A436" s="19" t="s">
        <v>321</v>
      </c>
      <c r="B436" s="19"/>
      <c r="C436" s="19"/>
      <c r="D436" s="19"/>
      <c r="E436" s="19"/>
      <c r="F436" s="19"/>
    </row>
    <row r="437" customFormat="false" ht="15" hidden="false" customHeight="false" outlineLevel="0" collapsed="false">
      <c r="A437" s="10" t="s">
        <v>263</v>
      </c>
      <c r="B437" s="10" t="s">
        <v>264</v>
      </c>
      <c r="C437" s="10" t="s">
        <v>174</v>
      </c>
      <c r="D437" s="10" t="s">
        <v>265</v>
      </c>
      <c r="E437" s="10" t="s">
        <v>266</v>
      </c>
      <c r="F437" s="10" t="s">
        <v>267</v>
      </c>
    </row>
    <row r="438" customFormat="false" ht="15" hidden="false" customHeight="false" outlineLevel="0" collapsed="false">
      <c r="A438" s="3" t="n">
        <v>1</v>
      </c>
      <c r="B438" s="5" t="str">
        <f aca="false">IFERROR(INDEX('Perhitungan IPH Mingguan 2025'!$B$6:$B$25,MATCH(LARGE('Perhitungan IPH Mingguan 2025'!$HQ$6:$HQ$25,1),'Perhitungan IPH Mingguan 2025'!$HQ$6:$HQ$25,0)),"-")</f>
        <v>cabai rawit 01173013</v>
      </c>
      <c r="C438" s="20" t="n">
        <f aca="false">IFERROR(INDEX('Perhitungan IPH Mingguan 2025'!$C$6:$C$25,MATCH(LARGE('Perhitungan IPH Mingguan 2025'!$HQ$6:$HQ$25,1),'Perhitungan IPH Mingguan 2025'!$HQ$6:$HQ$25,0)),"")</f>
        <v>0.0177017323628706</v>
      </c>
      <c r="D438" s="14" t="n">
        <f aca="false">IFERROR(INDEX('Perhitungan IPH Mingguan 2025'!$FK$6:$FK$25,MATCH(LARGE('Perhitungan IPH Mingguan 2025'!$HQ$6:$HQ$25,1),'Perhitungan IPH Mingguan 2025'!$HQ$6:$HQ$25,0)),"")</f>
        <v>30.4347826086957</v>
      </c>
      <c r="E438" s="4" t="n">
        <f aca="false">IFERROR(INDEX('Perhitungan IPH Mingguan 2025'!$FL$6:$FL$25,MATCH(LARGE('Perhitungan IPH Mingguan 2025'!$HQ$6:$HQ$25,1),'Perhitungan IPH Mingguan 2025'!$HQ$6:$HQ$25,0)),"")</f>
        <v>0.538748376261279</v>
      </c>
      <c r="F438" s="21" t="str">
        <f aca="false">IF(ISNUMBER(E438),IF(E438&gt;0,"Penyumbang KENAIKAN IPH","Penyumbang PENURUNAN IPH"),"-")</f>
        <v>Penyumbang KENAIKAN IPH</v>
      </c>
    </row>
    <row r="439" customFormat="false" ht="15" hidden="false" customHeight="false" outlineLevel="0" collapsed="false">
      <c r="A439" s="3" t="n">
        <v>2</v>
      </c>
      <c r="B439" s="5" t="str">
        <f aca="false">IFERROR(INDEX('Perhitungan IPH Mingguan 2025'!$B$6:$B$25,MATCH(LARGE('Perhitungan IPH Mingguan 2025'!$HQ$6:$HQ$25,2),'Perhitungan IPH Mingguan 2025'!$HQ$6:$HQ$25,0)),"-")</f>
        <v>jeruk 01161001-33</v>
      </c>
      <c r="C439" s="20" t="n">
        <f aca="false">IFERROR(INDEX('Perhitungan IPH Mingguan 2025'!$C$6:$C$25,MATCH(LARGE('Perhitungan IPH Mingguan 2025'!$HQ$6:$HQ$25,2),'Perhitungan IPH Mingguan 2025'!$HQ$6:$HQ$25,0)),"")</f>
        <v>0.0341776157179401</v>
      </c>
      <c r="D439" s="14" t="n">
        <f aca="false">IFERROR(INDEX('Perhitungan IPH Mingguan 2025'!$FK$6:$FK$25,MATCH(LARGE('Perhitungan IPH Mingguan 2025'!$HQ$6:$HQ$25,2),'Perhitungan IPH Mingguan 2025'!$HQ$6:$HQ$25,0)),"")</f>
        <v>-12.5</v>
      </c>
      <c r="E439" s="4" t="n">
        <f aca="false">IFERROR(INDEX('Perhitungan IPH Mingguan 2025'!$FL$6:$FL$25,MATCH(LARGE('Perhitungan IPH Mingguan 2025'!$HQ$6:$HQ$25,2),'Perhitungan IPH Mingguan 2025'!$HQ$6:$HQ$25,0)),"")</f>
        <v>-0.427220196474251</v>
      </c>
      <c r="F439" s="21" t="str">
        <f aca="false">IF(ISNUMBER(E439),IF(E439&gt;0,"Penyumbang KENAIKAN IPH","Penyumbang PENURUNAN IPH"),"-")</f>
        <v>Penyumbang PENURUNAN IPH</v>
      </c>
    </row>
    <row r="440" customFormat="false" ht="15" hidden="false" customHeight="false" outlineLevel="0" collapsed="false">
      <c r="A440" s="3" t="n">
        <v>3</v>
      </c>
      <c r="B440" s="5" t="str">
        <f aca="false">IFERROR(INDEX('Perhitungan IPH Mingguan 2025'!$B$6:$B$25,MATCH(LARGE('Perhitungan IPH Mingguan 2025'!$HQ$6:$HQ$25,3),'Perhitungan IPH Mingguan 2025'!$HQ$6:$HQ$25,0)),"-")</f>
        <v>bawang merah 1174006</v>
      </c>
      <c r="C440" s="20" t="n">
        <f aca="false">IFERROR(INDEX('Perhitungan IPH Mingguan 2025'!$C$6:$C$25,MATCH(LARGE('Perhitungan IPH Mingguan 2025'!$HQ$6:$HQ$25,3),'Perhitungan IPH Mingguan 2025'!$HQ$6:$HQ$25,0)),"")</f>
        <v>0.0194434650422287</v>
      </c>
      <c r="D440" s="14" t="n">
        <f aca="false">IFERROR(INDEX('Perhitungan IPH Mingguan 2025'!$FK$6:$FK$25,MATCH(LARGE('Perhitungan IPH Mingguan 2025'!$HQ$6:$HQ$25,3),'Perhitungan IPH Mingguan 2025'!$HQ$6:$HQ$25,0)),"")</f>
        <v>15.9420289855072</v>
      </c>
      <c r="E440" s="4" t="n">
        <f aca="false">IFERROR(INDEX('Perhitungan IPH Mingguan 2025'!$FL$6:$FL$25,MATCH(LARGE('Perhitungan IPH Mingguan 2025'!$HQ$6:$HQ$25,3),'Perhitungan IPH Mingguan 2025'!$HQ$6:$HQ$25,0)),"")</f>
        <v>0.309968283281907</v>
      </c>
      <c r="F440" s="21" t="str">
        <f aca="false">IF(ISNUMBER(E440),IF(E440&gt;0,"Penyumbang KENAIKAN IPH","Penyumbang PENURUNAN IPH"),"-")</f>
        <v>Penyumbang KENAIKAN IPH</v>
      </c>
    </row>
    <row r="441" customFormat="false" ht="15" hidden="false" customHeight="false" outlineLevel="0" collapsed="false">
      <c r="A441" s="3" t="n">
        <v>4</v>
      </c>
      <c r="B441" s="5" t="str">
        <f aca="false">IFERROR(INDEX('Perhitungan IPH Mingguan 2025'!$B$6:$B$25,MATCH(LARGE('Perhitungan IPH Mingguan 2025'!$HQ$6:$HQ$25,4),'Perhitungan IPH Mingguan 2025'!$HQ$6:$HQ$25,0)),"-")</f>
        <v>pisang ambon 1162001</v>
      </c>
      <c r="C441" s="20" t="n">
        <f aca="false">IFERROR(INDEX('Perhitungan IPH Mingguan 2025'!$C$6:$C$25,MATCH(LARGE('Perhitungan IPH Mingguan 2025'!$HQ$6:$HQ$25,4),'Perhitungan IPH Mingguan 2025'!$HQ$6:$HQ$25,0)),"")</f>
        <v>0.0406365728580274</v>
      </c>
      <c r="D441" s="14" t="n">
        <f aca="false">IFERROR(INDEX('Perhitungan IPH Mingguan 2025'!$FK$6:$FK$25,MATCH(LARGE('Perhitungan IPH Mingguan 2025'!$HQ$6:$HQ$25,4),'Perhitungan IPH Mingguan 2025'!$HQ$6:$HQ$25,0)),"")</f>
        <v>-7.17299578059072</v>
      </c>
      <c r="E441" s="4" t="n">
        <f aca="false">IFERROR(INDEX('Perhitungan IPH Mingguan 2025'!$FL$6:$FL$25,MATCH(LARGE('Perhitungan IPH Mingguan 2025'!$HQ$6:$HQ$25,4),'Perhitungan IPH Mingguan 2025'!$HQ$6:$HQ$25,0)),"")</f>
        <v>-0.291485965648298</v>
      </c>
      <c r="F441" s="21" t="str">
        <f aca="false">IF(ISNUMBER(E441),IF(E441&gt;0,"Penyumbang KENAIKAN IPH","Penyumbang PENURUNAN IPH"),"-")</f>
        <v>Penyumbang PENURUNAN IPH</v>
      </c>
    </row>
    <row r="442" customFormat="false" ht="15" hidden="false" customHeight="false" outlineLevel="0" collapsed="false">
      <c r="A442" s="3" t="n">
        <v>5</v>
      </c>
      <c r="B442" s="5" t="str">
        <f aca="false">IFERROR(INDEX('Perhitungan IPH Mingguan 2025'!$B$6:$B$25,MATCH(LARGE('Perhitungan IPH Mingguan 2025'!$HQ$6:$HQ$25,5),'Perhitungan IPH Mingguan 2025'!$HQ$6:$HQ$25,0)),"-")</f>
        <v>telur ayam ras 01147002</v>
      </c>
      <c r="C442" s="20" t="n">
        <f aca="false">IFERROR(INDEX('Perhitungan IPH Mingguan 2025'!$C$6:$C$25,MATCH(LARGE('Perhitungan IPH Mingguan 2025'!$HQ$6:$HQ$25,5),'Perhitungan IPH Mingguan 2025'!$HQ$6:$HQ$25,0)),"")</f>
        <v>0.0298777910794593</v>
      </c>
      <c r="D442" s="14" t="n">
        <f aca="false">IFERROR(INDEX('Perhitungan IPH Mingguan 2025'!$FK$6:$FK$25,MATCH(LARGE('Perhitungan IPH Mingguan 2025'!$HQ$6:$HQ$25,5),'Perhitungan IPH Mingguan 2025'!$HQ$6:$HQ$25,0)),"")</f>
        <v>-4.39770554493308</v>
      </c>
      <c r="E442" s="4" t="n">
        <f aca="false">IFERROR(INDEX('Perhitungan IPH Mingguan 2025'!$FL$6:$FL$25,MATCH(LARGE('Perhitungan IPH Mingguan 2025'!$HQ$6:$HQ$25,5),'Perhitungan IPH Mingguan 2025'!$HQ$6:$HQ$25,0)),"")</f>
        <v>-0.13139372750049</v>
      </c>
      <c r="F442" s="21" t="str">
        <f aca="false">IF(ISNUMBER(E442),IF(E442&gt;0,"Penyumbang KENAIKAN IPH","Penyumbang PENURUNAN IPH"),"-")</f>
        <v>Penyumbang PENURUNAN IPH</v>
      </c>
    </row>
  </sheetData>
  <mergeCells count="56">
    <mergeCell ref="A1:F1"/>
    <mergeCell ref="A4:F4"/>
    <mergeCell ref="A12:F12"/>
    <mergeCell ref="A20:F20"/>
    <mergeCell ref="A28:F28"/>
    <mergeCell ref="A36:F36"/>
    <mergeCell ref="A44:F44"/>
    <mergeCell ref="A52:F52"/>
    <mergeCell ref="A60:F60"/>
    <mergeCell ref="A68:F68"/>
    <mergeCell ref="A76:F76"/>
    <mergeCell ref="A84:F84"/>
    <mergeCell ref="A92:F92"/>
    <mergeCell ref="A100:F100"/>
    <mergeCell ref="A108:F108"/>
    <mergeCell ref="A116:F116"/>
    <mergeCell ref="A124:F124"/>
    <mergeCell ref="A132:F132"/>
    <mergeCell ref="A140:F140"/>
    <mergeCell ref="A148:F148"/>
    <mergeCell ref="A156:F156"/>
    <mergeCell ref="A164:F164"/>
    <mergeCell ref="A172:F172"/>
    <mergeCell ref="A180:F180"/>
    <mergeCell ref="A188:F188"/>
    <mergeCell ref="A196:F196"/>
    <mergeCell ref="A204:F204"/>
    <mergeCell ref="A212:F212"/>
    <mergeCell ref="A220:F220"/>
    <mergeCell ref="A228:F228"/>
    <mergeCell ref="A236:F236"/>
    <mergeCell ref="A244:F244"/>
    <mergeCell ref="A252:F252"/>
    <mergeCell ref="A260:F260"/>
    <mergeCell ref="A268:F268"/>
    <mergeCell ref="A276:F276"/>
    <mergeCell ref="A284:F284"/>
    <mergeCell ref="A292:F292"/>
    <mergeCell ref="A300:F300"/>
    <mergeCell ref="A308:F308"/>
    <mergeCell ref="A316:F316"/>
    <mergeCell ref="A324:F324"/>
    <mergeCell ref="A332:F332"/>
    <mergeCell ref="A340:F340"/>
    <mergeCell ref="A348:F348"/>
    <mergeCell ref="A356:F356"/>
    <mergeCell ref="A364:F364"/>
    <mergeCell ref="A372:F372"/>
    <mergeCell ref="A380:F380"/>
    <mergeCell ref="A388:F388"/>
    <mergeCell ref="A396:F396"/>
    <mergeCell ref="A404:F404"/>
    <mergeCell ref="A412:F412"/>
    <mergeCell ref="A420:F420"/>
    <mergeCell ref="A428:F428"/>
    <mergeCell ref="A436:F436"/>
  </mergeCells>
  <conditionalFormatting sqref="E6:E10">
    <cfRule type="cellIs" priority="2" operator="greaterThan" aboveAverage="0" equalAverage="0" bottom="0" percent="0" rank="0" text="" dxfId="0">
      <formula>0</formula>
    </cfRule>
    <cfRule type="cellIs" priority="3" operator="lessThan" aboveAverage="0" equalAverage="0" bottom="0" percent="0" rank="0" text="" dxfId="1">
      <formula>0</formula>
    </cfRule>
  </conditionalFormatting>
  <conditionalFormatting sqref="E14:E18">
    <cfRule type="cellIs" priority="4" operator="greaterThan" aboveAverage="0" equalAverage="0" bottom="0" percent="0" rank="0" text="" dxfId="0">
      <formula>0</formula>
    </cfRule>
    <cfRule type="cellIs" priority="5" operator="lessThan" aboveAverage="0" equalAverage="0" bottom="0" percent="0" rank="0" text="" dxfId="1">
      <formula>0</formula>
    </cfRule>
  </conditionalFormatting>
  <conditionalFormatting sqref="E22:E26">
    <cfRule type="cellIs" priority="6" operator="greaterThan" aboveAverage="0" equalAverage="0" bottom="0" percent="0" rank="0" text="" dxfId="0">
      <formula>0</formula>
    </cfRule>
    <cfRule type="cellIs" priority="7" operator="lessThan" aboveAverage="0" equalAverage="0" bottom="0" percent="0" rank="0" text="" dxfId="1">
      <formula>0</formula>
    </cfRule>
  </conditionalFormatting>
  <conditionalFormatting sqref="E30:E34">
    <cfRule type="cellIs" priority="8" operator="greaterThan" aboveAverage="0" equalAverage="0" bottom="0" percent="0" rank="0" text="" dxfId="0">
      <formula>0</formula>
    </cfRule>
    <cfRule type="cellIs" priority="9" operator="lessThan" aboveAverage="0" equalAverage="0" bottom="0" percent="0" rank="0" text="" dxfId="1">
      <formula>0</formula>
    </cfRule>
  </conditionalFormatting>
  <conditionalFormatting sqref="E38:E42">
    <cfRule type="cellIs" priority="10" operator="greaterThan" aboveAverage="0" equalAverage="0" bottom="0" percent="0" rank="0" text="" dxfId="0">
      <formula>0</formula>
    </cfRule>
    <cfRule type="cellIs" priority="11" operator="lessThan" aboveAverage="0" equalAverage="0" bottom="0" percent="0" rank="0" text="" dxfId="1">
      <formula>0</formula>
    </cfRule>
  </conditionalFormatting>
  <conditionalFormatting sqref="E46:E50">
    <cfRule type="cellIs" priority="12" operator="greaterThan" aboveAverage="0" equalAverage="0" bottom="0" percent="0" rank="0" text="" dxfId="0">
      <formula>0</formula>
    </cfRule>
    <cfRule type="cellIs" priority="13" operator="lessThan" aboveAverage="0" equalAverage="0" bottom="0" percent="0" rank="0" text="" dxfId="1">
      <formula>0</formula>
    </cfRule>
  </conditionalFormatting>
  <conditionalFormatting sqref="E54:E58">
    <cfRule type="cellIs" priority="14" operator="greaterThan" aboveAverage="0" equalAverage="0" bottom="0" percent="0" rank="0" text="" dxfId="0">
      <formula>0</formula>
    </cfRule>
    <cfRule type="cellIs" priority="15" operator="lessThan" aboveAverage="0" equalAverage="0" bottom="0" percent="0" rank="0" text="" dxfId="1">
      <formula>0</formula>
    </cfRule>
  </conditionalFormatting>
  <conditionalFormatting sqref="E62:E66">
    <cfRule type="cellIs" priority="16" operator="greaterThan" aboveAverage="0" equalAverage="0" bottom="0" percent="0" rank="0" text="" dxfId="0">
      <formula>0</formula>
    </cfRule>
    <cfRule type="cellIs" priority="17" operator="lessThan" aboveAverage="0" equalAverage="0" bottom="0" percent="0" rank="0" text="" dxfId="1">
      <formula>0</formula>
    </cfRule>
  </conditionalFormatting>
  <conditionalFormatting sqref="E70:E74">
    <cfRule type="cellIs" priority="18" operator="greaterThan" aboveAverage="0" equalAverage="0" bottom="0" percent="0" rank="0" text="" dxfId="0">
      <formula>0</formula>
    </cfRule>
    <cfRule type="cellIs" priority="19" operator="lessThan" aboveAverage="0" equalAverage="0" bottom="0" percent="0" rank="0" text="" dxfId="1">
      <formula>0</formula>
    </cfRule>
  </conditionalFormatting>
  <conditionalFormatting sqref="E78:E82">
    <cfRule type="cellIs" priority="20" operator="greaterThan" aboveAverage="0" equalAverage="0" bottom="0" percent="0" rank="0" text="" dxfId="0">
      <formula>0</formula>
    </cfRule>
    <cfRule type="cellIs" priority="21" operator="lessThan" aboveAverage="0" equalAverage="0" bottom="0" percent="0" rank="0" text="" dxfId="1">
      <formula>0</formula>
    </cfRule>
  </conditionalFormatting>
  <conditionalFormatting sqref="E86:E90">
    <cfRule type="cellIs" priority="22" operator="greaterThan" aboveAverage="0" equalAverage="0" bottom="0" percent="0" rank="0" text="" dxfId="0">
      <formula>0</formula>
    </cfRule>
    <cfRule type="cellIs" priority="23" operator="lessThan" aboveAverage="0" equalAverage="0" bottom="0" percent="0" rank="0" text="" dxfId="1">
      <formula>0</formula>
    </cfRule>
  </conditionalFormatting>
  <conditionalFormatting sqref="E94:E98">
    <cfRule type="cellIs" priority="24" operator="greaterThan" aboveAverage="0" equalAverage="0" bottom="0" percent="0" rank="0" text="" dxfId="0">
      <formula>0</formula>
    </cfRule>
    <cfRule type="cellIs" priority="25" operator="lessThan" aboveAverage="0" equalAverage="0" bottom="0" percent="0" rank="0" text="" dxfId="1">
      <formula>0</formula>
    </cfRule>
  </conditionalFormatting>
  <conditionalFormatting sqref="E102:E106">
    <cfRule type="cellIs" priority="26" operator="greaterThan" aboveAverage="0" equalAverage="0" bottom="0" percent="0" rank="0" text="" dxfId="0">
      <formula>0</formula>
    </cfRule>
    <cfRule type="cellIs" priority="27" operator="lessThan" aboveAverage="0" equalAverage="0" bottom="0" percent="0" rank="0" text="" dxfId="1">
      <formula>0</formula>
    </cfRule>
  </conditionalFormatting>
  <conditionalFormatting sqref="E110:E114">
    <cfRule type="cellIs" priority="28" operator="greaterThan" aboveAverage="0" equalAverage="0" bottom="0" percent="0" rank="0" text="" dxfId="0">
      <formula>0</formula>
    </cfRule>
    <cfRule type="cellIs" priority="29" operator="lessThan" aboveAverage="0" equalAverage="0" bottom="0" percent="0" rank="0" text="" dxfId="1">
      <formula>0</formula>
    </cfRule>
  </conditionalFormatting>
  <conditionalFormatting sqref="E118:E122">
    <cfRule type="cellIs" priority="30" operator="greaterThan" aboveAverage="0" equalAverage="0" bottom="0" percent="0" rank="0" text="" dxfId="0">
      <formula>0</formula>
    </cfRule>
    <cfRule type="cellIs" priority="31" operator="lessThan" aboveAverage="0" equalAverage="0" bottom="0" percent="0" rank="0" text="" dxfId="1">
      <formula>0</formula>
    </cfRule>
  </conditionalFormatting>
  <conditionalFormatting sqref="E126:E130">
    <cfRule type="cellIs" priority="32" operator="greaterThan" aboveAverage="0" equalAverage="0" bottom="0" percent="0" rank="0" text="" dxfId="0">
      <formula>0</formula>
    </cfRule>
    <cfRule type="cellIs" priority="33" operator="lessThan" aboveAverage="0" equalAverage="0" bottom="0" percent="0" rank="0" text="" dxfId="1">
      <formula>0</formula>
    </cfRule>
  </conditionalFormatting>
  <conditionalFormatting sqref="E134:E138">
    <cfRule type="cellIs" priority="34" operator="greaterThan" aboveAverage="0" equalAverage="0" bottom="0" percent="0" rank="0" text="" dxfId="0">
      <formula>0</formula>
    </cfRule>
    <cfRule type="cellIs" priority="35" operator="lessThan" aboveAverage="0" equalAverage="0" bottom="0" percent="0" rank="0" text="" dxfId="1">
      <formula>0</formula>
    </cfRule>
  </conditionalFormatting>
  <conditionalFormatting sqref="E142:E146">
    <cfRule type="cellIs" priority="36" operator="greaterThan" aboveAverage="0" equalAverage="0" bottom="0" percent="0" rank="0" text="" dxfId="0">
      <formula>0</formula>
    </cfRule>
    <cfRule type="cellIs" priority="37" operator="lessThan" aboveAverage="0" equalAverage="0" bottom="0" percent="0" rank="0" text="" dxfId="1">
      <formula>0</formula>
    </cfRule>
  </conditionalFormatting>
  <conditionalFormatting sqref="E150:E154">
    <cfRule type="cellIs" priority="38" operator="greaterThan" aboveAverage="0" equalAverage="0" bottom="0" percent="0" rank="0" text="" dxfId="0">
      <formula>0</formula>
    </cfRule>
    <cfRule type="cellIs" priority="39" operator="lessThan" aboveAverage="0" equalAverage="0" bottom="0" percent="0" rank="0" text="" dxfId="1">
      <formula>0</formula>
    </cfRule>
  </conditionalFormatting>
  <conditionalFormatting sqref="E158:E162">
    <cfRule type="cellIs" priority="40" operator="greaterThan" aboveAverage="0" equalAverage="0" bottom="0" percent="0" rank="0" text="" dxfId="0">
      <formula>0</formula>
    </cfRule>
    <cfRule type="cellIs" priority="41" operator="lessThan" aboveAverage="0" equalAverage="0" bottom="0" percent="0" rank="0" text="" dxfId="1">
      <formula>0</formula>
    </cfRule>
  </conditionalFormatting>
  <conditionalFormatting sqref="E166:E170">
    <cfRule type="cellIs" priority="42" operator="greaterThan" aboveAverage="0" equalAverage="0" bottom="0" percent="0" rank="0" text="" dxfId="0">
      <formula>0</formula>
    </cfRule>
    <cfRule type="cellIs" priority="43" operator="lessThan" aboveAverage="0" equalAverage="0" bottom="0" percent="0" rank="0" text="" dxfId="1">
      <formula>0</formula>
    </cfRule>
  </conditionalFormatting>
  <conditionalFormatting sqref="E174:E178">
    <cfRule type="cellIs" priority="44" operator="greaterThan" aboveAverage="0" equalAverage="0" bottom="0" percent="0" rank="0" text="" dxfId="0">
      <formula>0</formula>
    </cfRule>
    <cfRule type="cellIs" priority="45" operator="lessThan" aboveAverage="0" equalAverage="0" bottom="0" percent="0" rank="0" text="" dxfId="1">
      <formula>0</formula>
    </cfRule>
  </conditionalFormatting>
  <conditionalFormatting sqref="E182:E186">
    <cfRule type="cellIs" priority="46" operator="greaterThan" aboveAverage="0" equalAverage="0" bottom="0" percent="0" rank="0" text="" dxfId="0">
      <formula>0</formula>
    </cfRule>
    <cfRule type="cellIs" priority="47" operator="lessThan" aboveAverage="0" equalAverage="0" bottom="0" percent="0" rank="0" text="" dxfId="1">
      <formula>0</formula>
    </cfRule>
  </conditionalFormatting>
  <conditionalFormatting sqref="E190:E194">
    <cfRule type="cellIs" priority="48" operator="greaterThan" aboveAverage="0" equalAverage="0" bottom="0" percent="0" rank="0" text="" dxfId="0">
      <formula>0</formula>
    </cfRule>
    <cfRule type="cellIs" priority="49" operator="lessThan" aboveAverage="0" equalAverage="0" bottom="0" percent="0" rank="0" text="" dxfId="1">
      <formula>0</formula>
    </cfRule>
  </conditionalFormatting>
  <conditionalFormatting sqref="E198:E202">
    <cfRule type="cellIs" priority="50" operator="greaterThan" aboveAverage="0" equalAverage="0" bottom="0" percent="0" rank="0" text="" dxfId="0">
      <formula>0</formula>
    </cfRule>
    <cfRule type="cellIs" priority="51" operator="lessThan" aboveAverage="0" equalAverage="0" bottom="0" percent="0" rank="0" text="" dxfId="1">
      <formula>0</formula>
    </cfRule>
  </conditionalFormatting>
  <conditionalFormatting sqref="E206:E210">
    <cfRule type="cellIs" priority="52" operator="greaterThan" aboveAverage="0" equalAverage="0" bottom="0" percent="0" rank="0" text="" dxfId="0">
      <formula>0</formula>
    </cfRule>
    <cfRule type="cellIs" priority="53" operator="lessThan" aboveAverage="0" equalAverage="0" bottom="0" percent="0" rank="0" text="" dxfId="1">
      <formula>0</formula>
    </cfRule>
  </conditionalFormatting>
  <conditionalFormatting sqref="E214:E218">
    <cfRule type="cellIs" priority="54" operator="greaterThan" aboveAverage="0" equalAverage="0" bottom="0" percent="0" rank="0" text="" dxfId="0">
      <formula>0</formula>
    </cfRule>
    <cfRule type="cellIs" priority="55" operator="lessThan" aboveAverage="0" equalAverage="0" bottom="0" percent="0" rank="0" text="" dxfId="1">
      <formula>0</formula>
    </cfRule>
  </conditionalFormatting>
  <conditionalFormatting sqref="E222:E226">
    <cfRule type="cellIs" priority="56" operator="greaterThan" aboveAverage="0" equalAverage="0" bottom="0" percent="0" rank="0" text="" dxfId="0">
      <formula>0</formula>
    </cfRule>
    <cfRule type="cellIs" priority="57" operator="lessThan" aboveAverage="0" equalAverage="0" bottom="0" percent="0" rank="0" text="" dxfId="1">
      <formula>0</formula>
    </cfRule>
  </conditionalFormatting>
  <conditionalFormatting sqref="E230:E234">
    <cfRule type="cellIs" priority="58" operator="greaterThan" aboveAverage="0" equalAverage="0" bottom="0" percent="0" rank="0" text="" dxfId="0">
      <formula>0</formula>
    </cfRule>
    <cfRule type="cellIs" priority="59" operator="lessThan" aboveAverage="0" equalAverage="0" bottom="0" percent="0" rank="0" text="" dxfId="1">
      <formula>0</formula>
    </cfRule>
  </conditionalFormatting>
  <conditionalFormatting sqref="E238:E242">
    <cfRule type="cellIs" priority="60" operator="greaterThan" aboveAverage="0" equalAverage="0" bottom="0" percent="0" rank="0" text="" dxfId="0">
      <formula>0</formula>
    </cfRule>
    <cfRule type="cellIs" priority="61" operator="lessThan" aboveAverage="0" equalAverage="0" bottom="0" percent="0" rank="0" text="" dxfId="1">
      <formula>0</formula>
    </cfRule>
  </conditionalFormatting>
  <conditionalFormatting sqref="E246:E250">
    <cfRule type="cellIs" priority="62" operator="greaterThan" aboveAverage="0" equalAverage="0" bottom="0" percent="0" rank="0" text="" dxfId="0">
      <formula>0</formula>
    </cfRule>
    <cfRule type="cellIs" priority="63" operator="lessThan" aboveAverage="0" equalAverage="0" bottom="0" percent="0" rank="0" text="" dxfId="1">
      <formula>0</formula>
    </cfRule>
  </conditionalFormatting>
  <conditionalFormatting sqref="E254:E258">
    <cfRule type="cellIs" priority="64" operator="greaterThan" aboveAverage="0" equalAverage="0" bottom="0" percent="0" rank="0" text="" dxfId="0">
      <formula>0</formula>
    </cfRule>
    <cfRule type="cellIs" priority="65" operator="lessThan" aboveAverage="0" equalAverage="0" bottom="0" percent="0" rank="0" text="" dxfId="1">
      <formula>0</formula>
    </cfRule>
  </conditionalFormatting>
  <conditionalFormatting sqref="E262:E266">
    <cfRule type="cellIs" priority="66" operator="greaterThan" aboveAverage="0" equalAverage="0" bottom="0" percent="0" rank="0" text="" dxfId="0">
      <formula>0</formula>
    </cfRule>
    <cfRule type="cellIs" priority="67" operator="lessThan" aboveAverage="0" equalAverage="0" bottom="0" percent="0" rank="0" text="" dxfId="1">
      <formula>0</formula>
    </cfRule>
  </conditionalFormatting>
  <conditionalFormatting sqref="E270:E274">
    <cfRule type="cellIs" priority="68" operator="greaterThan" aboveAverage="0" equalAverage="0" bottom="0" percent="0" rank="0" text="" dxfId="0">
      <formula>0</formula>
    </cfRule>
    <cfRule type="cellIs" priority="69" operator="lessThan" aboveAverage="0" equalAverage="0" bottom="0" percent="0" rank="0" text="" dxfId="1">
      <formula>0</formula>
    </cfRule>
  </conditionalFormatting>
  <conditionalFormatting sqref="E278:E282">
    <cfRule type="cellIs" priority="70" operator="greaterThan" aboveAverage="0" equalAverage="0" bottom="0" percent="0" rank="0" text="" dxfId="0">
      <formula>0</formula>
    </cfRule>
    <cfRule type="cellIs" priority="71" operator="lessThan" aboveAverage="0" equalAverage="0" bottom="0" percent="0" rank="0" text="" dxfId="1">
      <formula>0</formula>
    </cfRule>
  </conditionalFormatting>
  <conditionalFormatting sqref="E286:E290">
    <cfRule type="cellIs" priority="72" operator="greaterThan" aboveAverage="0" equalAverage="0" bottom="0" percent="0" rank="0" text="" dxfId="0">
      <formula>0</formula>
    </cfRule>
    <cfRule type="cellIs" priority="73" operator="lessThan" aboveAverage="0" equalAverage="0" bottom="0" percent="0" rank="0" text="" dxfId="1">
      <formula>0</formula>
    </cfRule>
  </conditionalFormatting>
  <conditionalFormatting sqref="E294:E298">
    <cfRule type="cellIs" priority="74" operator="greaterThan" aboveAverage="0" equalAverage="0" bottom="0" percent="0" rank="0" text="" dxfId="0">
      <formula>0</formula>
    </cfRule>
    <cfRule type="cellIs" priority="75" operator="lessThan" aboveAverage="0" equalAverage="0" bottom="0" percent="0" rank="0" text="" dxfId="1">
      <formula>0</formula>
    </cfRule>
  </conditionalFormatting>
  <conditionalFormatting sqref="E302:E306">
    <cfRule type="cellIs" priority="76" operator="greaterThan" aboveAverage="0" equalAverage="0" bottom="0" percent="0" rank="0" text="" dxfId="0">
      <formula>0</formula>
    </cfRule>
    <cfRule type="cellIs" priority="77" operator="lessThan" aboveAverage="0" equalAverage="0" bottom="0" percent="0" rank="0" text="" dxfId="1">
      <formula>0</formula>
    </cfRule>
  </conditionalFormatting>
  <conditionalFormatting sqref="E310:E314">
    <cfRule type="cellIs" priority="78" operator="greaterThan" aboveAverage="0" equalAverage="0" bottom="0" percent="0" rank="0" text="" dxfId="0">
      <formula>0</formula>
    </cfRule>
    <cfRule type="cellIs" priority="79" operator="lessThan" aboveAverage="0" equalAverage="0" bottom="0" percent="0" rank="0" text="" dxfId="1">
      <formula>0</formula>
    </cfRule>
  </conditionalFormatting>
  <conditionalFormatting sqref="E318:E322">
    <cfRule type="cellIs" priority="80" operator="greaterThan" aboveAverage="0" equalAverage="0" bottom="0" percent="0" rank="0" text="" dxfId="0">
      <formula>0</formula>
    </cfRule>
    <cfRule type="cellIs" priority="81" operator="lessThan" aboveAverage="0" equalAverage="0" bottom="0" percent="0" rank="0" text="" dxfId="1">
      <formula>0</formula>
    </cfRule>
  </conditionalFormatting>
  <conditionalFormatting sqref="E326:E330">
    <cfRule type="cellIs" priority="82" operator="greaterThan" aboveAverage="0" equalAverage="0" bottom="0" percent="0" rank="0" text="" dxfId="0">
      <formula>0</formula>
    </cfRule>
    <cfRule type="cellIs" priority="83" operator="lessThan" aboveAverage="0" equalAverage="0" bottom="0" percent="0" rank="0" text="" dxfId="1">
      <formula>0</formula>
    </cfRule>
  </conditionalFormatting>
  <conditionalFormatting sqref="E334:E338">
    <cfRule type="cellIs" priority="84" operator="greaterThan" aboveAverage="0" equalAverage="0" bottom="0" percent="0" rank="0" text="" dxfId="0">
      <formula>0</formula>
    </cfRule>
    <cfRule type="cellIs" priority="85" operator="lessThan" aboveAverage="0" equalAverage="0" bottom="0" percent="0" rank="0" text="" dxfId="1">
      <formula>0</formula>
    </cfRule>
  </conditionalFormatting>
  <conditionalFormatting sqref="E342:E346">
    <cfRule type="cellIs" priority="86" operator="greaterThan" aboveAverage="0" equalAverage="0" bottom="0" percent="0" rank="0" text="" dxfId="0">
      <formula>0</formula>
    </cfRule>
    <cfRule type="cellIs" priority="87" operator="lessThan" aboveAverage="0" equalAverage="0" bottom="0" percent="0" rank="0" text="" dxfId="1">
      <formula>0</formula>
    </cfRule>
  </conditionalFormatting>
  <conditionalFormatting sqref="E350:E354">
    <cfRule type="cellIs" priority="88" operator="greaterThan" aboveAverage="0" equalAverage="0" bottom="0" percent="0" rank="0" text="" dxfId="0">
      <formula>0</formula>
    </cfRule>
    <cfRule type="cellIs" priority="89" operator="lessThan" aboveAverage="0" equalAverage="0" bottom="0" percent="0" rank="0" text="" dxfId="1">
      <formula>0</formula>
    </cfRule>
  </conditionalFormatting>
  <conditionalFormatting sqref="E358:E362">
    <cfRule type="cellIs" priority="90" operator="greaterThan" aboveAverage="0" equalAverage="0" bottom="0" percent="0" rank="0" text="" dxfId="0">
      <formula>0</formula>
    </cfRule>
    <cfRule type="cellIs" priority="91" operator="lessThan" aboveAverage="0" equalAverage="0" bottom="0" percent="0" rank="0" text="" dxfId="1">
      <formula>0</formula>
    </cfRule>
  </conditionalFormatting>
  <conditionalFormatting sqref="E366:E370">
    <cfRule type="cellIs" priority="92" operator="greaterThan" aboveAverage="0" equalAverage="0" bottom="0" percent="0" rank="0" text="" dxfId="0">
      <formula>0</formula>
    </cfRule>
    <cfRule type="cellIs" priority="93" operator="lessThan" aboveAverage="0" equalAverage="0" bottom="0" percent="0" rank="0" text="" dxfId="1">
      <formula>0</formula>
    </cfRule>
  </conditionalFormatting>
  <conditionalFormatting sqref="E374:E378">
    <cfRule type="cellIs" priority="94" operator="greaterThan" aboveAverage="0" equalAverage="0" bottom="0" percent="0" rank="0" text="" dxfId="0">
      <formula>0</formula>
    </cfRule>
    <cfRule type="cellIs" priority="95" operator="lessThan" aboveAverage="0" equalAverage="0" bottom="0" percent="0" rank="0" text="" dxfId="1">
      <formula>0</formula>
    </cfRule>
  </conditionalFormatting>
  <conditionalFormatting sqref="E382:E386">
    <cfRule type="cellIs" priority="96" operator="greaterThan" aboveAverage="0" equalAverage="0" bottom="0" percent="0" rank="0" text="" dxfId="0">
      <formula>0</formula>
    </cfRule>
    <cfRule type="cellIs" priority="97" operator="lessThan" aboveAverage="0" equalAverage="0" bottom="0" percent="0" rank="0" text="" dxfId="1">
      <formula>0</formula>
    </cfRule>
  </conditionalFormatting>
  <conditionalFormatting sqref="E390:E394">
    <cfRule type="cellIs" priority="98" operator="greaterThan" aboveAverage="0" equalAverage="0" bottom="0" percent="0" rank="0" text="" dxfId="0">
      <formula>0</formula>
    </cfRule>
    <cfRule type="cellIs" priority="99" operator="lessThan" aboveAverage="0" equalAverage="0" bottom="0" percent="0" rank="0" text="" dxfId="1">
      <formula>0</formula>
    </cfRule>
  </conditionalFormatting>
  <conditionalFormatting sqref="E398:E402">
    <cfRule type="cellIs" priority="100" operator="greaterThan" aboveAverage="0" equalAverage="0" bottom="0" percent="0" rank="0" text="" dxfId="0">
      <formula>0</formula>
    </cfRule>
    <cfRule type="cellIs" priority="101" operator="lessThan" aboveAverage="0" equalAverage="0" bottom="0" percent="0" rank="0" text="" dxfId="1">
      <formula>0</formula>
    </cfRule>
  </conditionalFormatting>
  <conditionalFormatting sqref="E406:E410">
    <cfRule type="cellIs" priority="102" operator="greaterThan" aboveAverage="0" equalAverage="0" bottom="0" percent="0" rank="0" text="" dxfId="0">
      <formula>0</formula>
    </cfRule>
    <cfRule type="cellIs" priority="103" operator="lessThan" aboveAverage="0" equalAverage="0" bottom="0" percent="0" rank="0" text="" dxfId="1">
      <formula>0</formula>
    </cfRule>
  </conditionalFormatting>
  <conditionalFormatting sqref="E414:E418">
    <cfRule type="cellIs" priority="104" operator="greaterThan" aboveAverage="0" equalAverage="0" bottom="0" percent="0" rank="0" text="" dxfId="0">
      <formula>0</formula>
    </cfRule>
    <cfRule type="cellIs" priority="105" operator="lessThan" aboveAverage="0" equalAverage="0" bottom="0" percent="0" rank="0" text="" dxfId="1">
      <formula>0</formula>
    </cfRule>
  </conditionalFormatting>
  <conditionalFormatting sqref="E422:E426">
    <cfRule type="cellIs" priority="106" operator="greaterThan" aboveAverage="0" equalAverage="0" bottom="0" percent="0" rank="0" text="" dxfId="0">
      <formula>0</formula>
    </cfRule>
    <cfRule type="cellIs" priority="107" operator="lessThan" aboveAverage="0" equalAverage="0" bottom="0" percent="0" rank="0" text="" dxfId="1">
      <formula>0</formula>
    </cfRule>
  </conditionalFormatting>
  <conditionalFormatting sqref="E430:E434">
    <cfRule type="cellIs" priority="108" operator="greaterThan" aboveAverage="0" equalAverage="0" bottom="0" percent="0" rank="0" text="" dxfId="0">
      <formula>0</formula>
    </cfRule>
    <cfRule type="cellIs" priority="109" operator="lessThan" aboveAverage="0" equalAverage="0" bottom="0" percent="0" rank="0" text="" dxfId="1">
      <formula>0</formula>
    </cfRule>
  </conditionalFormatting>
  <conditionalFormatting sqref="E438:E442">
    <cfRule type="cellIs" priority="110" operator="greaterThan" aboveAverage="0" equalAverage="0" bottom="0" percent="0" rank="0" text="" dxfId="0">
      <formula>0</formula>
    </cfRule>
    <cfRule type="cellIs" priority="111" operator="lessThan"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 collapsed="false" customWidth="true" hidden="false" outlineLevel="0" max="6" min="2" style="0" width="2"/>
  </cols>
  <sheetData>
    <row r="1" customFormat="false" ht="16.15" hidden="false" customHeight="false" outlineLevel="0" collapsed="false">
      <c r="A1" s="1" t="s">
        <v>322</v>
      </c>
      <c r="B1" s="1"/>
      <c r="C1" s="1"/>
      <c r="D1" s="1"/>
      <c r="E1" s="1"/>
      <c r="F1" s="1"/>
    </row>
    <row r="2" customFormat="false" ht="15" hidden="false" customHeight="false" outlineLevel="0" collapsed="false">
      <c r="A2" s="7" t="s">
        <v>323</v>
      </c>
    </row>
    <row r="4" customFormat="false" ht="15" hidden="false" customHeight="false" outlineLevel="0" collapsed="false">
      <c r="A4" s="22" t="s">
        <v>324</v>
      </c>
      <c r="B4" s="22"/>
      <c r="C4" s="22"/>
      <c r="D4" s="22"/>
      <c r="E4" s="22"/>
      <c r="F4" s="22"/>
    </row>
    <row r="5" customFormat="false" ht="15" hidden="false" customHeight="true" outlineLevel="0" collapsed="false">
      <c r="A5" s="23" t="s">
        <v>325</v>
      </c>
      <c r="B5" s="23"/>
      <c r="C5" s="23"/>
      <c r="D5" s="23"/>
      <c r="E5" s="23"/>
      <c r="F5" s="23"/>
    </row>
    <row r="6" customFormat="false" ht="15" hidden="false" customHeight="false" outlineLevel="0" collapsed="false">
      <c r="A6" s="23"/>
      <c r="B6" s="23"/>
      <c r="C6" s="23"/>
      <c r="D6" s="23"/>
      <c r="E6" s="23"/>
      <c r="F6" s="23"/>
    </row>
    <row r="7" customFormat="false" ht="15" hidden="false" customHeight="false" outlineLevel="0" collapsed="false">
      <c r="A7" s="23"/>
      <c r="B7" s="23"/>
      <c r="C7" s="23"/>
      <c r="D7" s="23"/>
      <c r="E7" s="23"/>
      <c r="F7" s="23"/>
    </row>
    <row r="8" customFormat="false" ht="15" hidden="false" customHeight="false" outlineLevel="0" collapsed="false">
      <c r="A8" s="23"/>
      <c r="B8" s="23"/>
      <c r="C8" s="23"/>
      <c r="D8" s="23"/>
      <c r="E8" s="23"/>
      <c r="F8" s="23"/>
    </row>
    <row r="9" customFormat="false" ht="15" hidden="false" customHeight="false" outlineLevel="0" collapsed="false">
      <c r="A9" s="23"/>
      <c r="B9" s="23"/>
      <c r="C9" s="23"/>
      <c r="D9" s="23"/>
      <c r="E9" s="23"/>
      <c r="F9" s="23"/>
    </row>
    <row r="10" customFormat="false" ht="15" hidden="false" customHeight="false" outlineLevel="0" collapsed="false">
      <c r="A10" s="23"/>
      <c r="B10" s="23"/>
      <c r="C10" s="23"/>
      <c r="D10" s="23"/>
      <c r="E10" s="23"/>
      <c r="F10" s="23"/>
    </row>
    <row r="12" customFormat="false" ht="15" hidden="false" customHeight="false" outlineLevel="0" collapsed="false">
      <c r="A12" s="22" t="s">
        <v>326</v>
      </c>
      <c r="B12" s="22"/>
      <c r="C12" s="22"/>
      <c r="D12" s="22"/>
      <c r="E12" s="22"/>
      <c r="F12" s="22"/>
    </row>
    <row r="13" customFormat="false" ht="15" hidden="false" customHeight="true" outlineLevel="0" collapsed="false">
      <c r="A13" s="23" t="s">
        <v>327</v>
      </c>
      <c r="B13" s="23"/>
      <c r="C13" s="23"/>
      <c r="D13" s="23"/>
      <c r="E13" s="23"/>
      <c r="F13" s="23"/>
    </row>
    <row r="14" customFormat="false" ht="15" hidden="false" customHeight="false" outlineLevel="0" collapsed="false">
      <c r="A14" s="23"/>
      <c r="B14" s="23"/>
      <c r="C14" s="23"/>
      <c r="D14" s="23"/>
      <c r="E14" s="23"/>
      <c r="F14" s="23"/>
    </row>
    <row r="15" customFormat="false" ht="15" hidden="false" customHeight="false" outlineLevel="0" collapsed="false">
      <c r="A15" s="23"/>
      <c r="B15" s="23"/>
      <c r="C15" s="23"/>
      <c r="D15" s="23"/>
      <c r="E15" s="23"/>
      <c r="F15" s="23"/>
    </row>
    <row r="16" customFormat="false" ht="15" hidden="false" customHeight="false" outlineLevel="0" collapsed="false">
      <c r="A16" s="23"/>
      <c r="B16" s="23"/>
      <c r="C16" s="23"/>
      <c r="D16" s="23"/>
      <c r="E16" s="23"/>
      <c r="F16" s="23"/>
    </row>
    <row r="17" customFormat="false" ht="15" hidden="false" customHeight="false" outlineLevel="0" collapsed="false">
      <c r="A17" s="23"/>
      <c r="B17" s="23"/>
      <c r="C17" s="23"/>
      <c r="D17" s="23"/>
      <c r="E17" s="23"/>
      <c r="F17" s="23"/>
    </row>
    <row r="18" customFormat="false" ht="15" hidden="false" customHeight="false" outlineLevel="0" collapsed="false">
      <c r="A18" s="23"/>
      <c r="B18" s="23"/>
      <c r="C18" s="23"/>
      <c r="D18" s="23"/>
      <c r="E18" s="23"/>
      <c r="F18" s="23"/>
    </row>
    <row r="19" customFormat="false" ht="15" hidden="false" customHeight="false" outlineLevel="0" collapsed="false">
      <c r="A19" s="23"/>
      <c r="B19" s="23"/>
      <c r="C19" s="23"/>
      <c r="D19" s="23"/>
      <c r="E19" s="23"/>
      <c r="F19" s="23"/>
    </row>
    <row r="21" customFormat="false" ht="15" hidden="false" customHeight="false" outlineLevel="0" collapsed="false">
      <c r="A21" s="22" t="s">
        <v>328</v>
      </c>
      <c r="B21" s="22"/>
      <c r="C21" s="22"/>
      <c r="D21" s="22"/>
      <c r="E21" s="22"/>
      <c r="F21" s="22"/>
    </row>
    <row r="22" customFormat="false" ht="15" hidden="false" customHeight="true" outlineLevel="0" collapsed="false">
      <c r="A22" s="23" t="s">
        <v>329</v>
      </c>
      <c r="B22" s="23"/>
      <c r="C22" s="23"/>
      <c r="D22" s="23"/>
      <c r="E22" s="23"/>
      <c r="F22" s="23"/>
    </row>
    <row r="23" customFormat="false" ht="15" hidden="false" customHeight="false" outlineLevel="0" collapsed="false">
      <c r="A23" s="23"/>
      <c r="B23" s="23"/>
      <c r="C23" s="23"/>
      <c r="D23" s="23"/>
      <c r="E23" s="23"/>
      <c r="F23" s="23"/>
    </row>
    <row r="24" customFormat="false" ht="15" hidden="false" customHeight="false" outlineLevel="0" collapsed="false">
      <c r="A24" s="23"/>
      <c r="B24" s="23"/>
      <c r="C24" s="23"/>
      <c r="D24" s="23"/>
      <c r="E24" s="23"/>
      <c r="F24" s="23"/>
    </row>
    <row r="25" customFormat="false" ht="15" hidden="false" customHeight="false" outlineLevel="0" collapsed="false">
      <c r="A25" s="23"/>
      <c r="B25" s="23"/>
      <c r="C25" s="23"/>
      <c r="D25" s="23"/>
      <c r="E25" s="23"/>
      <c r="F25" s="23"/>
    </row>
    <row r="26" customFormat="false" ht="15" hidden="false" customHeight="false" outlineLevel="0" collapsed="false">
      <c r="A26" s="23"/>
      <c r="B26" s="23"/>
      <c r="C26" s="23"/>
      <c r="D26" s="23"/>
      <c r="E26" s="23"/>
      <c r="F26" s="23"/>
    </row>
    <row r="27" customFormat="false" ht="15" hidden="false" customHeight="false" outlineLevel="0" collapsed="false">
      <c r="A27" s="23"/>
      <c r="B27" s="23"/>
      <c r="C27" s="23"/>
      <c r="D27" s="23"/>
      <c r="E27" s="23"/>
      <c r="F27" s="23"/>
    </row>
    <row r="29" customFormat="false" ht="15" hidden="false" customHeight="false" outlineLevel="0" collapsed="false">
      <c r="A29" s="22" t="s">
        <v>330</v>
      </c>
      <c r="B29" s="22"/>
      <c r="C29" s="22"/>
      <c r="D29" s="22"/>
      <c r="E29" s="22"/>
      <c r="F29" s="22"/>
    </row>
    <row r="30" customFormat="false" ht="15" hidden="false" customHeight="true" outlineLevel="0" collapsed="false">
      <c r="A30" s="23" t="s">
        <v>331</v>
      </c>
      <c r="B30" s="23"/>
      <c r="C30" s="23"/>
      <c r="D30" s="23"/>
      <c r="E30" s="23"/>
      <c r="F30" s="23"/>
    </row>
    <row r="31" customFormat="false" ht="15" hidden="false" customHeight="false" outlineLevel="0" collapsed="false">
      <c r="A31" s="23"/>
      <c r="B31" s="23"/>
      <c r="C31" s="23"/>
      <c r="D31" s="23"/>
      <c r="E31" s="23"/>
      <c r="F31" s="23"/>
    </row>
    <row r="32" customFormat="false" ht="15" hidden="false" customHeight="false" outlineLevel="0" collapsed="false">
      <c r="A32" s="23"/>
      <c r="B32" s="23"/>
      <c r="C32" s="23"/>
      <c r="D32" s="23"/>
      <c r="E32" s="23"/>
      <c r="F32" s="23"/>
    </row>
    <row r="33" customFormat="false" ht="15" hidden="false" customHeight="false" outlineLevel="0" collapsed="false">
      <c r="A33" s="23"/>
      <c r="B33" s="23"/>
      <c r="C33" s="23"/>
      <c r="D33" s="23"/>
      <c r="E33" s="23"/>
      <c r="F33" s="23"/>
    </row>
    <row r="35" customFormat="false" ht="15" hidden="false" customHeight="true" outlineLevel="0" collapsed="false">
      <c r="A35" s="23" t="s">
        <v>332</v>
      </c>
      <c r="B35" s="23"/>
      <c r="C35" s="23"/>
      <c r="D35" s="23"/>
      <c r="E35" s="23"/>
      <c r="F35" s="23"/>
    </row>
    <row r="36" customFormat="false" ht="15" hidden="false" customHeight="false" outlineLevel="0" collapsed="false">
      <c r="A36" s="23"/>
      <c r="B36" s="23"/>
      <c r="C36" s="23"/>
      <c r="D36" s="23"/>
      <c r="E36" s="23"/>
      <c r="F36" s="23"/>
    </row>
    <row r="37" customFormat="false" ht="15" hidden="false" customHeight="false" outlineLevel="0" collapsed="false">
      <c r="A37" s="23"/>
      <c r="B37" s="23"/>
      <c r="C37" s="23"/>
      <c r="D37" s="23"/>
      <c r="E37" s="23"/>
      <c r="F37" s="23"/>
    </row>
    <row r="38" customFormat="false" ht="15" hidden="false" customHeight="false" outlineLevel="0" collapsed="false">
      <c r="A38" s="23"/>
      <c r="B38" s="23"/>
      <c r="C38" s="23"/>
      <c r="D38" s="23"/>
      <c r="E38" s="23"/>
      <c r="F38" s="23"/>
    </row>
    <row r="40" customFormat="false" ht="15" hidden="false" customHeight="true" outlineLevel="0" collapsed="false">
      <c r="A40" s="23" t="s">
        <v>333</v>
      </c>
      <c r="B40" s="23"/>
      <c r="C40" s="23"/>
      <c r="D40" s="23"/>
      <c r="E40" s="23"/>
      <c r="F40" s="23"/>
    </row>
    <row r="41" customFormat="false" ht="15" hidden="false" customHeight="false" outlineLevel="0" collapsed="false">
      <c r="A41" s="23"/>
      <c r="B41" s="23"/>
      <c r="C41" s="23"/>
      <c r="D41" s="23"/>
      <c r="E41" s="23"/>
      <c r="F41" s="23"/>
    </row>
    <row r="42" customFormat="false" ht="15" hidden="false" customHeight="false" outlineLevel="0" collapsed="false">
      <c r="A42" s="23"/>
      <c r="B42" s="23"/>
      <c r="C42" s="23"/>
      <c r="D42" s="23"/>
      <c r="E42" s="23"/>
      <c r="F42" s="23"/>
    </row>
    <row r="43" customFormat="false" ht="15" hidden="false" customHeight="false" outlineLevel="0" collapsed="false">
      <c r="A43" s="23"/>
      <c r="B43" s="23"/>
      <c r="C43" s="23"/>
      <c r="D43" s="23"/>
      <c r="E43" s="23"/>
      <c r="F43" s="23"/>
    </row>
    <row r="45" customFormat="false" ht="15" hidden="false" customHeight="true" outlineLevel="0" collapsed="false">
      <c r="A45" s="23" t="s">
        <v>334</v>
      </c>
      <c r="B45" s="23"/>
      <c r="C45" s="23"/>
      <c r="D45" s="23"/>
      <c r="E45" s="23"/>
      <c r="F45" s="23"/>
    </row>
    <row r="46" customFormat="false" ht="15" hidden="false" customHeight="false" outlineLevel="0" collapsed="false">
      <c r="A46" s="23"/>
      <c r="B46" s="23"/>
      <c r="C46" s="23"/>
      <c r="D46" s="23"/>
      <c r="E46" s="23"/>
      <c r="F46" s="23"/>
    </row>
    <row r="47" customFormat="false" ht="15" hidden="false" customHeight="false" outlineLevel="0" collapsed="false">
      <c r="A47" s="23"/>
      <c r="B47" s="23"/>
      <c r="C47" s="23"/>
      <c r="D47" s="23"/>
      <c r="E47" s="23"/>
      <c r="F47" s="23"/>
    </row>
    <row r="48" customFormat="false" ht="15" hidden="false" customHeight="false" outlineLevel="0" collapsed="false">
      <c r="A48" s="23"/>
      <c r="B48" s="23"/>
      <c r="C48" s="23"/>
      <c r="D48" s="23"/>
      <c r="E48" s="23"/>
      <c r="F48" s="23"/>
    </row>
    <row r="50" customFormat="false" ht="15" hidden="false" customHeight="true" outlineLevel="0" collapsed="false">
      <c r="A50" s="23" t="s">
        <v>335</v>
      </c>
      <c r="B50" s="23"/>
      <c r="C50" s="23"/>
      <c r="D50" s="23"/>
      <c r="E50" s="23"/>
      <c r="F50" s="23"/>
    </row>
    <row r="51" customFormat="false" ht="15" hidden="false" customHeight="false" outlineLevel="0" collapsed="false">
      <c r="A51" s="23"/>
      <c r="B51" s="23"/>
      <c r="C51" s="23"/>
      <c r="D51" s="23"/>
      <c r="E51" s="23"/>
      <c r="F51" s="23"/>
    </row>
    <row r="52" customFormat="false" ht="15" hidden="false" customHeight="false" outlineLevel="0" collapsed="false">
      <c r="A52" s="23"/>
      <c r="B52" s="23"/>
      <c r="C52" s="23"/>
      <c r="D52" s="23"/>
      <c r="E52" s="23"/>
      <c r="F52" s="23"/>
    </row>
    <row r="53" customFormat="false" ht="15" hidden="false" customHeight="false" outlineLevel="0" collapsed="false">
      <c r="A53" s="23"/>
      <c r="B53" s="23"/>
      <c r="C53" s="23"/>
      <c r="D53" s="23"/>
      <c r="E53" s="23"/>
      <c r="F53" s="23"/>
    </row>
    <row r="55" customFormat="false" ht="15" hidden="false" customHeight="true" outlineLevel="0" collapsed="false">
      <c r="A55" s="23" t="s">
        <v>336</v>
      </c>
      <c r="B55" s="23"/>
      <c r="C55" s="23"/>
      <c r="D55" s="23"/>
      <c r="E55" s="23"/>
      <c r="F55" s="23"/>
    </row>
    <row r="56" customFormat="false" ht="15" hidden="false" customHeight="false" outlineLevel="0" collapsed="false">
      <c r="A56" s="23"/>
      <c r="B56" s="23"/>
      <c r="C56" s="23"/>
      <c r="D56" s="23"/>
      <c r="E56" s="23"/>
      <c r="F56" s="23"/>
    </row>
    <row r="57" customFormat="false" ht="15" hidden="false" customHeight="false" outlineLevel="0" collapsed="false">
      <c r="A57" s="23"/>
      <c r="B57" s="23"/>
      <c r="C57" s="23"/>
      <c r="D57" s="23"/>
      <c r="E57" s="23"/>
      <c r="F57" s="23"/>
    </row>
    <row r="58" customFormat="false" ht="15" hidden="false" customHeight="false" outlineLevel="0" collapsed="false">
      <c r="A58" s="23"/>
      <c r="B58" s="23"/>
      <c r="C58" s="23"/>
      <c r="D58" s="23"/>
      <c r="E58" s="23"/>
      <c r="F58" s="23"/>
    </row>
  </sheetData>
  <mergeCells count="14">
    <mergeCell ref="A1:F1"/>
    <mergeCell ref="A4:F4"/>
    <mergeCell ref="A5:F10"/>
    <mergeCell ref="A12:F12"/>
    <mergeCell ref="A13:F19"/>
    <mergeCell ref="A21:F21"/>
    <mergeCell ref="A22:F27"/>
    <mergeCell ref="A29:F29"/>
    <mergeCell ref="A30:F33"/>
    <mergeCell ref="A35:F38"/>
    <mergeCell ref="A40:F43"/>
    <mergeCell ref="A45:F48"/>
    <mergeCell ref="A50:F53"/>
    <mergeCell ref="A55:F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R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2"/>
    <col collapsed="false" customWidth="true" hidden="false" outlineLevel="0" max="3" min="3" style="0" width="45"/>
    <col collapsed="false" customWidth="true" hidden="false" outlineLevel="0" max="70" min="4" style="0" width="11"/>
  </cols>
  <sheetData>
    <row r="1" customFormat="false" ht="16.15" hidden="false" customHeight="false" outlineLevel="0" collapsed="false">
      <c r="A1" s="1" t="s">
        <v>337</v>
      </c>
      <c r="B1" s="1"/>
      <c r="C1" s="1"/>
    </row>
    <row r="2" customFormat="false" ht="15" hidden="false" customHeight="false" outlineLevel="0" collapsed="false">
      <c r="A2" s="7" t="s">
        <v>338</v>
      </c>
    </row>
    <row r="4" customFormat="false" ht="19.4" hidden="false" customHeight="false" outlineLevel="0" collapsed="false">
      <c r="A4" s="2" t="s">
        <v>173</v>
      </c>
      <c r="B4" s="2" t="s">
        <v>339</v>
      </c>
      <c r="C4" s="2" t="s">
        <v>178</v>
      </c>
      <c r="D4" s="24" t="s">
        <v>340</v>
      </c>
      <c r="E4" s="24" t="s">
        <v>341</v>
      </c>
      <c r="F4" s="24" t="s">
        <v>342</v>
      </c>
      <c r="G4" s="24" t="s">
        <v>343</v>
      </c>
      <c r="H4" s="24" t="s">
        <v>344</v>
      </c>
      <c r="I4" s="24" t="s">
        <v>345</v>
      </c>
      <c r="J4" s="24" t="s">
        <v>346</v>
      </c>
      <c r="K4" s="24" t="s">
        <v>347</v>
      </c>
      <c r="L4" s="24" t="s">
        <v>348</v>
      </c>
      <c r="M4" s="24" t="s">
        <v>349</v>
      </c>
      <c r="N4" s="24" t="s">
        <v>350</v>
      </c>
      <c r="O4" s="24" t="s">
        <v>351</v>
      </c>
      <c r="P4" s="24" t="s">
        <v>352</v>
      </c>
      <c r="Q4" s="24" t="s">
        <v>353</v>
      </c>
      <c r="R4" s="24" t="s">
        <v>354</v>
      </c>
      <c r="S4" s="24" t="s">
        <v>355</v>
      </c>
      <c r="T4" s="24" t="s">
        <v>356</v>
      </c>
      <c r="U4" s="24" t="s">
        <v>357</v>
      </c>
      <c r="V4" s="24" t="s">
        <v>358</v>
      </c>
      <c r="W4" s="24" t="s">
        <v>359</v>
      </c>
      <c r="X4" s="24" t="s">
        <v>360</v>
      </c>
      <c r="Y4" s="24" t="s">
        <v>361</v>
      </c>
      <c r="Z4" s="24" t="s">
        <v>362</v>
      </c>
      <c r="AA4" s="24" t="s">
        <v>363</v>
      </c>
      <c r="AB4" s="24" t="s">
        <v>364</v>
      </c>
      <c r="AC4" s="24" t="s">
        <v>365</v>
      </c>
      <c r="AD4" s="24" t="s">
        <v>366</v>
      </c>
      <c r="AE4" s="24" t="s">
        <v>367</v>
      </c>
      <c r="AF4" s="24" t="s">
        <v>368</v>
      </c>
      <c r="AG4" s="24" t="s">
        <v>369</v>
      </c>
      <c r="AH4" s="24" t="s">
        <v>370</v>
      </c>
      <c r="AI4" s="24" t="s">
        <v>371</v>
      </c>
      <c r="AJ4" s="24" t="s">
        <v>372</v>
      </c>
      <c r="AK4" s="24" t="s">
        <v>373</v>
      </c>
      <c r="AL4" s="24" t="s">
        <v>374</v>
      </c>
      <c r="AM4" s="24" t="s">
        <v>375</v>
      </c>
      <c r="AN4" s="24" t="s">
        <v>376</v>
      </c>
      <c r="AO4" s="24" t="s">
        <v>377</v>
      </c>
      <c r="AP4" s="24" t="s">
        <v>378</v>
      </c>
      <c r="AQ4" s="24" t="s">
        <v>379</v>
      </c>
      <c r="AR4" s="24" t="s">
        <v>380</v>
      </c>
      <c r="AS4" s="24" t="s">
        <v>381</v>
      </c>
      <c r="AT4" s="24" t="s">
        <v>382</v>
      </c>
      <c r="AU4" s="24" t="s">
        <v>383</v>
      </c>
      <c r="AV4" s="24" t="s">
        <v>384</v>
      </c>
      <c r="AW4" s="24" t="s">
        <v>385</v>
      </c>
      <c r="AX4" s="24" t="s">
        <v>386</v>
      </c>
      <c r="AY4" s="24" t="s">
        <v>387</v>
      </c>
      <c r="AZ4" s="24" t="s">
        <v>388</v>
      </c>
      <c r="BA4" s="24" t="s">
        <v>389</v>
      </c>
      <c r="BB4" s="24" t="s">
        <v>390</v>
      </c>
      <c r="BC4" s="24" t="s">
        <v>391</v>
      </c>
      <c r="BD4" s="24" t="s">
        <v>392</v>
      </c>
      <c r="BE4" s="24" t="s">
        <v>393</v>
      </c>
      <c r="BF4" s="24" t="s">
        <v>394</v>
      </c>
      <c r="BG4" s="24" t="s">
        <v>395</v>
      </c>
      <c r="BH4" s="24" t="s">
        <v>396</v>
      </c>
      <c r="BI4" s="24" t="s">
        <v>397</v>
      </c>
      <c r="BJ4" s="24" t="s">
        <v>398</v>
      </c>
      <c r="BK4" s="24" t="s">
        <v>399</v>
      </c>
      <c r="BL4" s="24" t="s">
        <v>400</v>
      </c>
      <c r="BM4" s="24" t="s">
        <v>401</v>
      </c>
      <c r="BN4" s="24" t="s">
        <v>402</v>
      </c>
      <c r="BO4" s="24" t="s">
        <v>403</v>
      </c>
      <c r="BP4" s="24" t="s">
        <v>404</v>
      </c>
      <c r="BQ4" s="24" t="s">
        <v>405</v>
      </c>
      <c r="BR4" s="24" t="s">
        <v>406</v>
      </c>
    </row>
    <row r="5" customFormat="false" ht="15" hidden="false" customHeight="false" outlineLevel="0" collapsed="false">
      <c r="A5" s="3" t="s">
        <v>234</v>
      </c>
      <c r="B5" s="25" t="s">
        <v>407</v>
      </c>
      <c r="C5" s="15"/>
      <c r="D5" s="26" t="n">
        <f aca="false">'Data Des 2024'!AB5</f>
        <v>12000</v>
      </c>
      <c r="E5" s="26" t="n">
        <f aca="false">'Data Jan 2025'!AF5</f>
        <v>12000</v>
      </c>
      <c r="F5" s="26" t="n">
        <f aca="false">'Data Feb 2025'!AB5</f>
        <v>12000</v>
      </c>
      <c r="G5" s="26" t="n">
        <f aca="false">'Data Mar 2025'!AD5</f>
        <v>12000</v>
      </c>
      <c r="H5" s="26" t="n">
        <f aca="false">'Data Apr 2025'!AE5</f>
        <v>12000</v>
      </c>
      <c r="I5" s="26" t="n">
        <f aca="false">'Data Mei 2025'!AE5</f>
        <v>12000</v>
      </c>
      <c r="J5" s="26" t="n">
        <f aca="false">'Data Jun 2025'!AB5</f>
        <v>12000</v>
      </c>
      <c r="K5" s="26" t="n">
        <f aca="false">'Data Jul 2025'!AF5</f>
        <v>12391.3043478261</v>
      </c>
      <c r="L5" s="26" t="n">
        <f aca="false">'Data Agu 2025'!AB5</f>
        <v>12500</v>
      </c>
      <c r="M5" s="26" t="n">
        <f aca="false">'Data Sep 2025'!AB5</f>
        <v>12500</v>
      </c>
      <c r="N5" s="26" t="n">
        <f aca="false">'Data Okt 2025'!AF5</f>
        <v>12500</v>
      </c>
      <c r="O5" s="26" t="n">
        <f aca="false">'Data Nov 2025'!AB5</f>
        <v>12500</v>
      </c>
      <c r="P5" s="26" t="n">
        <f aca="false">'Data Jan 2025'!AA5</f>
        <v>12000</v>
      </c>
      <c r="Q5" s="26" t="n">
        <f aca="false">'Data Jan 2025'!AB5</f>
        <v>12000</v>
      </c>
      <c r="R5" s="26" t="n">
        <f aca="false">'Data Jan 2025'!AC5</f>
        <v>12000</v>
      </c>
      <c r="S5" s="26" t="n">
        <f aca="false">'Data Jan 2025'!AD5</f>
        <v>12000</v>
      </c>
      <c r="T5" s="26" t="n">
        <f aca="false">'Data Jan 2025'!AE5</f>
        <v>12000</v>
      </c>
      <c r="U5" s="26" t="n">
        <f aca="false">'Data Feb 2025'!X5</f>
        <v>12000</v>
      </c>
      <c r="V5" s="26" t="n">
        <f aca="false">'Data Feb 2025'!Y5</f>
        <v>12000</v>
      </c>
      <c r="W5" s="26" t="n">
        <f aca="false">'Data Feb 2025'!Z5</f>
        <v>12000</v>
      </c>
      <c r="X5" s="26" t="n">
        <f aca="false">'Data Feb 2025'!AA5</f>
        <v>12000</v>
      </c>
      <c r="Y5" s="26" t="n">
        <f aca="false">'Data Mar 2025'!Y5</f>
        <v>12000</v>
      </c>
      <c r="Z5" s="26" t="n">
        <f aca="false">'Data Mar 2025'!Z5</f>
        <v>12000</v>
      </c>
      <c r="AA5" s="26" t="n">
        <f aca="false">'Data Mar 2025'!AA5</f>
        <v>12000</v>
      </c>
      <c r="AB5" s="26" t="n">
        <f aca="false">'Data Mar 2025'!AB5</f>
        <v>12000</v>
      </c>
      <c r="AC5" s="26" t="str">
        <f aca="false">'Data Mar 2025'!AC5</f>
        <v/>
      </c>
      <c r="AD5" s="26" t="str">
        <f aca="false">'Data Apr 2025'!Z5</f>
        <v/>
      </c>
      <c r="AE5" s="26" t="n">
        <f aca="false">'Data Apr 2025'!AA5</f>
        <v>12000</v>
      </c>
      <c r="AF5" s="26" t="n">
        <f aca="false">'Data Apr 2025'!AB5</f>
        <v>12000</v>
      </c>
      <c r="AG5" s="26" t="n">
        <f aca="false">'Data Apr 2025'!AC5</f>
        <v>12000</v>
      </c>
      <c r="AH5" s="26" t="n">
        <f aca="false">'Data Apr 2025'!AD5</f>
        <v>12000</v>
      </c>
      <c r="AI5" s="26" t="n">
        <f aca="false">'Data Mei 2025'!Z5</f>
        <v>12000</v>
      </c>
      <c r="AJ5" s="26" t="n">
        <f aca="false">'Data Mei 2025'!AA5</f>
        <v>12000</v>
      </c>
      <c r="AK5" s="26" t="n">
        <f aca="false">'Data Mei 2025'!AB5</f>
        <v>12000</v>
      </c>
      <c r="AL5" s="26" t="n">
        <f aca="false">'Data Mei 2025'!AC5</f>
        <v>12000</v>
      </c>
      <c r="AM5" s="26" t="n">
        <f aca="false">'Data Mei 2025'!AD5</f>
        <v>12000</v>
      </c>
      <c r="AN5" s="26" t="n">
        <f aca="false">'Data Jun 2025'!X5</f>
        <v>12000</v>
      </c>
      <c r="AO5" s="26" t="n">
        <f aca="false">'Data Jun 2025'!Y5</f>
        <v>12000</v>
      </c>
      <c r="AP5" s="26" t="n">
        <f aca="false">'Data Jun 2025'!Z5</f>
        <v>12000</v>
      </c>
      <c r="AQ5" s="26" t="n">
        <f aca="false">'Data Jun 2025'!AA5</f>
        <v>12000</v>
      </c>
      <c r="AR5" s="26" t="n">
        <f aca="false">'Data Jul 2025'!AA5</f>
        <v>12000</v>
      </c>
      <c r="AS5" s="26" t="n">
        <f aca="false">'Data Jul 2025'!AB5</f>
        <v>12000</v>
      </c>
      <c r="AT5" s="26" t="n">
        <f aca="false">'Data Jul 2025'!AC5</f>
        <v>12000</v>
      </c>
      <c r="AU5" s="26" t="n">
        <f aca="false">'Data Jul 2025'!AD5</f>
        <v>13000</v>
      </c>
      <c r="AV5" s="26" t="n">
        <f aca="false">'Data Jul 2025'!AE5</f>
        <v>13000</v>
      </c>
      <c r="AW5" s="26" t="n">
        <f aca="false">'Data Agu 2025'!X5</f>
        <v>12500</v>
      </c>
      <c r="AX5" s="26" t="n">
        <f aca="false">'Data Agu 2025'!Y5</f>
        <v>12500</v>
      </c>
      <c r="AY5" s="26" t="n">
        <f aca="false">'Data Agu 2025'!Z5</f>
        <v>12500</v>
      </c>
      <c r="AZ5" s="26" t="n">
        <f aca="false">'Data Agu 2025'!AA5</f>
        <v>12500</v>
      </c>
      <c r="BA5" s="26" t="n">
        <f aca="false">'Data Sep 2025'!X5</f>
        <v>12500</v>
      </c>
      <c r="BB5" s="26" t="n">
        <f aca="false">'Data Sep 2025'!Y5</f>
        <v>12500</v>
      </c>
      <c r="BC5" s="26" t="n">
        <f aca="false">'Data Sep 2025'!Z5</f>
        <v>12500</v>
      </c>
      <c r="BD5" s="26" t="n">
        <f aca="false">'Data Sep 2025'!AA5</f>
        <v>12500</v>
      </c>
      <c r="BE5" s="26" t="n">
        <f aca="false">'Data Okt 2025'!AA5</f>
        <v>12500</v>
      </c>
      <c r="BF5" s="26" t="n">
        <f aca="false">'Data Okt 2025'!AB5</f>
        <v>12500</v>
      </c>
      <c r="BG5" s="26" t="n">
        <f aca="false">'Data Okt 2025'!AC5</f>
        <v>12500</v>
      </c>
      <c r="BH5" s="26" t="n">
        <f aca="false">'Data Okt 2025'!AD5</f>
        <v>12500</v>
      </c>
      <c r="BI5" s="26" t="n">
        <f aca="false">'Data Okt 2025'!AE5</f>
        <v>12500</v>
      </c>
      <c r="BJ5" s="26" t="n">
        <f aca="false">'Data Nov 2025'!X5</f>
        <v>12500</v>
      </c>
      <c r="BK5" s="26" t="n">
        <f aca="false">'Data Nov 2025'!Y5</f>
        <v>12500</v>
      </c>
      <c r="BL5" s="26" t="n">
        <f aca="false">'Data Nov 2025'!Z5</f>
        <v>12500</v>
      </c>
      <c r="BM5" s="26" t="n">
        <f aca="false">'Data Nov 2025'!AA5</f>
        <v>12500</v>
      </c>
      <c r="BN5" s="26" t="n">
        <f aca="false">'Data Des 2025'!AA5</f>
        <v>12500</v>
      </c>
      <c r="BO5" s="26" t="n">
        <f aca="false">'Data Des 2025'!AB5</f>
        <v>12500</v>
      </c>
      <c r="BP5" s="26" t="n">
        <f aca="false">'Data Des 2025'!AC5</f>
        <v>12500</v>
      </c>
      <c r="BQ5" s="26" t="n">
        <f aca="false">'Data Des 2025'!AD5</f>
        <v>12500</v>
      </c>
      <c r="BR5" s="26" t="n">
        <f aca="false">'Data Des 2025'!AE5</f>
        <v>12500</v>
      </c>
    </row>
    <row r="6" customFormat="false" ht="15" hidden="false" customHeight="false" outlineLevel="0" collapsed="false">
      <c r="A6" s="3" t="s">
        <v>234</v>
      </c>
      <c r="B6" s="25" t="s">
        <v>408</v>
      </c>
      <c r="C6" s="15"/>
      <c r="D6" s="26" t="n">
        <f aca="false">'Data Des 2024'!AB6</f>
        <v>13000</v>
      </c>
      <c r="E6" s="26" t="n">
        <f aca="false">'Data Jan 2025'!AF6</f>
        <v>13000</v>
      </c>
      <c r="F6" s="26" t="n">
        <f aca="false">'Data Feb 2025'!AB6</f>
        <v>13000</v>
      </c>
      <c r="G6" s="26" t="n">
        <f aca="false">'Data Mar 2025'!AD6</f>
        <v>13000</v>
      </c>
      <c r="H6" s="26" t="n">
        <f aca="false">'Data Apr 2025'!AE6</f>
        <v>13000</v>
      </c>
      <c r="I6" s="26" t="n">
        <f aca="false">'Data Mei 2025'!AE6</f>
        <v>13000</v>
      </c>
      <c r="J6" s="26" t="n">
        <f aca="false">'Data Jun 2025'!AB6</f>
        <v>13000</v>
      </c>
      <c r="K6" s="26" t="n">
        <f aca="false">'Data Jul 2025'!AF6</f>
        <v>13391.3043478261</v>
      </c>
      <c r="L6" s="26" t="n">
        <f aca="false">'Data Agu 2025'!AB6</f>
        <v>14000</v>
      </c>
      <c r="M6" s="26" t="n">
        <f aca="false">'Data Sep 2025'!AB6</f>
        <v>14000</v>
      </c>
      <c r="N6" s="26" t="n">
        <f aca="false">'Data Okt 2025'!AF6</f>
        <v>14000</v>
      </c>
      <c r="O6" s="26" t="n">
        <f aca="false">'Data Nov 2025'!AB6</f>
        <v>14000</v>
      </c>
      <c r="P6" s="26" t="n">
        <f aca="false">'Data Jan 2025'!AA6</f>
        <v>13000</v>
      </c>
      <c r="Q6" s="26" t="n">
        <f aca="false">'Data Jan 2025'!AB6</f>
        <v>13000</v>
      </c>
      <c r="R6" s="26" t="n">
        <f aca="false">'Data Jan 2025'!AC6</f>
        <v>13000</v>
      </c>
      <c r="S6" s="26" t="n">
        <f aca="false">'Data Jan 2025'!AD6</f>
        <v>13000</v>
      </c>
      <c r="T6" s="26" t="n">
        <f aca="false">'Data Jan 2025'!AE6</f>
        <v>13000</v>
      </c>
      <c r="U6" s="26" t="n">
        <f aca="false">'Data Feb 2025'!X6</f>
        <v>13000</v>
      </c>
      <c r="V6" s="26" t="n">
        <f aca="false">'Data Feb 2025'!Y6</f>
        <v>13000</v>
      </c>
      <c r="W6" s="26" t="n">
        <f aca="false">'Data Feb 2025'!Z6</f>
        <v>13000</v>
      </c>
      <c r="X6" s="26" t="n">
        <f aca="false">'Data Feb 2025'!AA6</f>
        <v>13000</v>
      </c>
      <c r="Y6" s="26" t="n">
        <f aca="false">'Data Mar 2025'!Y6</f>
        <v>13000</v>
      </c>
      <c r="Z6" s="26" t="n">
        <f aca="false">'Data Mar 2025'!Z6</f>
        <v>13000</v>
      </c>
      <c r="AA6" s="26" t="n">
        <f aca="false">'Data Mar 2025'!AA6</f>
        <v>13000</v>
      </c>
      <c r="AB6" s="26" t="n">
        <f aca="false">'Data Mar 2025'!AB6</f>
        <v>13000</v>
      </c>
      <c r="AC6" s="26" t="str">
        <f aca="false">'Data Mar 2025'!AC6</f>
        <v/>
      </c>
      <c r="AD6" s="26" t="str">
        <f aca="false">'Data Apr 2025'!Z6</f>
        <v/>
      </c>
      <c r="AE6" s="26" t="n">
        <f aca="false">'Data Apr 2025'!AA6</f>
        <v>13000</v>
      </c>
      <c r="AF6" s="26" t="n">
        <f aca="false">'Data Apr 2025'!AB6</f>
        <v>13000</v>
      </c>
      <c r="AG6" s="26" t="n">
        <f aca="false">'Data Apr 2025'!AC6</f>
        <v>13000</v>
      </c>
      <c r="AH6" s="26" t="n">
        <f aca="false">'Data Apr 2025'!AD6</f>
        <v>13000</v>
      </c>
      <c r="AI6" s="26" t="n">
        <f aca="false">'Data Mei 2025'!Z6</f>
        <v>13000</v>
      </c>
      <c r="AJ6" s="26" t="n">
        <f aca="false">'Data Mei 2025'!AA6</f>
        <v>13000</v>
      </c>
      <c r="AK6" s="26" t="n">
        <f aca="false">'Data Mei 2025'!AB6</f>
        <v>13000</v>
      </c>
      <c r="AL6" s="26" t="n">
        <f aca="false">'Data Mei 2025'!AC6</f>
        <v>13000</v>
      </c>
      <c r="AM6" s="26" t="n">
        <f aca="false">'Data Mei 2025'!AD6</f>
        <v>13000</v>
      </c>
      <c r="AN6" s="26" t="n">
        <f aca="false">'Data Jun 2025'!X6</f>
        <v>13000</v>
      </c>
      <c r="AO6" s="26" t="n">
        <f aca="false">'Data Jun 2025'!Y6</f>
        <v>13000</v>
      </c>
      <c r="AP6" s="26" t="n">
        <f aca="false">'Data Jun 2025'!Z6</f>
        <v>13000</v>
      </c>
      <c r="AQ6" s="26" t="n">
        <f aca="false">'Data Jun 2025'!AA6</f>
        <v>13000</v>
      </c>
      <c r="AR6" s="26" t="n">
        <f aca="false">'Data Jul 2025'!AA6</f>
        <v>13000</v>
      </c>
      <c r="AS6" s="26" t="n">
        <f aca="false">'Data Jul 2025'!AB6</f>
        <v>13000</v>
      </c>
      <c r="AT6" s="26" t="n">
        <f aca="false">'Data Jul 2025'!AC6</f>
        <v>13000</v>
      </c>
      <c r="AU6" s="26" t="n">
        <f aca="false">'Data Jul 2025'!AD6</f>
        <v>14000</v>
      </c>
      <c r="AV6" s="26" t="n">
        <f aca="false">'Data Jul 2025'!AE6</f>
        <v>14000</v>
      </c>
      <c r="AW6" s="26" t="n">
        <f aca="false">'Data Agu 2025'!X6</f>
        <v>14000</v>
      </c>
      <c r="AX6" s="26" t="n">
        <f aca="false">'Data Agu 2025'!Y6</f>
        <v>14000</v>
      </c>
      <c r="AY6" s="26" t="n">
        <f aca="false">'Data Agu 2025'!Z6</f>
        <v>14000</v>
      </c>
      <c r="AZ6" s="26" t="n">
        <f aca="false">'Data Agu 2025'!AA6</f>
        <v>14000</v>
      </c>
      <c r="BA6" s="26" t="n">
        <f aca="false">'Data Sep 2025'!X6</f>
        <v>14000</v>
      </c>
      <c r="BB6" s="26" t="n">
        <f aca="false">'Data Sep 2025'!Y6</f>
        <v>14000</v>
      </c>
      <c r="BC6" s="26" t="n">
        <f aca="false">'Data Sep 2025'!Z6</f>
        <v>14000</v>
      </c>
      <c r="BD6" s="26" t="n">
        <f aca="false">'Data Sep 2025'!AA6</f>
        <v>14000</v>
      </c>
      <c r="BE6" s="26" t="n">
        <f aca="false">'Data Okt 2025'!AA6</f>
        <v>14000</v>
      </c>
      <c r="BF6" s="26" t="n">
        <f aca="false">'Data Okt 2025'!AB6</f>
        <v>14000</v>
      </c>
      <c r="BG6" s="26" t="n">
        <f aca="false">'Data Okt 2025'!AC6</f>
        <v>14000</v>
      </c>
      <c r="BH6" s="26" t="n">
        <f aca="false">'Data Okt 2025'!AD6</f>
        <v>14000</v>
      </c>
      <c r="BI6" s="26" t="n">
        <f aca="false">'Data Okt 2025'!AE6</f>
        <v>14000</v>
      </c>
      <c r="BJ6" s="26" t="n">
        <f aca="false">'Data Nov 2025'!X6</f>
        <v>14000</v>
      </c>
      <c r="BK6" s="26" t="n">
        <f aca="false">'Data Nov 2025'!Y6</f>
        <v>14000</v>
      </c>
      <c r="BL6" s="26" t="n">
        <f aca="false">'Data Nov 2025'!Z6</f>
        <v>14000</v>
      </c>
      <c r="BM6" s="26" t="n">
        <f aca="false">'Data Nov 2025'!AA6</f>
        <v>14000</v>
      </c>
      <c r="BN6" s="26" t="n">
        <f aca="false">'Data Des 2025'!AA6</f>
        <v>14000</v>
      </c>
      <c r="BO6" s="26" t="n">
        <f aca="false">'Data Des 2025'!AB6</f>
        <v>14000</v>
      </c>
      <c r="BP6" s="26" t="n">
        <f aca="false">'Data Des 2025'!AC6</f>
        <v>14000</v>
      </c>
      <c r="BQ6" s="26" t="n">
        <f aca="false">'Data Des 2025'!AD6</f>
        <v>14000</v>
      </c>
      <c r="BR6" s="26" t="n">
        <f aca="false">'Data Des 2025'!AE6</f>
        <v>14000</v>
      </c>
    </row>
    <row r="7" customFormat="false" ht="15" hidden="false" customHeight="false" outlineLevel="0" collapsed="false">
      <c r="A7" s="3" t="s">
        <v>234</v>
      </c>
      <c r="B7" s="25" t="s">
        <v>409</v>
      </c>
      <c r="C7" s="15"/>
      <c r="D7" s="26" t="n">
        <f aca="false">'Data Des 2024'!AB7</f>
        <v>12500</v>
      </c>
      <c r="E7" s="26" t="n">
        <f aca="false">'Data Jan 2025'!AF7</f>
        <v>12500</v>
      </c>
      <c r="F7" s="26" t="n">
        <f aca="false">'Data Feb 2025'!AB7</f>
        <v>12500</v>
      </c>
      <c r="G7" s="26" t="n">
        <f aca="false">'Data Mar 2025'!AD7</f>
        <v>12500</v>
      </c>
      <c r="H7" s="26" t="n">
        <f aca="false">'Data Apr 2025'!AE7</f>
        <v>12500</v>
      </c>
      <c r="I7" s="26" t="str">
        <f aca="false">'Data Mei 2025'!AE7</f>
        <v/>
      </c>
      <c r="J7" s="26" t="str">
        <f aca="false">'Data Jun 2025'!AB7</f>
        <v/>
      </c>
      <c r="K7" s="26" t="n">
        <f aca="false">'Data Jul 2025'!AF7</f>
        <v>12500</v>
      </c>
      <c r="L7" s="26" t="n">
        <f aca="false">'Data Agu 2025'!AB7</f>
        <v>12500</v>
      </c>
      <c r="M7" s="26" t="n">
        <f aca="false">'Data Sep 2025'!AB7</f>
        <v>12500</v>
      </c>
      <c r="N7" s="26" t="n">
        <f aca="false">'Data Okt 2025'!AF7</f>
        <v>12500</v>
      </c>
      <c r="O7" s="26" t="n">
        <f aca="false">'Data Nov 2025'!AB7</f>
        <v>12500</v>
      </c>
      <c r="P7" s="26" t="n">
        <f aca="false">'Data Jan 2025'!AA7</f>
        <v>12500</v>
      </c>
      <c r="Q7" s="26" t="n">
        <f aca="false">'Data Jan 2025'!AB7</f>
        <v>12500</v>
      </c>
      <c r="R7" s="26" t="n">
        <f aca="false">'Data Jan 2025'!AC7</f>
        <v>12500</v>
      </c>
      <c r="S7" s="26" t="n">
        <f aca="false">'Data Jan 2025'!AD7</f>
        <v>12500</v>
      </c>
      <c r="T7" s="26" t="n">
        <f aca="false">'Data Jan 2025'!AE7</f>
        <v>12500</v>
      </c>
      <c r="U7" s="26" t="n">
        <f aca="false">'Data Feb 2025'!X7</f>
        <v>12500</v>
      </c>
      <c r="V7" s="26" t="n">
        <f aca="false">'Data Feb 2025'!Y7</f>
        <v>12500</v>
      </c>
      <c r="W7" s="26" t="str">
        <f aca="false">'Data Feb 2025'!Z7</f>
        <v/>
      </c>
      <c r="X7" s="26" t="str">
        <f aca="false">'Data Feb 2025'!AA7</f>
        <v/>
      </c>
      <c r="Y7" s="26" t="n">
        <f aca="false">'Data Mar 2025'!Y7</f>
        <v>12500</v>
      </c>
      <c r="Z7" s="26" t="n">
        <f aca="false">'Data Mar 2025'!Z7</f>
        <v>12500</v>
      </c>
      <c r="AA7" s="26" t="n">
        <f aca="false">'Data Mar 2025'!AA7</f>
        <v>12500</v>
      </c>
      <c r="AB7" s="26" t="n">
        <f aca="false">'Data Mar 2025'!AB7</f>
        <v>12500</v>
      </c>
      <c r="AC7" s="26" t="str">
        <f aca="false">'Data Mar 2025'!AC7</f>
        <v/>
      </c>
      <c r="AD7" s="26" t="str">
        <f aca="false">'Data Apr 2025'!Z7</f>
        <v/>
      </c>
      <c r="AE7" s="26" t="n">
        <f aca="false">'Data Apr 2025'!AA7</f>
        <v>12500</v>
      </c>
      <c r="AF7" s="26" t="str">
        <f aca="false">'Data Apr 2025'!AB7</f>
        <v/>
      </c>
      <c r="AG7" s="26" t="str">
        <f aca="false">'Data Apr 2025'!AC7</f>
        <v/>
      </c>
      <c r="AH7" s="26" t="str">
        <f aca="false">'Data Apr 2025'!AD7</f>
        <v/>
      </c>
      <c r="AI7" s="26" t="str">
        <f aca="false">'Data Mei 2025'!Z7</f>
        <v/>
      </c>
      <c r="AJ7" s="26" t="str">
        <f aca="false">'Data Mei 2025'!AA7</f>
        <v/>
      </c>
      <c r="AK7" s="26" t="str">
        <f aca="false">'Data Mei 2025'!AB7</f>
        <v/>
      </c>
      <c r="AL7" s="26" t="str">
        <f aca="false">'Data Mei 2025'!AC7</f>
        <v/>
      </c>
      <c r="AM7" s="26" t="str">
        <f aca="false">'Data Mei 2025'!AD7</f>
        <v/>
      </c>
      <c r="AN7" s="26" t="str">
        <f aca="false">'Data Jun 2025'!X7</f>
        <v/>
      </c>
      <c r="AO7" s="26" t="str">
        <f aca="false">'Data Jun 2025'!Y7</f>
        <v/>
      </c>
      <c r="AP7" s="26" t="str">
        <f aca="false">'Data Jun 2025'!Z7</f>
        <v/>
      </c>
      <c r="AQ7" s="26" t="str">
        <f aca="false">'Data Jun 2025'!AA7</f>
        <v/>
      </c>
      <c r="AR7" s="26" t="str">
        <f aca="false">'Data Jul 2025'!AA7</f>
        <v/>
      </c>
      <c r="AS7" s="26" t="str">
        <f aca="false">'Data Jul 2025'!AB7</f>
        <v/>
      </c>
      <c r="AT7" s="26" t="n">
        <f aca="false">'Data Jul 2025'!AC7</f>
        <v>12500</v>
      </c>
      <c r="AU7" s="26" t="n">
        <f aca="false">'Data Jul 2025'!AD7</f>
        <v>12500</v>
      </c>
      <c r="AV7" s="26" t="n">
        <f aca="false">'Data Jul 2025'!AE7</f>
        <v>12500</v>
      </c>
      <c r="AW7" s="26" t="n">
        <f aca="false">'Data Agu 2025'!X7</f>
        <v>12500</v>
      </c>
      <c r="AX7" s="26" t="n">
        <f aca="false">'Data Agu 2025'!Y7</f>
        <v>12500</v>
      </c>
      <c r="AY7" s="26" t="n">
        <f aca="false">'Data Agu 2025'!Z7</f>
        <v>12500</v>
      </c>
      <c r="AZ7" s="26" t="n">
        <f aca="false">'Data Agu 2025'!AA7</f>
        <v>12500</v>
      </c>
      <c r="BA7" s="26" t="n">
        <f aca="false">'Data Sep 2025'!X7</f>
        <v>12500</v>
      </c>
      <c r="BB7" s="26" t="n">
        <f aca="false">'Data Sep 2025'!Y7</f>
        <v>12500</v>
      </c>
      <c r="BC7" s="26" t="n">
        <f aca="false">'Data Sep 2025'!Z7</f>
        <v>12500</v>
      </c>
      <c r="BD7" s="26" t="n">
        <f aca="false">'Data Sep 2025'!AA7</f>
        <v>12500</v>
      </c>
      <c r="BE7" s="26" t="n">
        <f aca="false">'Data Okt 2025'!AA7</f>
        <v>12500</v>
      </c>
      <c r="BF7" s="26" t="n">
        <f aca="false">'Data Okt 2025'!AB7</f>
        <v>12500</v>
      </c>
      <c r="BG7" s="26" t="n">
        <f aca="false">'Data Okt 2025'!AC7</f>
        <v>12500</v>
      </c>
      <c r="BH7" s="26" t="n">
        <f aca="false">'Data Okt 2025'!AD7</f>
        <v>12500</v>
      </c>
      <c r="BI7" s="26" t="n">
        <f aca="false">'Data Okt 2025'!AE7</f>
        <v>12500</v>
      </c>
      <c r="BJ7" s="26" t="n">
        <f aca="false">'Data Nov 2025'!X7</f>
        <v>12500</v>
      </c>
      <c r="BK7" s="26" t="n">
        <f aca="false">'Data Nov 2025'!Y7</f>
        <v>12500</v>
      </c>
      <c r="BL7" s="26" t="n">
        <f aca="false">'Data Nov 2025'!Z7</f>
        <v>12500</v>
      </c>
      <c r="BM7" s="26" t="n">
        <f aca="false">'Data Nov 2025'!AA7</f>
        <v>12500</v>
      </c>
      <c r="BN7" s="26" t="n">
        <f aca="false">'Data Des 2025'!AA7</f>
        <v>12500</v>
      </c>
      <c r="BO7" s="26" t="n">
        <f aca="false">'Data Des 2025'!AB7</f>
        <v>12500</v>
      </c>
      <c r="BP7" s="26" t="n">
        <f aca="false">'Data Des 2025'!AC7</f>
        <v>12500</v>
      </c>
      <c r="BQ7" s="26" t="n">
        <f aca="false">'Data Des 2025'!AD7</f>
        <v>12500</v>
      </c>
      <c r="BR7" s="26" t="n">
        <f aca="false">'Data Des 2025'!AE7</f>
        <v>12500</v>
      </c>
    </row>
    <row r="8" customFormat="false" ht="15" hidden="false" customHeight="false" outlineLevel="0" collapsed="false">
      <c r="A8" s="3" t="s">
        <v>235</v>
      </c>
      <c r="B8" s="25" t="s">
        <v>410</v>
      </c>
      <c r="C8" s="15"/>
      <c r="D8" s="26" t="n">
        <f aca="false">'Data Des 2024'!AB17</f>
        <v>9500</v>
      </c>
      <c r="E8" s="26" t="n">
        <f aca="false">'Data Jan 2025'!AF17</f>
        <v>9157.89473684211</v>
      </c>
      <c r="F8" s="26" t="n">
        <f aca="false">'Data Feb 2025'!AB17</f>
        <v>9000</v>
      </c>
      <c r="G8" s="26" t="n">
        <f aca="false">'Data Mar 2025'!AD17</f>
        <v>9000</v>
      </c>
      <c r="H8" s="26" t="n">
        <f aca="false">'Data Apr 2025'!AE17</f>
        <v>9000</v>
      </c>
      <c r="I8" s="26" t="n">
        <f aca="false">'Data Mei 2025'!AE17</f>
        <v>9000</v>
      </c>
      <c r="J8" s="26" t="n">
        <f aca="false">'Data Jun 2025'!AB17</f>
        <v>9558.82352941176</v>
      </c>
      <c r="K8" s="26" t="n">
        <f aca="false">'Data Jul 2025'!AF17</f>
        <v>11500</v>
      </c>
      <c r="L8" s="26" t="n">
        <f aca="false">'Data Agu 2025'!AB17</f>
        <v>11000</v>
      </c>
      <c r="M8" s="26" t="n">
        <f aca="false">'Data Sep 2025'!AB17</f>
        <v>11000</v>
      </c>
      <c r="N8" s="26" t="n">
        <f aca="false">'Data Okt 2025'!AF17</f>
        <v>10826.0869565217</v>
      </c>
      <c r="O8" s="26" t="n">
        <f aca="false">'Data Nov 2025'!AB17</f>
        <v>10575</v>
      </c>
      <c r="P8" s="26" t="n">
        <f aca="false">'Data Jan 2025'!AA17</f>
        <v>9500</v>
      </c>
      <c r="Q8" s="26" t="n">
        <f aca="false">'Data Jan 2025'!AB17</f>
        <v>9400</v>
      </c>
      <c r="R8" s="26" t="n">
        <f aca="false">'Data Jan 2025'!AC17</f>
        <v>9000</v>
      </c>
      <c r="S8" s="26" t="n">
        <f aca="false">'Data Jan 2025'!AD17</f>
        <v>9000</v>
      </c>
      <c r="T8" s="26" t="n">
        <f aca="false">'Data Jan 2025'!AE17</f>
        <v>9000</v>
      </c>
      <c r="U8" s="26" t="n">
        <f aca="false">'Data Feb 2025'!X17</f>
        <v>9000</v>
      </c>
      <c r="V8" s="26" t="n">
        <f aca="false">'Data Feb 2025'!Y17</f>
        <v>9000</v>
      </c>
      <c r="W8" s="26" t="n">
        <f aca="false">'Data Feb 2025'!Z17</f>
        <v>9000</v>
      </c>
      <c r="X8" s="26" t="n">
        <f aca="false">'Data Feb 2025'!AA17</f>
        <v>9000</v>
      </c>
      <c r="Y8" s="26" t="n">
        <f aca="false">'Data Mar 2025'!Y17</f>
        <v>9000</v>
      </c>
      <c r="Z8" s="26" t="n">
        <f aca="false">'Data Mar 2025'!Z17</f>
        <v>9000</v>
      </c>
      <c r="AA8" s="26" t="n">
        <f aca="false">'Data Mar 2025'!AA17</f>
        <v>9000</v>
      </c>
      <c r="AB8" s="26" t="n">
        <f aca="false">'Data Mar 2025'!AB17</f>
        <v>9000</v>
      </c>
      <c r="AC8" s="26" t="str">
        <f aca="false">'Data Mar 2025'!AC17</f>
        <v/>
      </c>
      <c r="AD8" s="26" t="str">
        <f aca="false">'Data Apr 2025'!Z17</f>
        <v/>
      </c>
      <c r="AE8" s="26" t="n">
        <f aca="false">'Data Apr 2025'!AA17</f>
        <v>9000</v>
      </c>
      <c r="AF8" s="26" t="n">
        <f aca="false">'Data Apr 2025'!AB17</f>
        <v>9000</v>
      </c>
      <c r="AG8" s="26" t="n">
        <f aca="false">'Data Apr 2025'!AC17</f>
        <v>9000</v>
      </c>
      <c r="AH8" s="26" t="n">
        <f aca="false">'Data Apr 2025'!AD17</f>
        <v>9000</v>
      </c>
      <c r="AI8" s="26" t="n">
        <f aca="false">'Data Mei 2025'!Z17</f>
        <v>9000</v>
      </c>
      <c r="AJ8" s="26" t="n">
        <f aca="false">'Data Mei 2025'!AA17</f>
        <v>9000</v>
      </c>
      <c r="AK8" s="26" t="n">
        <f aca="false">'Data Mei 2025'!AB17</f>
        <v>9000</v>
      </c>
      <c r="AL8" s="26" t="n">
        <f aca="false">'Data Mei 2025'!AC17</f>
        <v>9000</v>
      </c>
      <c r="AM8" s="26" t="n">
        <f aca="false">'Data Mei 2025'!AD17</f>
        <v>9000</v>
      </c>
      <c r="AN8" s="26" t="n">
        <f aca="false">'Data Jun 2025'!X17</f>
        <v>9000</v>
      </c>
      <c r="AO8" s="26" t="n">
        <f aca="false">'Data Jun 2025'!Y17</f>
        <v>9000</v>
      </c>
      <c r="AP8" s="26" t="n">
        <f aca="false">'Data Jun 2025'!Z17</f>
        <v>9000</v>
      </c>
      <c r="AQ8" s="26" t="n">
        <f aca="false">'Data Jun 2025'!AA17</f>
        <v>11375</v>
      </c>
      <c r="AR8" s="26" t="n">
        <f aca="false">'Data Jul 2025'!AA17</f>
        <v>11500</v>
      </c>
      <c r="AS8" s="26" t="n">
        <f aca="false">'Data Jul 2025'!AB17</f>
        <v>11500</v>
      </c>
      <c r="AT8" s="26" t="n">
        <f aca="false">'Data Jul 2025'!AC17</f>
        <v>11500</v>
      </c>
      <c r="AU8" s="26" t="n">
        <f aca="false">'Data Jul 2025'!AD17</f>
        <v>11500</v>
      </c>
      <c r="AV8" s="26" t="n">
        <f aca="false">'Data Jul 2025'!AE17</f>
        <v>11500</v>
      </c>
      <c r="AW8" s="26" t="n">
        <f aca="false">'Data Agu 2025'!X17</f>
        <v>11000</v>
      </c>
      <c r="AX8" s="26" t="n">
        <f aca="false">'Data Agu 2025'!Y17</f>
        <v>11000</v>
      </c>
      <c r="AY8" s="26" t="n">
        <f aca="false">'Data Agu 2025'!Z17</f>
        <v>11000</v>
      </c>
      <c r="AZ8" s="26" t="n">
        <f aca="false">'Data Agu 2025'!AA17</f>
        <v>11000</v>
      </c>
      <c r="BA8" s="26" t="n">
        <f aca="false">'Data Sep 2025'!X17</f>
        <v>11000</v>
      </c>
      <c r="BB8" s="26" t="n">
        <f aca="false">'Data Sep 2025'!Y17</f>
        <v>11000</v>
      </c>
      <c r="BC8" s="26" t="n">
        <f aca="false">'Data Sep 2025'!Z17</f>
        <v>11000</v>
      </c>
      <c r="BD8" s="26" t="n">
        <f aca="false">'Data Sep 2025'!AA17</f>
        <v>11000</v>
      </c>
      <c r="BE8" s="26" t="n">
        <f aca="false">'Data Okt 2025'!AA17</f>
        <v>11000</v>
      </c>
      <c r="BF8" s="26" t="n">
        <f aca="false">'Data Okt 2025'!AB17</f>
        <v>10900</v>
      </c>
      <c r="BG8" s="26" t="n">
        <f aca="false">'Data Okt 2025'!AC17</f>
        <v>10500</v>
      </c>
      <c r="BH8" s="26" t="n">
        <f aca="false">'Data Okt 2025'!AD17</f>
        <v>10800</v>
      </c>
      <c r="BI8" s="26" t="n">
        <f aca="false">'Data Okt 2025'!AE17</f>
        <v>11000</v>
      </c>
      <c r="BJ8" s="26" t="n">
        <f aca="false">'Data Nov 2025'!X17</f>
        <v>10800</v>
      </c>
      <c r="BK8" s="26" t="n">
        <f aca="false">'Data Nov 2025'!Y17</f>
        <v>10500</v>
      </c>
      <c r="BL8" s="26" t="n">
        <f aca="false">'Data Nov 2025'!Z17</f>
        <v>10500</v>
      </c>
      <c r="BM8" s="26" t="n">
        <f aca="false">'Data Nov 2025'!AA17</f>
        <v>10500</v>
      </c>
      <c r="BN8" s="26" t="n">
        <f aca="false">'Data Des 2025'!AA17</f>
        <v>11000</v>
      </c>
      <c r="BO8" s="26" t="n">
        <f aca="false">'Data Des 2025'!AB17</f>
        <v>11000</v>
      </c>
      <c r="BP8" s="26" t="n">
        <f aca="false">'Data Des 2025'!AC17</f>
        <v>11000</v>
      </c>
      <c r="BQ8" s="26" t="n">
        <f aca="false">'Data Des 2025'!AD17</f>
        <v>11000</v>
      </c>
      <c r="BR8" s="26" t="n">
        <f aca="false">'Data Des 2025'!AE17</f>
        <v>11000</v>
      </c>
    </row>
    <row r="9" customFormat="false" ht="15" hidden="false" customHeight="false" outlineLevel="0" collapsed="false">
      <c r="A9" s="3" t="s">
        <v>236</v>
      </c>
      <c r="B9" s="25" t="s">
        <v>411</v>
      </c>
      <c r="C9" s="15"/>
      <c r="D9" s="26" t="n">
        <f aca="false">'Data Des 2024'!AB34</f>
        <v>4750</v>
      </c>
      <c r="E9" s="26" t="n">
        <f aca="false">'Data Jan 2025'!AF34</f>
        <v>4750</v>
      </c>
      <c r="F9" s="26" t="n">
        <f aca="false">'Data Feb 2025'!AB34</f>
        <v>4750</v>
      </c>
      <c r="G9" s="26" t="n">
        <f aca="false">'Data Mar 2025'!AD34</f>
        <v>4750</v>
      </c>
      <c r="H9" s="26" t="n">
        <f aca="false">'Data Apr 2025'!AE34</f>
        <v>4750</v>
      </c>
      <c r="I9" s="26" t="n">
        <f aca="false">'Data Mei 2025'!AE34</f>
        <v>4750</v>
      </c>
      <c r="J9" s="26" t="n">
        <f aca="false">'Data Jun 2025'!AB34</f>
        <v>4750</v>
      </c>
      <c r="K9" s="26" t="n">
        <f aca="false">'Data Jul 2025'!AF34</f>
        <v>4750</v>
      </c>
      <c r="L9" s="26" t="n">
        <f aca="false">'Data Agu 2025'!AB34</f>
        <v>5013.15789473684</v>
      </c>
      <c r="M9" s="26" t="n">
        <f aca="false">'Data Sep 2025'!AB34</f>
        <v>6000</v>
      </c>
      <c r="N9" s="26" t="n">
        <f aca="false">'Data Okt 2025'!AF34</f>
        <v>6000</v>
      </c>
      <c r="O9" s="26" t="n">
        <f aca="false">'Data Nov 2025'!AB34</f>
        <v>6000</v>
      </c>
      <c r="P9" s="26" t="n">
        <f aca="false">'Data Jan 2025'!AA34</f>
        <v>4750</v>
      </c>
      <c r="Q9" s="26" t="n">
        <f aca="false">'Data Jan 2025'!AB34</f>
        <v>4750</v>
      </c>
      <c r="R9" s="26" t="n">
        <f aca="false">'Data Jan 2025'!AC34</f>
        <v>4750</v>
      </c>
      <c r="S9" s="26" t="n">
        <f aca="false">'Data Jan 2025'!AD34</f>
        <v>4750</v>
      </c>
      <c r="T9" s="26" t="n">
        <f aca="false">'Data Jan 2025'!AE34</f>
        <v>4750</v>
      </c>
      <c r="U9" s="26" t="n">
        <f aca="false">'Data Feb 2025'!X34</f>
        <v>4750</v>
      </c>
      <c r="V9" s="26" t="n">
        <f aca="false">'Data Feb 2025'!Y34</f>
        <v>4750</v>
      </c>
      <c r="W9" s="26" t="n">
        <f aca="false">'Data Feb 2025'!Z34</f>
        <v>4750</v>
      </c>
      <c r="X9" s="26" t="n">
        <f aca="false">'Data Feb 2025'!AA34</f>
        <v>4750</v>
      </c>
      <c r="Y9" s="26" t="n">
        <f aca="false">'Data Mar 2025'!Y34</f>
        <v>4750</v>
      </c>
      <c r="Z9" s="26" t="n">
        <f aca="false">'Data Mar 2025'!Z34</f>
        <v>4750</v>
      </c>
      <c r="AA9" s="26" t="n">
        <f aca="false">'Data Mar 2025'!AA34</f>
        <v>4750</v>
      </c>
      <c r="AB9" s="26" t="n">
        <f aca="false">'Data Mar 2025'!AB34</f>
        <v>4750</v>
      </c>
      <c r="AC9" s="26" t="str">
        <f aca="false">'Data Mar 2025'!AC34</f>
        <v/>
      </c>
      <c r="AD9" s="26" t="str">
        <f aca="false">'Data Apr 2025'!Z34</f>
        <v/>
      </c>
      <c r="AE9" s="26" t="n">
        <f aca="false">'Data Apr 2025'!AA34</f>
        <v>4750</v>
      </c>
      <c r="AF9" s="26" t="n">
        <f aca="false">'Data Apr 2025'!AB34</f>
        <v>4750</v>
      </c>
      <c r="AG9" s="26" t="n">
        <f aca="false">'Data Apr 2025'!AC34</f>
        <v>4750</v>
      </c>
      <c r="AH9" s="26" t="n">
        <f aca="false">'Data Apr 2025'!AD34</f>
        <v>4750</v>
      </c>
      <c r="AI9" s="26" t="n">
        <f aca="false">'Data Mei 2025'!Z34</f>
        <v>4750</v>
      </c>
      <c r="AJ9" s="26" t="n">
        <f aca="false">'Data Mei 2025'!AA34</f>
        <v>4750</v>
      </c>
      <c r="AK9" s="26" t="n">
        <f aca="false">'Data Mei 2025'!AB34</f>
        <v>4750</v>
      </c>
      <c r="AL9" s="26" t="n">
        <f aca="false">'Data Mei 2025'!AC34</f>
        <v>4750</v>
      </c>
      <c r="AM9" s="26" t="n">
        <f aca="false">'Data Mei 2025'!AD34</f>
        <v>4750</v>
      </c>
      <c r="AN9" s="26" t="n">
        <f aca="false">'Data Jun 2025'!X34</f>
        <v>4750</v>
      </c>
      <c r="AO9" s="26" t="n">
        <f aca="false">'Data Jun 2025'!Y34</f>
        <v>4750</v>
      </c>
      <c r="AP9" s="26" t="n">
        <f aca="false">'Data Jun 2025'!Z34</f>
        <v>4750</v>
      </c>
      <c r="AQ9" s="26" t="n">
        <f aca="false">'Data Jun 2025'!AA34</f>
        <v>4750</v>
      </c>
      <c r="AR9" s="26" t="n">
        <f aca="false">'Data Jul 2025'!AA34</f>
        <v>4750</v>
      </c>
      <c r="AS9" s="26" t="n">
        <f aca="false">'Data Jul 2025'!AB34</f>
        <v>4750</v>
      </c>
      <c r="AT9" s="26" t="n">
        <f aca="false">'Data Jul 2025'!AC34</f>
        <v>4750</v>
      </c>
      <c r="AU9" s="26" t="n">
        <f aca="false">'Data Jul 2025'!AD34</f>
        <v>4750</v>
      </c>
      <c r="AV9" s="26" t="n">
        <f aca="false">'Data Jul 2025'!AE34</f>
        <v>4750</v>
      </c>
      <c r="AW9" s="26" t="n">
        <f aca="false">'Data Agu 2025'!X34</f>
        <v>4750</v>
      </c>
      <c r="AX9" s="26" t="n">
        <f aca="false">'Data Agu 2025'!Y34</f>
        <v>4750</v>
      </c>
      <c r="AY9" s="26" t="n">
        <f aca="false">'Data Agu 2025'!Z34</f>
        <v>4750</v>
      </c>
      <c r="AZ9" s="26" t="n">
        <f aca="false">'Data Agu 2025'!AA34</f>
        <v>5750</v>
      </c>
      <c r="BA9" s="26" t="n">
        <f aca="false">'Data Sep 2025'!X34</f>
        <v>6000</v>
      </c>
      <c r="BB9" s="26" t="n">
        <f aca="false">'Data Sep 2025'!Y34</f>
        <v>6000</v>
      </c>
      <c r="BC9" s="26" t="n">
        <f aca="false">'Data Sep 2025'!Z34</f>
        <v>6000</v>
      </c>
      <c r="BD9" s="26" t="n">
        <f aca="false">'Data Sep 2025'!AA34</f>
        <v>6000</v>
      </c>
      <c r="BE9" s="26" t="n">
        <f aca="false">'Data Okt 2025'!AA34</f>
        <v>6000</v>
      </c>
      <c r="BF9" s="26" t="n">
        <f aca="false">'Data Okt 2025'!AB34</f>
        <v>6000</v>
      </c>
      <c r="BG9" s="26" t="n">
        <f aca="false">'Data Okt 2025'!AC34</f>
        <v>6000</v>
      </c>
      <c r="BH9" s="26" t="n">
        <f aca="false">'Data Okt 2025'!AD34</f>
        <v>6000</v>
      </c>
      <c r="BI9" s="26" t="n">
        <f aca="false">'Data Okt 2025'!AE34</f>
        <v>6000</v>
      </c>
      <c r="BJ9" s="26" t="n">
        <f aca="false">'Data Nov 2025'!X34</f>
        <v>6000</v>
      </c>
      <c r="BK9" s="26" t="n">
        <f aca="false">'Data Nov 2025'!Y34</f>
        <v>6000</v>
      </c>
      <c r="BL9" s="26" t="n">
        <f aca="false">'Data Nov 2025'!Z34</f>
        <v>6000</v>
      </c>
      <c r="BM9" s="26" t="n">
        <f aca="false">'Data Nov 2025'!AA34</f>
        <v>6000</v>
      </c>
      <c r="BN9" s="26" t="n">
        <f aca="false">'Data Des 2025'!AA34</f>
        <v>6000</v>
      </c>
      <c r="BO9" s="26" t="n">
        <f aca="false">'Data Des 2025'!AB34</f>
        <v>6000</v>
      </c>
      <c r="BP9" s="26" t="n">
        <f aca="false">'Data Des 2025'!AC34</f>
        <v>6000</v>
      </c>
      <c r="BQ9" s="26" t="n">
        <f aca="false">'Data Des 2025'!AD34</f>
        <v>6000</v>
      </c>
      <c r="BR9" s="26" t="n">
        <f aca="false">'Data Des 2025'!AE34</f>
        <v>6000</v>
      </c>
    </row>
    <row r="10" customFormat="false" ht="15" hidden="false" customHeight="false" outlineLevel="0" collapsed="false">
      <c r="A10" s="3" t="s">
        <v>237</v>
      </c>
      <c r="B10" s="25" t="s">
        <v>412</v>
      </c>
      <c r="C10" s="15"/>
      <c r="D10" s="26" t="n">
        <f aca="false">'Data Des 2024'!AB18</f>
        <v>31944.4444444444</v>
      </c>
      <c r="E10" s="26" t="n">
        <f aca="false">'Data Jan 2025'!AF18</f>
        <v>29631.5789473684</v>
      </c>
      <c r="F10" s="26" t="n">
        <f aca="false">'Data Feb 2025'!AB18</f>
        <v>30157.8947368421</v>
      </c>
      <c r="G10" s="26" t="n">
        <f aca="false">'Data Mar 2025'!AD18</f>
        <v>30105.2631578947</v>
      </c>
      <c r="H10" s="26" t="n">
        <f aca="false">'Data Apr 2025'!AE18</f>
        <v>26312.5</v>
      </c>
      <c r="I10" s="26" t="n">
        <f aca="false">'Data Mei 2025'!AE18</f>
        <v>26705.8823529412</v>
      </c>
      <c r="J10" s="26" t="n">
        <f aca="false">'Data Jun 2025'!AB18</f>
        <v>25441.1764705882</v>
      </c>
      <c r="K10" s="26" t="n">
        <f aca="false">'Data Jul 2025'!AF18</f>
        <v>29000</v>
      </c>
      <c r="L10" s="26" t="n">
        <f aca="false">'Data Agu 2025'!AB18</f>
        <v>28210.5263157895</v>
      </c>
      <c r="M10" s="26" t="n">
        <f aca="false">'Data Sep 2025'!AB18</f>
        <v>27526.3157894737</v>
      </c>
      <c r="N10" s="26" t="n">
        <f aca="false">'Data Okt 2025'!AF18</f>
        <v>27086.9565217391</v>
      </c>
      <c r="O10" s="26" t="n">
        <f aca="false">'Data Nov 2025'!AB18</f>
        <v>26300</v>
      </c>
      <c r="P10" s="26" t="n">
        <f aca="false">'Data Jan 2025'!AA18</f>
        <v>33000</v>
      </c>
      <c r="Q10" s="26" t="n">
        <f aca="false">'Data Jan 2025'!AB18</f>
        <v>29800</v>
      </c>
      <c r="R10" s="26" t="n">
        <f aca="false">'Data Jan 2025'!AC18</f>
        <v>29000</v>
      </c>
      <c r="S10" s="26" t="n">
        <f aca="false">'Data Jan 2025'!AD18</f>
        <v>29000</v>
      </c>
      <c r="T10" s="26" t="n">
        <f aca="false">'Data Jan 2025'!AE18</f>
        <v>29000</v>
      </c>
      <c r="U10" s="26" t="n">
        <f aca="false">'Data Feb 2025'!X18</f>
        <v>29000</v>
      </c>
      <c r="V10" s="26" t="n">
        <f aca="false">'Data Feb 2025'!Y18</f>
        <v>30000</v>
      </c>
      <c r="W10" s="26" t="n">
        <f aca="false">'Data Feb 2025'!Z18</f>
        <v>30800</v>
      </c>
      <c r="X10" s="26" t="n">
        <f aca="false">'Data Feb 2025'!AA18</f>
        <v>31000</v>
      </c>
      <c r="Y10" s="26" t="n">
        <f aca="false">'Data Mar 2025'!Y18</f>
        <v>30600</v>
      </c>
      <c r="Z10" s="26" t="n">
        <f aca="false">'Data Mar 2025'!Z18</f>
        <v>30000</v>
      </c>
      <c r="AA10" s="26" t="n">
        <f aca="false">'Data Mar 2025'!AA18</f>
        <v>30000</v>
      </c>
      <c r="AB10" s="26" t="n">
        <f aca="false">'Data Mar 2025'!AB18</f>
        <v>29750</v>
      </c>
      <c r="AC10" s="26" t="str">
        <f aca="false">'Data Mar 2025'!AC18</f>
        <v/>
      </c>
      <c r="AD10" s="26" t="str">
        <f aca="false">'Data Apr 2025'!Z18</f>
        <v/>
      </c>
      <c r="AE10" s="26" t="n">
        <f aca="false">'Data Apr 2025'!AA18</f>
        <v>29500</v>
      </c>
      <c r="AF10" s="26" t="n">
        <f aca="false">'Data Apr 2025'!AB18</f>
        <v>25750</v>
      </c>
      <c r="AG10" s="26" t="n">
        <f aca="false">'Data Apr 2025'!AC18</f>
        <v>25000</v>
      </c>
      <c r="AH10" s="26" t="n">
        <f aca="false">'Data Apr 2025'!AD18</f>
        <v>25000</v>
      </c>
      <c r="AI10" s="26" t="n">
        <f aca="false">'Data Mei 2025'!Z18</f>
        <v>25000</v>
      </c>
      <c r="AJ10" s="26" t="n">
        <f aca="false">'Data Mei 2025'!AA18</f>
        <v>25800</v>
      </c>
      <c r="AK10" s="26" t="n">
        <f aca="false">'Data Mei 2025'!AB18</f>
        <v>27000</v>
      </c>
      <c r="AL10" s="26" t="n">
        <f aca="false">'Data Mei 2025'!AC18</f>
        <v>27000</v>
      </c>
      <c r="AM10" s="26" t="n">
        <f aca="false">'Data Mei 2025'!AD18</f>
        <v>28000</v>
      </c>
      <c r="AN10" s="26" t="n">
        <f aca="false">'Data Jun 2025'!X18</f>
        <v>29000</v>
      </c>
      <c r="AO10" s="26" t="n">
        <f aca="false">'Data Jun 2025'!Y18</f>
        <v>26875</v>
      </c>
      <c r="AP10" s="26" t="n">
        <f aca="false">'Data Jun 2025'!Z18</f>
        <v>23400</v>
      </c>
      <c r="AQ10" s="26" t="n">
        <f aca="false">'Data Jun 2025'!AA18</f>
        <v>23000</v>
      </c>
      <c r="AR10" s="26" t="n">
        <f aca="false">'Data Jul 2025'!AA18</f>
        <v>26000</v>
      </c>
      <c r="AS10" s="26" t="n">
        <f aca="false">'Data Jul 2025'!AB18</f>
        <v>30000</v>
      </c>
      <c r="AT10" s="26" t="n">
        <f aca="false">'Data Jul 2025'!AC18</f>
        <v>29200</v>
      </c>
      <c r="AU10" s="26" t="n">
        <f aca="false">'Data Jul 2025'!AD18</f>
        <v>30000</v>
      </c>
      <c r="AV10" s="26" t="n">
        <f aca="false">'Data Jul 2025'!AE18</f>
        <v>29250</v>
      </c>
      <c r="AW10" s="26" t="n">
        <f aca="false">'Data Agu 2025'!X18</f>
        <v>27000</v>
      </c>
      <c r="AX10" s="26" t="n">
        <f aca="false">'Data Agu 2025'!Y18</f>
        <v>27400</v>
      </c>
      <c r="AY10" s="26" t="n">
        <f aca="false">'Data Agu 2025'!Z18</f>
        <v>29000</v>
      </c>
      <c r="AZ10" s="26" t="n">
        <f aca="false">'Data Agu 2025'!AA18</f>
        <v>29600</v>
      </c>
      <c r="BA10" s="26" t="n">
        <f aca="false">'Data Sep 2025'!X18</f>
        <v>28500</v>
      </c>
      <c r="BB10" s="26" t="n">
        <f aca="false">'Data Sep 2025'!Y18</f>
        <v>27000</v>
      </c>
      <c r="BC10" s="26" t="n">
        <f aca="false">'Data Sep 2025'!Z18</f>
        <v>27000</v>
      </c>
      <c r="BD10" s="26" t="n">
        <f aca="false">'Data Sep 2025'!AA18</f>
        <v>27800</v>
      </c>
      <c r="BE10" s="26" t="n">
        <f aca="false">'Data Okt 2025'!AA18</f>
        <v>29000</v>
      </c>
      <c r="BF10" s="26" t="n">
        <f aca="false">'Data Okt 2025'!AB18</f>
        <v>28200</v>
      </c>
      <c r="BG10" s="26" t="n">
        <f aca="false">'Data Okt 2025'!AC18</f>
        <v>25000</v>
      </c>
      <c r="BH10" s="26" t="n">
        <f aca="false">'Data Okt 2025'!AD18</f>
        <v>26200</v>
      </c>
      <c r="BI10" s="26" t="n">
        <f aca="false">'Data Okt 2025'!AE18</f>
        <v>27800</v>
      </c>
      <c r="BJ10" s="26" t="n">
        <f aca="false">'Data Nov 2025'!X18</f>
        <v>27200</v>
      </c>
      <c r="BK10" s="26" t="n">
        <f aca="false">'Data Nov 2025'!Y18</f>
        <v>26000</v>
      </c>
      <c r="BL10" s="26" t="n">
        <f aca="false">'Data Nov 2025'!Z18</f>
        <v>26000</v>
      </c>
      <c r="BM10" s="26" t="n">
        <f aca="false">'Data Nov 2025'!AA18</f>
        <v>26000</v>
      </c>
      <c r="BN10" s="26" t="n">
        <f aca="false">'Data Des 2025'!AA18</f>
        <v>26000</v>
      </c>
      <c r="BO10" s="26" t="n">
        <f aca="false">'Data Des 2025'!AB18</f>
        <v>25600</v>
      </c>
      <c r="BP10" s="26" t="n">
        <f aca="false">'Data Des 2025'!AC18</f>
        <v>24400</v>
      </c>
      <c r="BQ10" s="26" t="n">
        <f aca="false">'Data Des 2025'!AD18</f>
        <v>25500</v>
      </c>
      <c r="BR10" s="26" t="n">
        <f aca="false">'Data Des 2025'!AE18</f>
        <v>26000</v>
      </c>
    </row>
    <row r="11" customFormat="false" ht="15" hidden="false" customHeight="false" outlineLevel="0" collapsed="false">
      <c r="A11" s="3" t="s">
        <v>238</v>
      </c>
      <c r="B11" s="25" t="s">
        <v>413</v>
      </c>
      <c r="C11" s="15"/>
      <c r="D11" s="26" t="n">
        <f aca="false">'Data Des 2024'!AB14</f>
        <v>15750</v>
      </c>
      <c r="E11" s="26" t="n">
        <f aca="false">'Data Jan 2025'!AF14</f>
        <v>15750</v>
      </c>
      <c r="F11" s="26" t="n">
        <f aca="false">'Data Feb 2025'!AB14</f>
        <v>15750</v>
      </c>
      <c r="G11" s="26" t="n">
        <f aca="false">'Data Mar 2025'!AD14</f>
        <v>15750</v>
      </c>
      <c r="H11" s="26" t="n">
        <f aca="false">'Data Apr 2025'!AE14</f>
        <v>15609.375</v>
      </c>
      <c r="I11" s="26" t="n">
        <f aca="false">'Data Mei 2025'!AE14</f>
        <v>15000</v>
      </c>
      <c r="J11" s="26" t="n">
        <f aca="false">'Data Jun 2025'!AB14</f>
        <v>15000</v>
      </c>
      <c r="K11" s="26" t="n">
        <f aca="false">'Data Jul 2025'!AF14</f>
        <v>15000</v>
      </c>
      <c r="L11" s="26" t="n">
        <f aca="false">'Data Agu 2025'!AB14</f>
        <v>15000</v>
      </c>
      <c r="M11" s="26" t="n">
        <f aca="false">'Data Sep 2025'!AB14</f>
        <v>15000</v>
      </c>
      <c r="N11" s="26" t="n">
        <f aca="false">'Data Okt 2025'!AF14</f>
        <v>15000</v>
      </c>
      <c r="O11" s="26" t="n">
        <f aca="false">'Data Nov 2025'!AB14</f>
        <v>15000</v>
      </c>
      <c r="P11" s="26" t="n">
        <f aca="false">'Data Jan 2025'!AA14</f>
        <v>15750</v>
      </c>
      <c r="Q11" s="26" t="n">
        <f aca="false">'Data Jan 2025'!AB14</f>
        <v>15750</v>
      </c>
      <c r="R11" s="26" t="n">
        <f aca="false">'Data Jan 2025'!AC14</f>
        <v>15750</v>
      </c>
      <c r="S11" s="26" t="n">
        <f aca="false">'Data Jan 2025'!AD14</f>
        <v>15750</v>
      </c>
      <c r="T11" s="26" t="n">
        <f aca="false">'Data Jan 2025'!AE14</f>
        <v>15750</v>
      </c>
      <c r="U11" s="26" t="n">
        <f aca="false">'Data Feb 2025'!X14</f>
        <v>15750</v>
      </c>
      <c r="V11" s="26" t="n">
        <f aca="false">'Data Feb 2025'!Y14</f>
        <v>15750</v>
      </c>
      <c r="W11" s="26" t="n">
        <f aca="false">'Data Feb 2025'!Z14</f>
        <v>15750</v>
      </c>
      <c r="X11" s="26" t="n">
        <f aca="false">'Data Feb 2025'!AA14</f>
        <v>15750</v>
      </c>
      <c r="Y11" s="26" t="n">
        <f aca="false">'Data Mar 2025'!Y14</f>
        <v>15750</v>
      </c>
      <c r="Z11" s="26" t="n">
        <f aca="false">'Data Mar 2025'!Z14</f>
        <v>15750</v>
      </c>
      <c r="AA11" s="26" t="n">
        <f aca="false">'Data Mar 2025'!AA14</f>
        <v>15750</v>
      </c>
      <c r="AB11" s="26" t="n">
        <f aca="false">'Data Mar 2025'!AB14</f>
        <v>15750</v>
      </c>
      <c r="AC11" s="26" t="str">
        <f aca="false">'Data Mar 2025'!AC14</f>
        <v/>
      </c>
      <c r="AD11" s="26" t="str">
        <f aca="false">'Data Apr 2025'!Z14</f>
        <v/>
      </c>
      <c r="AE11" s="26" t="n">
        <f aca="false">'Data Apr 2025'!AA14</f>
        <v>15750</v>
      </c>
      <c r="AF11" s="26" t="n">
        <f aca="false">'Data Apr 2025'!AB14</f>
        <v>15750</v>
      </c>
      <c r="AG11" s="26" t="n">
        <f aca="false">'Data Apr 2025'!AC14</f>
        <v>15750</v>
      </c>
      <c r="AH11" s="26" t="n">
        <f aca="false">'Data Apr 2025'!AD14</f>
        <v>15000</v>
      </c>
      <c r="AI11" s="26" t="n">
        <f aca="false">'Data Mei 2025'!Z14</f>
        <v>15000</v>
      </c>
      <c r="AJ11" s="26" t="n">
        <f aca="false">'Data Mei 2025'!AA14</f>
        <v>15000</v>
      </c>
      <c r="AK11" s="26" t="n">
        <f aca="false">'Data Mei 2025'!AB14</f>
        <v>15000</v>
      </c>
      <c r="AL11" s="26" t="n">
        <f aca="false">'Data Mei 2025'!AC14</f>
        <v>15000</v>
      </c>
      <c r="AM11" s="26" t="n">
        <f aca="false">'Data Mei 2025'!AD14</f>
        <v>15000</v>
      </c>
      <c r="AN11" s="26" t="n">
        <f aca="false">'Data Jun 2025'!X14</f>
        <v>15000</v>
      </c>
      <c r="AO11" s="26" t="n">
        <f aca="false">'Data Jun 2025'!Y14</f>
        <v>15000</v>
      </c>
      <c r="AP11" s="26" t="n">
        <f aca="false">'Data Jun 2025'!Z14</f>
        <v>15000</v>
      </c>
      <c r="AQ11" s="26" t="n">
        <f aca="false">'Data Jun 2025'!AA14</f>
        <v>15000</v>
      </c>
      <c r="AR11" s="26" t="n">
        <f aca="false">'Data Jul 2025'!AA14</f>
        <v>15000</v>
      </c>
      <c r="AS11" s="26" t="n">
        <f aca="false">'Data Jul 2025'!AB14</f>
        <v>15000</v>
      </c>
      <c r="AT11" s="26" t="n">
        <f aca="false">'Data Jul 2025'!AC14</f>
        <v>15000</v>
      </c>
      <c r="AU11" s="26" t="n">
        <f aca="false">'Data Jul 2025'!AD14</f>
        <v>15000</v>
      </c>
      <c r="AV11" s="26" t="n">
        <f aca="false">'Data Jul 2025'!AE14</f>
        <v>15000</v>
      </c>
      <c r="AW11" s="26" t="n">
        <f aca="false">'Data Agu 2025'!X14</f>
        <v>15000</v>
      </c>
      <c r="AX11" s="26" t="n">
        <f aca="false">'Data Agu 2025'!Y14</f>
        <v>15000</v>
      </c>
      <c r="AY11" s="26" t="n">
        <f aca="false">'Data Agu 2025'!Z14</f>
        <v>15000</v>
      </c>
      <c r="AZ11" s="26" t="n">
        <f aca="false">'Data Agu 2025'!AA14</f>
        <v>15000</v>
      </c>
      <c r="BA11" s="26" t="n">
        <f aca="false">'Data Sep 2025'!X14</f>
        <v>15000</v>
      </c>
      <c r="BB11" s="26" t="n">
        <f aca="false">'Data Sep 2025'!Y14</f>
        <v>15000</v>
      </c>
      <c r="BC11" s="26" t="n">
        <f aca="false">'Data Sep 2025'!Z14</f>
        <v>15000</v>
      </c>
      <c r="BD11" s="26" t="n">
        <f aca="false">'Data Sep 2025'!AA14</f>
        <v>15000</v>
      </c>
      <c r="BE11" s="26" t="n">
        <f aca="false">'Data Okt 2025'!AA14</f>
        <v>15000</v>
      </c>
      <c r="BF11" s="26" t="n">
        <f aca="false">'Data Okt 2025'!AB14</f>
        <v>15000</v>
      </c>
      <c r="BG11" s="26" t="n">
        <f aca="false">'Data Okt 2025'!AC14</f>
        <v>15000</v>
      </c>
      <c r="BH11" s="26" t="n">
        <f aca="false">'Data Okt 2025'!AD14</f>
        <v>15000</v>
      </c>
      <c r="BI11" s="26" t="n">
        <f aca="false">'Data Okt 2025'!AE14</f>
        <v>15000</v>
      </c>
      <c r="BJ11" s="26" t="n">
        <f aca="false">'Data Nov 2025'!X14</f>
        <v>15000</v>
      </c>
      <c r="BK11" s="26" t="n">
        <f aca="false">'Data Nov 2025'!Y14</f>
        <v>15000</v>
      </c>
      <c r="BL11" s="26" t="n">
        <f aca="false">'Data Nov 2025'!Z14</f>
        <v>15000</v>
      </c>
      <c r="BM11" s="26" t="n">
        <f aca="false">'Data Nov 2025'!AA14</f>
        <v>15000</v>
      </c>
      <c r="BN11" s="26" t="n">
        <f aca="false">'Data Des 2025'!AA14</f>
        <v>15000</v>
      </c>
      <c r="BO11" s="26" t="n">
        <f aca="false">'Data Des 2025'!AB14</f>
        <v>15000</v>
      </c>
      <c r="BP11" s="26" t="n">
        <f aca="false">'Data Des 2025'!AC14</f>
        <v>15000</v>
      </c>
      <c r="BQ11" s="26" t="n">
        <f aca="false">'Data Des 2025'!AD14</f>
        <v>15000</v>
      </c>
      <c r="BR11" s="26" t="n">
        <f aca="false">'Data Des 2025'!AE14</f>
        <v>15000</v>
      </c>
    </row>
    <row r="12" customFormat="false" ht="15" hidden="false" customHeight="false" outlineLevel="0" collapsed="false">
      <c r="A12" s="3" t="s">
        <v>238</v>
      </c>
      <c r="B12" s="25" t="s">
        <v>414</v>
      </c>
      <c r="C12" s="15"/>
      <c r="D12" s="26" t="n">
        <f aca="false">'Data Des 2024'!AB15</f>
        <v>18000</v>
      </c>
      <c r="E12" s="26" t="n">
        <f aca="false">'Data Jan 2025'!AF15</f>
        <v>18000</v>
      </c>
      <c r="F12" s="26" t="n">
        <f aca="false">'Data Feb 2025'!AB15</f>
        <v>18000</v>
      </c>
      <c r="G12" s="26" t="n">
        <f aca="false">'Data Mar 2025'!AD15</f>
        <v>18000</v>
      </c>
      <c r="H12" s="26" t="n">
        <f aca="false">'Data Apr 2025'!AE15</f>
        <v>18000</v>
      </c>
      <c r="I12" s="26" t="n">
        <f aca="false">'Data Mei 2025'!AE15</f>
        <v>18000</v>
      </c>
      <c r="J12" s="26" t="n">
        <f aca="false">'Data Jun 2025'!AB15</f>
        <v>18000</v>
      </c>
      <c r="K12" s="26" t="n">
        <f aca="false">'Data Jul 2025'!AF15</f>
        <v>18000</v>
      </c>
      <c r="L12" s="26" t="n">
        <f aca="false">'Data Agu 2025'!AB15</f>
        <v>18000</v>
      </c>
      <c r="M12" s="26" t="n">
        <f aca="false">'Data Sep 2025'!AB15</f>
        <v>18000</v>
      </c>
      <c r="N12" s="26" t="n">
        <f aca="false">'Data Okt 2025'!AF15</f>
        <v>18000</v>
      </c>
      <c r="O12" s="26" t="n">
        <f aca="false">'Data Nov 2025'!AB15</f>
        <v>18000</v>
      </c>
      <c r="P12" s="26" t="n">
        <f aca="false">'Data Jan 2025'!AA15</f>
        <v>18000</v>
      </c>
      <c r="Q12" s="26" t="n">
        <f aca="false">'Data Jan 2025'!AB15</f>
        <v>18000</v>
      </c>
      <c r="R12" s="26" t="n">
        <f aca="false">'Data Jan 2025'!AC15</f>
        <v>18000</v>
      </c>
      <c r="S12" s="26" t="n">
        <f aca="false">'Data Jan 2025'!AD15</f>
        <v>18000</v>
      </c>
      <c r="T12" s="26" t="n">
        <f aca="false">'Data Jan 2025'!AE15</f>
        <v>18000</v>
      </c>
      <c r="U12" s="26" t="n">
        <f aca="false">'Data Feb 2025'!X15</f>
        <v>18000</v>
      </c>
      <c r="V12" s="26" t="n">
        <f aca="false">'Data Feb 2025'!Y15</f>
        <v>18000</v>
      </c>
      <c r="W12" s="26" t="n">
        <f aca="false">'Data Feb 2025'!Z15</f>
        <v>18000</v>
      </c>
      <c r="X12" s="26" t="n">
        <f aca="false">'Data Feb 2025'!AA15</f>
        <v>18000</v>
      </c>
      <c r="Y12" s="26" t="n">
        <f aca="false">'Data Mar 2025'!Y15</f>
        <v>18000</v>
      </c>
      <c r="Z12" s="26" t="n">
        <f aca="false">'Data Mar 2025'!Z15</f>
        <v>18000</v>
      </c>
      <c r="AA12" s="26" t="n">
        <f aca="false">'Data Mar 2025'!AA15</f>
        <v>18000</v>
      </c>
      <c r="AB12" s="26" t="n">
        <f aca="false">'Data Mar 2025'!AB15</f>
        <v>18000</v>
      </c>
      <c r="AC12" s="26" t="str">
        <f aca="false">'Data Mar 2025'!AC15</f>
        <v/>
      </c>
      <c r="AD12" s="26" t="str">
        <f aca="false">'Data Apr 2025'!Z15</f>
        <v/>
      </c>
      <c r="AE12" s="26" t="n">
        <f aca="false">'Data Apr 2025'!AA15</f>
        <v>18000</v>
      </c>
      <c r="AF12" s="26" t="n">
        <f aca="false">'Data Apr 2025'!AB15</f>
        <v>18000</v>
      </c>
      <c r="AG12" s="26" t="n">
        <f aca="false">'Data Apr 2025'!AC15</f>
        <v>18000</v>
      </c>
      <c r="AH12" s="26" t="n">
        <f aca="false">'Data Apr 2025'!AD15</f>
        <v>18000</v>
      </c>
      <c r="AI12" s="26" t="n">
        <f aca="false">'Data Mei 2025'!Z15</f>
        <v>18000</v>
      </c>
      <c r="AJ12" s="26" t="n">
        <f aca="false">'Data Mei 2025'!AA15</f>
        <v>18000</v>
      </c>
      <c r="AK12" s="26" t="n">
        <f aca="false">'Data Mei 2025'!AB15</f>
        <v>18000</v>
      </c>
      <c r="AL12" s="26" t="n">
        <f aca="false">'Data Mei 2025'!AC15</f>
        <v>18000</v>
      </c>
      <c r="AM12" s="26" t="n">
        <f aca="false">'Data Mei 2025'!AD15</f>
        <v>18000</v>
      </c>
      <c r="AN12" s="26" t="n">
        <f aca="false">'Data Jun 2025'!X15</f>
        <v>18000</v>
      </c>
      <c r="AO12" s="26" t="n">
        <f aca="false">'Data Jun 2025'!Y15</f>
        <v>18000</v>
      </c>
      <c r="AP12" s="26" t="n">
        <f aca="false">'Data Jun 2025'!Z15</f>
        <v>18000</v>
      </c>
      <c r="AQ12" s="26" t="n">
        <f aca="false">'Data Jun 2025'!AA15</f>
        <v>18000</v>
      </c>
      <c r="AR12" s="26" t="n">
        <f aca="false">'Data Jul 2025'!AA15</f>
        <v>18000</v>
      </c>
      <c r="AS12" s="26" t="n">
        <f aca="false">'Data Jul 2025'!AB15</f>
        <v>18000</v>
      </c>
      <c r="AT12" s="26" t="n">
        <f aca="false">'Data Jul 2025'!AC15</f>
        <v>18000</v>
      </c>
      <c r="AU12" s="26" t="n">
        <f aca="false">'Data Jul 2025'!AD15</f>
        <v>18000</v>
      </c>
      <c r="AV12" s="26" t="n">
        <f aca="false">'Data Jul 2025'!AE15</f>
        <v>18000</v>
      </c>
      <c r="AW12" s="26" t="n">
        <f aca="false">'Data Agu 2025'!X15</f>
        <v>18000</v>
      </c>
      <c r="AX12" s="26" t="n">
        <f aca="false">'Data Agu 2025'!Y15</f>
        <v>18000</v>
      </c>
      <c r="AY12" s="26" t="n">
        <f aca="false">'Data Agu 2025'!Z15</f>
        <v>18000</v>
      </c>
      <c r="AZ12" s="26" t="n">
        <f aca="false">'Data Agu 2025'!AA15</f>
        <v>18000</v>
      </c>
      <c r="BA12" s="26" t="n">
        <f aca="false">'Data Sep 2025'!X15</f>
        <v>18000</v>
      </c>
      <c r="BB12" s="26" t="n">
        <f aca="false">'Data Sep 2025'!Y15</f>
        <v>18000</v>
      </c>
      <c r="BC12" s="26" t="n">
        <f aca="false">'Data Sep 2025'!Z15</f>
        <v>18000</v>
      </c>
      <c r="BD12" s="26" t="n">
        <f aca="false">'Data Sep 2025'!AA15</f>
        <v>18000</v>
      </c>
      <c r="BE12" s="26" t="n">
        <f aca="false">'Data Okt 2025'!AA15</f>
        <v>18000</v>
      </c>
      <c r="BF12" s="26" t="n">
        <f aca="false">'Data Okt 2025'!AB15</f>
        <v>18000</v>
      </c>
      <c r="BG12" s="26" t="n">
        <f aca="false">'Data Okt 2025'!AC15</f>
        <v>18000</v>
      </c>
      <c r="BH12" s="26" t="n">
        <f aca="false">'Data Okt 2025'!AD15</f>
        <v>18000</v>
      </c>
      <c r="BI12" s="26" t="n">
        <f aca="false">'Data Okt 2025'!AE15</f>
        <v>18000</v>
      </c>
      <c r="BJ12" s="26" t="n">
        <f aca="false">'Data Nov 2025'!X15</f>
        <v>18000</v>
      </c>
      <c r="BK12" s="26" t="n">
        <f aca="false">'Data Nov 2025'!Y15</f>
        <v>18000</v>
      </c>
      <c r="BL12" s="26" t="n">
        <f aca="false">'Data Nov 2025'!Z15</f>
        <v>18000</v>
      </c>
      <c r="BM12" s="26" t="n">
        <f aca="false">'Data Nov 2025'!AA15</f>
        <v>18000</v>
      </c>
      <c r="BN12" s="26" t="n">
        <f aca="false">'Data Des 2025'!AA15</f>
        <v>18000</v>
      </c>
      <c r="BO12" s="26" t="n">
        <f aca="false">'Data Des 2025'!AB15</f>
        <v>18000</v>
      </c>
      <c r="BP12" s="26" t="n">
        <f aca="false">'Data Des 2025'!AC15</f>
        <v>18000</v>
      </c>
      <c r="BQ12" s="26" t="n">
        <f aca="false">'Data Des 2025'!AD15</f>
        <v>18000</v>
      </c>
      <c r="BR12" s="26" t="n">
        <f aca="false">'Data Des 2025'!AE15</f>
        <v>18000</v>
      </c>
    </row>
    <row r="13" customFormat="false" ht="15" hidden="false" customHeight="false" outlineLevel="0" collapsed="false">
      <c r="A13" s="3" t="s">
        <v>238</v>
      </c>
      <c r="B13" s="25" t="s">
        <v>415</v>
      </c>
      <c r="C13" s="15"/>
      <c r="D13" s="26" t="n">
        <f aca="false">'Data Des 2024'!AB16</f>
        <v>15166.6666666667</v>
      </c>
      <c r="E13" s="26" t="n">
        <f aca="false">'Data Jan 2025'!AF16</f>
        <v>15000</v>
      </c>
      <c r="F13" s="26" t="n">
        <f aca="false">'Data Feb 2025'!AB16</f>
        <v>15368.4210526316</v>
      </c>
      <c r="G13" s="26" t="n">
        <f aca="false">'Data Mar 2025'!AD16</f>
        <v>15500</v>
      </c>
      <c r="H13" s="26" t="n">
        <f aca="false">'Data Apr 2025'!AE16</f>
        <v>15500</v>
      </c>
      <c r="I13" s="26" t="n">
        <f aca="false">'Data Mei 2025'!AE16</f>
        <v>15558.8235294118</v>
      </c>
      <c r="J13" s="26" t="n">
        <f aca="false">'Data Jun 2025'!AB16</f>
        <v>15911.7647058824</v>
      </c>
      <c r="K13" s="26" t="n">
        <f aca="false">'Data Jul 2025'!AF16</f>
        <v>15700</v>
      </c>
      <c r="L13" s="26" t="n">
        <f aca="false">'Data Agu 2025'!AB16</f>
        <v>15700</v>
      </c>
      <c r="M13" s="26" t="n">
        <f aca="false">'Data Sep 2025'!AB16</f>
        <v>15700</v>
      </c>
      <c r="N13" s="26" t="n">
        <f aca="false">'Data Okt 2025'!AF16</f>
        <v>15700</v>
      </c>
      <c r="O13" s="26" t="n">
        <f aca="false">'Data Nov 2025'!AB16</f>
        <v>15700</v>
      </c>
      <c r="P13" s="26" t="n">
        <f aca="false">'Data Jan 2025'!AA16</f>
        <v>15000</v>
      </c>
      <c r="Q13" s="26" t="n">
        <f aca="false">'Data Jan 2025'!AB16</f>
        <v>15000</v>
      </c>
      <c r="R13" s="26" t="n">
        <f aca="false">'Data Jan 2025'!AC16</f>
        <v>15000</v>
      </c>
      <c r="S13" s="26" t="n">
        <f aca="false">'Data Jan 2025'!AD16</f>
        <v>15000</v>
      </c>
      <c r="T13" s="26" t="n">
        <f aca="false">'Data Jan 2025'!AE16</f>
        <v>15000</v>
      </c>
      <c r="U13" s="26" t="n">
        <f aca="false">'Data Feb 2025'!X16</f>
        <v>15000</v>
      </c>
      <c r="V13" s="26" t="n">
        <f aca="false">'Data Feb 2025'!Y16</f>
        <v>15500</v>
      </c>
      <c r="W13" s="26" t="n">
        <f aca="false">'Data Feb 2025'!Z16</f>
        <v>15500</v>
      </c>
      <c r="X13" s="26" t="n">
        <f aca="false">'Data Feb 2025'!AA16</f>
        <v>15500</v>
      </c>
      <c r="Y13" s="26" t="n">
        <f aca="false">'Data Mar 2025'!Y16</f>
        <v>15500</v>
      </c>
      <c r="Z13" s="26" t="n">
        <f aca="false">'Data Mar 2025'!Z16</f>
        <v>15500</v>
      </c>
      <c r="AA13" s="26" t="n">
        <f aca="false">'Data Mar 2025'!AA16</f>
        <v>15500</v>
      </c>
      <c r="AB13" s="26" t="n">
        <f aca="false">'Data Mar 2025'!AB16</f>
        <v>15500</v>
      </c>
      <c r="AC13" s="26" t="str">
        <f aca="false">'Data Mar 2025'!AC16</f>
        <v/>
      </c>
      <c r="AD13" s="26" t="str">
        <f aca="false">'Data Apr 2025'!Z16</f>
        <v/>
      </c>
      <c r="AE13" s="26" t="n">
        <f aca="false">'Data Apr 2025'!AA16</f>
        <v>15500</v>
      </c>
      <c r="AF13" s="26" t="n">
        <f aca="false">'Data Apr 2025'!AB16</f>
        <v>15500</v>
      </c>
      <c r="AG13" s="26" t="n">
        <f aca="false">'Data Apr 2025'!AC16</f>
        <v>15500</v>
      </c>
      <c r="AH13" s="26" t="n">
        <f aca="false">'Data Apr 2025'!AD16</f>
        <v>15500</v>
      </c>
      <c r="AI13" s="26" t="n">
        <f aca="false">'Data Mei 2025'!Z16</f>
        <v>15500</v>
      </c>
      <c r="AJ13" s="26" t="n">
        <f aca="false">'Data Mei 2025'!AA16</f>
        <v>15500</v>
      </c>
      <c r="AK13" s="26" t="n">
        <f aca="false">'Data Mei 2025'!AB16</f>
        <v>15500</v>
      </c>
      <c r="AL13" s="26" t="n">
        <f aca="false">'Data Mei 2025'!AC16</f>
        <v>15500</v>
      </c>
      <c r="AM13" s="26" t="n">
        <f aca="false">'Data Mei 2025'!AD16</f>
        <v>15833.3333333333</v>
      </c>
      <c r="AN13" s="26" t="n">
        <f aca="false">'Data Jun 2025'!X16</f>
        <v>16000</v>
      </c>
      <c r="AO13" s="26" t="n">
        <f aca="false">'Data Jun 2025'!Y16</f>
        <v>16000</v>
      </c>
      <c r="AP13" s="26" t="n">
        <f aca="false">'Data Jun 2025'!Z16</f>
        <v>15940</v>
      </c>
      <c r="AQ13" s="26" t="n">
        <f aca="false">'Data Jun 2025'!AA16</f>
        <v>15700</v>
      </c>
      <c r="AR13" s="26" t="n">
        <f aca="false">'Data Jul 2025'!AA16</f>
        <v>15700</v>
      </c>
      <c r="AS13" s="26" t="n">
        <f aca="false">'Data Jul 2025'!AB16</f>
        <v>15700</v>
      </c>
      <c r="AT13" s="26" t="n">
        <f aca="false">'Data Jul 2025'!AC16</f>
        <v>15700</v>
      </c>
      <c r="AU13" s="26" t="n">
        <f aca="false">'Data Jul 2025'!AD16</f>
        <v>15700</v>
      </c>
      <c r="AV13" s="26" t="n">
        <f aca="false">'Data Jul 2025'!AE16</f>
        <v>15700</v>
      </c>
      <c r="AW13" s="26" t="n">
        <f aca="false">'Data Agu 2025'!X16</f>
        <v>15700</v>
      </c>
      <c r="AX13" s="26" t="n">
        <f aca="false">'Data Agu 2025'!Y16</f>
        <v>15700</v>
      </c>
      <c r="AY13" s="26" t="n">
        <f aca="false">'Data Agu 2025'!Z16</f>
        <v>15700</v>
      </c>
      <c r="AZ13" s="26" t="n">
        <f aca="false">'Data Agu 2025'!AA16</f>
        <v>15700</v>
      </c>
      <c r="BA13" s="26" t="n">
        <f aca="false">'Data Sep 2025'!X16</f>
        <v>15700</v>
      </c>
      <c r="BB13" s="26" t="n">
        <f aca="false">'Data Sep 2025'!Y16</f>
        <v>15700</v>
      </c>
      <c r="BC13" s="26" t="n">
        <f aca="false">'Data Sep 2025'!Z16</f>
        <v>15700</v>
      </c>
      <c r="BD13" s="26" t="n">
        <f aca="false">'Data Sep 2025'!AA16</f>
        <v>15700</v>
      </c>
      <c r="BE13" s="26" t="n">
        <f aca="false">'Data Okt 2025'!AA16</f>
        <v>15700</v>
      </c>
      <c r="BF13" s="26" t="n">
        <f aca="false">'Data Okt 2025'!AB16</f>
        <v>15700</v>
      </c>
      <c r="BG13" s="26" t="n">
        <f aca="false">'Data Okt 2025'!AC16</f>
        <v>15700</v>
      </c>
      <c r="BH13" s="26" t="n">
        <f aca="false">'Data Okt 2025'!AD16</f>
        <v>15700</v>
      </c>
      <c r="BI13" s="26" t="n">
        <f aca="false">'Data Okt 2025'!AE16</f>
        <v>15700</v>
      </c>
      <c r="BJ13" s="26" t="n">
        <f aca="false">'Data Nov 2025'!X16</f>
        <v>15700</v>
      </c>
      <c r="BK13" s="26" t="n">
        <f aca="false">'Data Nov 2025'!Y16</f>
        <v>15700</v>
      </c>
      <c r="BL13" s="26" t="n">
        <f aca="false">'Data Nov 2025'!Z16</f>
        <v>15700</v>
      </c>
      <c r="BM13" s="26" t="n">
        <f aca="false">'Data Nov 2025'!AA16</f>
        <v>15700</v>
      </c>
      <c r="BN13" s="26" t="n">
        <f aca="false">'Data Des 2025'!AA16</f>
        <v>15700</v>
      </c>
      <c r="BO13" s="26" t="n">
        <f aca="false">'Data Des 2025'!AB16</f>
        <v>15700</v>
      </c>
      <c r="BP13" s="26" t="n">
        <f aca="false">'Data Des 2025'!AC16</f>
        <v>15700</v>
      </c>
      <c r="BQ13" s="26" t="n">
        <f aca="false">'Data Des 2025'!AD16</f>
        <v>15700</v>
      </c>
      <c r="BR13" s="26" t="n">
        <f aca="false">'Data Des 2025'!AE16</f>
        <v>15700</v>
      </c>
    </row>
    <row r="14" customFormat="false" ht="15" hidden="false" customHeight="false" outlineLevel="0" collapsed="false">
      <c r="A14" s="3" t="s">
        <v>239</v>
      </c>
      <c r="B14" s="25" t="s">
        <v>416</v>
      </c>
      <c r="C14" s="15" t="s">
        <v>240</v>
      </c>
      <c r="D14" s="26" t="n">
        <f aca="false">'Data Des 2024'!AB35</f>
        <v>68000</v>
      </c>
      <c r="E14" s="26" t="n">
        <f aca="false">'Data Jan 2025'!AF35</f>
        <v>68000</v>
      </c>
      <c r="F14" s="26" t="n">
        <f aca="false">'Data Feb 2025'!AB35</f>
        <v>68000</v>
      </c>
      <c r="G14" s="26" t="n">
        <f aca="false">'Data Mar 2025'!AD35</f>
        <v>65315.7894736842</v>
      </c>
      <c r="H14" s="26" t="n">
        <f aca="false">'Data Apr 2025'!AE35</f>
        <v>61250</v>
      </c>
      <c r="I14" s="26" t="n">
        <f aca="false">'Data Mei 2025'!AE35</f>
        <v>60000</v>
      </c>
      <c r="J14" s="26" t="n">
        <f aca="false">'Data Jun 2025'!AB35</f>
        <v>58588.2352941177</v>
      </c>
      <c r="K14" s="26" t="n">
        <f aca="false">'Data Jul 2025'!AF35</f>
        <v>58000</v>
      </c>
      <c r="L14" s="26" t="n">
        <f aca="false">'Data Agu 2025'!AB35</f>
        <v>59526.3157894737</v>
      </c>
      <c r="M14" s="26" t="n">
        <f aca="false">'Data Sep 2025'!AB35</f>
        <v>61000</v>
      </c>
      <c r="N14" s="26" t="n">
        <f aca="false">'Data Okt 2025'!AF35</f>
        <v>60652.1739130435</v>
      </c>
      <c r="O14" s="26" t="n">
        <f aca="false">'Data Nov 2025'!AB35</f>
        <v>59850</v>
      </c>
      <c r="P14" s="26" t="n">
        <f aca="false">'Data Jan 2025'!AA35</f>
        <v>68000</v>
      </c>
      <c r="Q14" s="26" t="n">
        <f aca="false">'Data Jan 2025'!AB35</f>
        <v>68000</v>
      </c>
      <c r="R14" s="26" t="n">
        <f aca="false">'Data Jan 2025'!AC35</f>
        <v>68000</v>
      </c>
      <c r="S14" s="26" t="n">
        <f aca="false">'Data Jan 2025'!AD35</f>
        <v>68000</v>
      </c>
      <c r="T14" s="26" t="n">
        <f aca="false">'Data Jan 2025'!AE35</f>
        <v>68000</v>
      </c>
      <c r="U14" s="26" t="n">
        <f aca="false">'Data Feb 2025'!X35</f>
        <v>68000</v>
      </c>
      <c r="V14" s="26" t="n">
        <f aca="false">'Data Feb 2025'!Y35</f>
        <v>68000</v>
      </c>
      <c r="W14" s="26" t="n">
        <f aca="false">'Data Feb 2025'!Z35</f>
        <v>68000</v>
      </c>
      <c r="X14" s="26" t="n">
        <f aca="false">'Data Feb 2025'!AA35</f>
        <v>68000</v>
      </c>
      <c r="Y14" s="26" t="n">
        <f aca="false">'Data Mar 2025'!Y35</f>
        <v>66200</v>
      </c>
      <c r="Z14" s="26" t="n">
        <f aca="false">'Data Mar 2025'!Z35</f>
        <v>65000</v>
      </c>
      <c r="AA14" s="26" t="n">
        <f aca="false">'Data Mar 2025'!AA35</f>
        <v>65000</v>
      </c>
      <c r="AB14" s="26" t="n">
        <f aca="false">'Data Mar 2025'!AB35</f>
        <v>65000</v>
      </c>
      <c r="AC14" s="26" t="str">
        <f aca="false">'Data Mar 2025'!AC35</f>
        <v/>
      </c>
      <c r="AD14" s="26" t="str">
        <f aca="false">'Data Apr 2025'!Z35</f>
        <v/>
      </c>
      <c r="AE14" s="26" t="n">
        <f aca="false">'Data Apr 2025'!AA35</f>
        <v>65000</v>
      </c>
      <c r="AF14" s="26" t="n">
        <f aca="false">'Data Apr 2025'!AB35</f>
        <v>60000</v>
      </c>
      <c r="AG14" s="26" t="n">
        <f aca="false">'Data Apr 2025'!AC35</f>
        <v>60000</v>
      </c>
      <c r="AH14" s="26" t="n">
        <f aca="false">'Data Apr 2025'!AD35</f>
        <v>60000</v>
      </c>
      <c r="AI14" s="26" t="n">
        <f aca="false">'Data Mei 2025'!Z35</f>
        <v>60000</v>
      </c>
      <c r="AJ14" s="26" t="n">
        <f aca="false">'Data Mei 2025'!AA35</f>
        <v>60000</v>
      </c>
      <c r="AK14" s="26" t="n">
        <f aca="false">'Data Mei 2025'!AB35</f>
        <v>60000</v>
      </c>
      <c r="AL14" s="26" t="n">
        <f aca="false">'Data Mei 2025'!AC35</f>
        <v>60000</v>
      </c>
      <c r="AM14" s="26" t="n">
        <f aca="false">'Data Mei 2025'!AD35</f>
        <v>60000</v>
      </c>
      <c r="AN14" s="26" t="n">
        <f aca="false">'Data Jun 2025'!X35</f>
        <v>60000</v>
      </c>
      <c r="AO14" s="26" t="n">
        <f aca="false">'Data Jun 2025'!Y35</f>
        <v>58500</v>
      </c>
      <c r="AP14" s="26" t="n">
        <f aca="false">'Data Jun 2025'!Z35</f>
        <v>58000</v>
      </c>
      <c r="AQ14" s="26" t="n">
        <f aca="false">'Data Jun 2025'!AA35</f>
        <v>58000</v>
      </c>
      <c r="AR14" s="26" t="n">
        <f aca="false">'Data Jul 2025'!AA35</f>
        <v>58000</v>
      </c>
      <c r="AS14" s="26" t="n">
        <f aca="false">'Data Jul 2025'!AB35</f>
        <v>58000</v>
      </c>
      <c r="AT14" s="26" t="n">
        <f aca="false">'Data Jul 2025'!AC35</f>
        <v>58000</v>
      </c>
      <c r="AU14" s="26" t="n">
        <f aca="false">'Data Jul 2025'!AD35</f>
        <v>58000</v>
      </c>
      <c r="AV14" s="26" t="n">
        <f aca="false">'Data Jul 2025'!AE35</f>
        <v>58000</v>
      </c>
      <c r="AW14" s="26" t="n">
        <f aca="false">'Data Agu 2025'!X35</f>
        <v>58000</v>
      </c>
      <c r="AX14" s="26" t="n">
        <f aca="false">'Data Agu 2025'!Y35</f>
        <v>58400</v>
      </c>
      <c r="AY14" s="26" t="n">
        <f aca="false">'Data Agu 2025'!Z35</f>
        <v>61000</v>
      </c>
      <c r="AZ14" s="26" t="n">
        <f aca="false">'Data Agu 2025'!AA35</f>
        <v>61000</v>
      </c>
      <c r="BA14" s="26" t="n">
        <f aca="false">'Data Sep 2025'!X35</f>
        <v>61000</v>
      </c>
      <c r="BB14" s="26" t="n">
        <f aca="false">'Data Sep 2025'!Y35</f>
        <v>61000</v>
      </c>
      <c r="BC14" s="26" t="n">
        <f aca="false">'Data Sep 2025'!Z35</f>
        <v>61000</v>
      </c>
      <c r="BD14" s="26" t="n">
        <f aca="false">'Data Sep 2025'!AA35</f>
        <v>61000</v>
      </c>
      <c r="BE14" s="26" t="n">
        <f aca="false">'Data Okt 2025'!AA35</f>
        <v>61000</v>
      </c>
      <c r="BF14" s="26" t="n">
        <f aca="false">'Data Okt 2025'!AB35</f>
        <v>60800</v>
      </c>
      <c r="BG14" s="26" t="n">
        <f aca="false">'Data Okt 2025'!AC35</f>
        <v>60000</v>
      </c>
      <c r="BH14" s="26" t="n">
        <f aca="false">'Data Okt 2025'!AD35</f>
        <v>60600</v>
      </c>
      <c r="BI14" s="26" t="n">
        <f aca="false">'Data Okt 2025'!AE35</f>
        <v>61000</v>
      </c>
      <c r="BJ14" s="26" t="n">
        <f aca="false">'Data Nov 2025'!X35</f>
        <v>60600</v>
      </c>
      <c r="BK14" s="26" t="n">
        <f aca="false">'Data Nov 2025'!Y35</f>
        <v>60000</v>
      </c>
      <c r="BL14" s="26" t="n">
        <f aca="false">'Data Nov 2025'!Z35</f>
        <v>59200</v>
      </c>
      <c r="BM14" s="26" t="n">
        <f aca="false">'Data Nov 2025'!AA35</f>
        <v>59600</v>
      </c>
      <c r="BN14" s="26" t="n">
        <f aca="false">'Data Des 2025'!AA35</f>
        <v>60000</v>
      </c>
      <c r="BO14" s="26" t="n">
        <f aca="false">'Data Des 2025'!AB35</f>
        <v>60000</v>
      </c>
      <c r="BP14" s="26" t="n">
        <f aca="false">'Data Des 2025'!AC35</f>
        <v>60000</v>
      </c>
      <c r="BQ14" s="26" t="n">
        <f aca="false">'Data Des 2025'!AD35</f>
        <v>60000</v>
      </c>
      <c r="BR14" s="26" t="n">
        <f aca="false">'Data Des 2025'!AE35</f>
        <v>60000</v>
      </c>
    </row>
    <row r="15" customFormat="false" ht="15" hidden="false" customHeight="false" outlineLevel="0" collapsed="false">
      <c r="A15" s="3" t="s">
        <v>241</v>
      </c>
      <c r="B15" s="25" t="s">
        <v>417</v>
      </c>
      <c r="C15" s="15" t="s">
        <v>242</v>
      </c>
      <c r="D15" s="26" t="n">
        <f aca="false">'Data Des 2024'!AB36</f>
        <v>13000</v>
      </c>
      <c r="E15" s="26" t="n">
        <f aca="false">'Data Jan 2025'!AF36</f>
        <v>13000</v>
      </c>
      <c r="F15" s="26" t="n">
        <f aca="false">'Data Feb 2025'!AB36</f>
        <v>13000</v>
      </c>
      <c r="G15" s="26" t="n">
        <f aca="false">'Data Mar 2025'!AD36</f>
        <v>13000</v>
      </c>
      <c r="H15" s="26" t="n">
        <f aca="false">'Data Apr 2025'!AE36</f>
        <v>12687.5</v>
      </c>
      <c r="I15" s="26" t="n">
        <f aca="false">'Data Mei 2025'!AE36</f>
        <v>12000</v>
      </c>
      <c r="J15" s="26" t="n">
        <f aca="false">'Data Jun 2025'!AB36</f>
        <v>12000</v>
      </c>
      <c r="K15" s="26" t="n">
        <f aca="false">'Data Jul 2025'!AF36</f>
        <v>12000</v>
      </c>
      <c r="L15" s="26" t="n">
        <f aca="false">'Data Agu 2025'!AB36</f>
        <v>12000</v>
      </c>
      <c r="M15" s="26" t="n">
        <f aca="false">'Data Sep 2025'!AB36</f>
        <v>12000</v>
      </c>
      <c r="N15" s="26" t="n">
        <f aca="false">'Data Okt 2025'!AF36</f>
        <v>12000</v>
      </c>
      <c r="O15" s="26" t="n">
        <f aca="false">'Data Nov 2025'!AB36</f>
        <v>11850</v>
      </c>
      <c r="P15" s="26" t="n">
        <f aca="false">'Data Jan 2025'!AA36</f>
        <v>13000</v>
      </c>
      <c r="Q15" s="26" t="n">
        <f aca="false">'Data Jan 2025'!AB36</f>
        <v>13000</v>
      </c>
      <c r="R15" s="26" t="n">
        <f aca="false">'Data Jan 2025'!AC36</f>
        <v>13000</v>
      </c>
      <c r="S15" s="26" t="n">
        <f aca="false">'Data Jan 2025'!AD36</f>
        <v>13000</v>
      </c>
      <c r="T15" s="26" t="n">
        <f aca="false">'Data Jan 2025'!AE36</f>
        <v>13000</v>
      </c>
      <c r="U15" s="26" t="n">
        <f aca="false">'Data Feb 2025'!X36</f>
        <v>13000</v>
      </c>
      <c r="V15" s="26" t="n">
        <f aca="false">'Data Feb 2025'!Y36</f>
        <v>13000</v>
      </c>
      <c r="W15" s="26" t="n">
        <f aca="false">'Data Feb 2025'!Z36</f>
        <v>13000</v>
      </c>
      <c r="X15" s="26" t="n">
        <f aca="false">'Data Feb 2025'!AA36</f>
        <v>13000</v>
      </c>
      <c r="Y15" s="26" t="n">
        <f aca="false">'Data Mar 2025'!Y36</f>
        <v>13000</v>
      </c>
      <c r="Z15" s="26" t="n">
        <f aca="false">'Data Mar 2025'!Z36</f>
        <v>13000</v>
      </c>
      <c r="AA15" s="26" t="n">
        <f aca="false">'Data Mar 2025'!AA36</f>
        <v>13000</v>
      </c>
      <c r="AB15" s="26" t="n">
        <f aca="false">'Data Mar 2025'!AB36</f>
        <v>13000</v>
      </c>
      <c r="AC15" s="26" t="str">
        <f aca="false">'Data Mar 2025'!AC36</f>
        <v/>
      </c>
      <c r="AD15" s="26" t="str">
        <f aca="false">'Data Apr 2025'!Z36</f>
        <v/>
      </c>
      <c r="AE15" s="26" t="n">
        <f aca="false">'Data Apr 2025'!AA36</f>
        <v>13000</v>
      </c>
      <c r="AF15" s="26" t="n">
        <f aca="false">'Data Apr 2025'!AB36</f>
        <v>13000</v>
      </c>
      <c r="AG15" s="26" t="n">
        <f aca="false">'Data Apr 2025'!AC36</f>
        <v>12600</v>
      </c>
      <c r="AH15" s="26" t="n">
        <f aca="false">'Data Apr 2025'!AD36</f>
        <v>12000</v>
      </c>
      <c r="AI15" s="26" t="n">
        <f aca="false">'Data Mei 2025'!Z36</f>
        <v>12000</v>
      </c>
      <c r="AJ15" s="26" t="n">
        <f aca="false">'Data Mei 2025'!AA36</f>
        <v>12000</v>
      </c>
      <c r="AK15" s="26" t="n">
        <f aca="false">'Data Mei 2025'!AB36</f>
        <v>12000</v>
      </c>
      <c r="AL15" s="26" t="n">
        <f aca="false">'Data Mei 2025'!AC36</f>
        <v>12000</v>
      </c>
      <c r="AM15" s="26" t="n">
        <f aca="false">'Data Mei 2025'!AD36</f>
        <v>12000</v>
      </c>
      <c r="AN15" s="26" t="n">
        <f aca="false">'Data Jun 2025'!X36</f>
        <v>12000</v>
      </c>
      <c r="AO15" s="26" t="n">
        <f aca="false">'Data Jun 2025'!Y36</f>
        <v>12000</v>
      </c>
      <c r="AP15" s="26" t="n">
        <f aca="false">'Data Jun 2025'!Z36</f>
        <v>12000</v>
      </c>
      <c r="AQ15" s="26" t="n">
        <f aca="false">'Data Jun 2025'!AA36</f>
        <v>12000</v>
      </c>
      <c r="AR15" s="26" t="n">
        <f aca="false">'Data Jul 2025'!AA36</f>
        <v>12000</v>
      </c>
      <c r="AS15" s="26" t="n">
        <f aca="false">'Data Jul 2025'!AB36</f>
        <v>12000</v>
      </c>
      <c r="AT15" s="26" t="n">
        <f aca="false">'Data Jul 2025'!AC36</f>
        <v>12000</v>
      </c>
      <c r="AU15" s="26" t="n">
        <f aca="false">'Data Jul 2025'!AD36</f>
        <v>12000</v>
      </c>
      <c r="AV15" s="26" t="n">
        <f aca="false">'Data Jul 2025'!AE36</f>
        <v>12000</v>
      </c>
      <c r="AW15" s="26" t="n">
        <f aca="false">'Data Agu 2025'!X36</f>
        <v>12000</v>
      </c>
      <c r="AX15" s="26" t="n">
        <f aca="false">'Data Agu 2025'!Y36</f>
        <v>12000</v>
      </c>
      <c r="AY15" s="26" t="n">
        <f aca="false">'Data Agu 2025'!Z36</f>
        <v>12000</v>
      </c>
      <c r="AZ15" s="26" t="n">
        <f aca="false">'Data Agu 2025'!AA36</f>
        <v>12000</v>
      </c>
      <c r="BA15" s="26" t="n">
        <f aca="false">'Data Sep 2025'!X36</f>
        <v>12000</v>
      </c>
      <c r="BB15" s="26" t="n">
        <f aca="false">'Data Sep 2025'!Y36</f>
        <v>12000</v>
      </c>
      <c r="BC15" s="26" t="n">
        <f aca="false">'Data Sep 2025'!Z36</f>
        <v>12000</v>
      </c>
      <c r="BD15" s="26" t="n">
        <f aca="false">'Data Sep 2025'!AA36</f>
        <v>12000</v>
      </c>
      <c r="BE15" s="26" t="n">
        <f aca="false">'Data Okt 2025'!AA36</f>
        <v>12000</v>
      </c>
      <c r="BF15" s="26" t="n">
        <f aca="false">'Data Okt 2025'!AB36</f>
        <v>12000</v>
      </c>
      <c r="BG15" s="26" t="n">
        <f aca="false">'Data Okt 2025'!AC36</f>
        <v>12000</v>
      </c>
      <c r="BH15" s="26" t="n">
        <f aca="false">'Data Okt 2025'!AD36</f>
        <v>12000</v>
      </c>
      <c r="BI15" s="26" t="n">
        <f aca="false">'Data Okt 2025'!AE36</f>
        <v>12000</v>
      </c>
      <c r="BJ15" s="26" t="n">
        <f aca="false">'Data Nov 2025'!X36</f>
        <v>12000</v>
      </c>
      <c r="BK15" s="26" t="n">
        <f aca="false">'Data Nov 2025'!Y36</f>
        <v>12000</v>
      </c>
      <c r="BL15" s="26" t="n">
        <f aca="false">'Data Nov 2025'!Z36</f>
        <v>11600</v>
      </c>
      <c r="BM15" s="26" t="n">
        <f aca="false">'Data Nov 2025'!AA36</f>
        <v>11800</v>
      </c>
      <c r="BN15" s="26" t="n">
        <f aca="false">'Data Des 2025'!AA36</f>
        <v>12000</v>
      </c>
      <c r="BO15" s="26" t="n">
        <f aca="false">'Data Des 2025'!AB36</f>
        <v>11600</v>
      </c>
      <c r="BP15" s="26" t="n">
        <f aca="false">'Data Des 2025'!AC36</f>
        <v>11000</v>
      </c>
      <c r="BQ15" s="26" t="n">
        <f aca="false">'Data Des 2025'!AD36</f>
        <v>11000</v>
      </c>
      <c r="BR15" s="26" t="n">
        <f aca="false">'Data Des 2025'!AE36</f>
        <v>11000</v>
      </c>
    </row>
    <row r="16" customFormat="false" ht="15" hidden="false" customHeight="false" outlineLevel="0" collapsed="false">
      <c r="A16" s="3" t="s">
        <v>243</v>
      </c>
      <c r="B16" s="25" t="s">
        <v>418</v>
      </c>
      <c r="C16" s="15"/>
      <c r="D16" s="26" t="n">
        <f aca="false">'Data Des 2024'!AB11</f>
        <v>31166.6666666667</v>
      </c>
      <c r="E16" s="26" t="n">
        <f aca="false">'Data Jan 2025'!AF11</f>
        <v>46184.2105263158</v>
      </c>
      <c r="F16" s="26" t="n">
        <f aca="false">'Data Feb 2025'!AB11</f>
        <v>48315.7894736842</v>
      </c>
      <c r="G16" s="26" t="n">
        <f aca="false">'Data Mar 2025'!AD11</f>
        <v>46157.8947368421</v>
      </c>
      <c r="H16" s="26" t="n">
        <f aca="false">'Data Apr 2025'!AE11</f>
        <v>50500</v>
      </c>
      <c r="I16" s="26" t="n">
        <f aca="false">'Data Mei 2025'!AE11</f>
        <v>22705.8823529412</v>
      </c>
      <c r="J16" s="26" t="n">
        <f aca="false">'Data Jun 2025'!AB11</f>
        <v>25176.4705882353</v>
      </c>
      <c r="K16" s="26" t="n">
        <f aca="false">'Data Jul 2025'!AF11</f>
        <v>29130.4347826087</v>
      </c>
      <c r="L16" s="26" t="n">
        <f aca="false">'Data Agu 2025'!AB11</f>
        <v>25421.0526315789</v>
      </c>
      <c r="M16" s="26" t="n">
        <f aca="false">'Data Sep 2025'!AB11</f>
        <v>22894.7368421053</v>
      </c>
      <c r="N16" s="26" t="n">
        <f aca="false">'Data Okt 2025'!AF11</f>
        <v>23913.0434782609</v>
      </c>
      <c r="O16" s="26" t="n">
        <f aca="false">'Data Nov 2025'!AB11</f>
        <v>23000</v>
      </c>
      <c r="P16" s="26" t="n">
        <f aca="false">'Data Jan 2025'!AA11</f>
        <v>45000</v>
      </c>
      <c r="Q16" s="26" t="n">
        <f aca="false">'Data Jan 2025'!AB11</f>
        <v>47000</v>
      </c>
      <c r="R16" s="26" t="n">
        <f aca="false">'Data Jan 2025'!AC11</f>
        <v>46600</v>
      </c>
      <c r="S16" s="26" t="n">
        <f aca="false">'Data Jan 2025'!AD11</f>
        <v>45100</v>
      </c>
      <c r="T16" s="26" t="n">
        <f aca="false">'Data Jan 2025'!AE11</f>
        <v>47000</v>
      </c>
      <c r="U16" s="26" t="n">
        <f aca="false">'Data Feb 2025'!X11</f>
        <v>47000</v>
      </c>
      <c r="V16" s="26" t="n">
        <f aca="false">'Data Feb 2025'!Y11</f>
        <v>47000</v>
      </c>
      <c r="W16" s="26" t="n">
        <f aca="false">'Data Feb 2025'!Z11</f>
        <v>49600</v>
      </c>
      <c r="X16" s="26" t="n">
        <f aca="false">'Data Feb 2025'!AA11</f>
        <v>50000</v>
      </c>
      <c r="Y16" s="26" t="n">
        <f aca="false">'Data Mar 2025'!Y11</f>
        <v>46000</v>
      </c>
      <c r="Z16" s="26" t="n">
        <f aca="false">'Data Mar 2025'!Z11</f>
        <v>45000</v>
      </c>
      <c r="AA16" s="26" t="n">
        <f aca="false">'Data Mar 2025'!AA11</f>
        <v>46200</v>
      </c>
      <c r="AB16" s="26" t="n">
        <f aca="false">'Data Mar 2025'!AB11</f>
        <v>47750</v>
      </c>
      <c r="AC16" s="26" t="str">
        <f aca="false">'Data Mar 2025'!AC11</f>
        <v/>
      </c>
      <c r="AD16" s="26" t="str">
        <f aca="false">'Data Apr 2025'!Z11</f>
        <v/>
      </c>
      <c r="AE16" s="26" t="n">
        <f aca="false">'Data Apr 2025'!AA11</f>
        <v>60000</v>
      </c>
      <c r="AF16" s="26" t="n">
        <f aca="false">'Data Apr 2025'!AB11</f>
        <v>59375</v>
      </c>
      <c r="AG16" s="26" t="n">
        <f aca="false">'Data Apr 2025'!AC11</f>
        <v>48900</v>
      </c>
      <c r="AH16" s="26" t="n">
        <f aca="false">'Data Apr 2025'!AD11</f>
        <v>28666.6666666667</v>
      </c>
      <c r="AI16" s="26" t="n">
        <f aca="false">'Data Mei 2025'!Z11</f>
        <v>28000</v>
      </c>
      <c r="AJ16" s="26" t="n">
        <f aca="false">'Data Mei 2025'!AA11</f>
        <v>26800</v>
      </c>
      <c r="AK16" s="26" t="n">
        <f aca="false">'Data Mei 2025'!AB11</f>
        <v>20000</v>
      </c>
      <c r="AL16" s="26" t="n">
        <f aca="false">'Data Mei 2025'!AC11</f>
        <v>20000</v>
      </c>
      <c r="AM16" s="26" t="n">
        <f aca="false">'Data Mei 2025'!AD11</f>
        <v>21333.3333333333</v>
      </c>
      <c r="AN16" s="26" t="n">
        <f aca="false">'Data Jun 2025'!X11</f>
        <v>32500</v>
      </c>
      <c r="AO16" s="26" t="n">
        <f aca="false">'Data Jun 2025'!Y11</f>
        <v>27000</v>
      </c>
      <c r="AP16" s="26" t="n">
        <f aca="false">'Data Jun 2025'!Z11</f>
        <v>20400</v>
      </c>
      <c r="AQ16" s="26" t="n">
        <f aca="false">'Data Jun 2025'!AA11</f>
        <v>22000</v>
      </c>
      <c r="AR16" s="26" t="n">
        <f aca="false">'Data Jul 2025'!AA11</f>
        <v>25500</v>
      </c>
      <c r="AS16" s="26" t="n">
        <f aca="false">'Data Jul 2025'!AB11</f>
        <v>30600</v>
      </c>
      <c r="AT16" s="26" t="n">
        <f aca="false">'Data Jul 2025'!AC11</f>
        <v>30200</v>
      </c>
      <c r="AU16" s="26" t="n">
        <f aca="false">'Data Jul 2025'!AD11</f>
        <v>30000</v>
      </c>
      <c r="AV16" s="26" t="n">
        <f aca="false">'Data Jul 2025'!AE11</f>
        <v>28500</v>
      </c>
      <c r="AW16" s="26" t="n">
        <f aca="false">'Data Agu 2025'!X11</f>
        <v>27000</v>
      </c>
      <c r="AX16" s="26" t="n">
        <f aca="false">'Data Agu 2025'!Y11</f>
        <v>26400</v>
      </c>
      <c r="AY16" s="26" t="n">
        <f aca="false">'Data Agu 2025'!Z11</f>
        <v>24000</v>
      </c>
      <c r="AZ16" s="26" t="n">
        <f aca="false">'Data Agu 2025'!AA11</f>
        <v>24000</v>
      </c>
      <c r="BA16" s="26" t="n">
        <f aca="false">'Data Sep 2025'!X11</f>
        <v>23500</v>
      </c>
      <c r="BB16" s="26" t="n">
        <f aca="false">'Data Sep 2025'!Y11</f>
        <v>22000</v>
      </c>
      <c r="BC16" s="26" t="n">
        <f aca="false">'Data Sep 2025'!Z11</f>
        <v>22400</v>
      </c>
      <c r="BD16" s="26" t="n">
        <f aca="false">'Data Sep 2025'!AA11</f>
        <v>23800</v>
      </c>
      <c r="BE16" s="26" t="n">
        <f aca="false">'Data Okt 2025'!AA11</f>
        <v>26000</v>
      </c>
      <c r="BF16" s="26" t="n">
        <f aca="false">'Data Okt 2025'!AB11</f>
        <v>25200</v>
      </c>
      <c r="BG16" s="26" t="n">
        <f aca="false">'Data Okt 2025'!AC11</f>
        <v>22000</v>
      </c>
      <c r="BH16" s="26" t="n">
        <f aca="false">'Data Okt 2025'!AD11</f>
        <v>23200</v>
      </c>
      <c r="BI16" s="26" t="n">
        <f aca="false">'Data Okt 2025'!AE11</f>
        <v>24000</v>
      </c>
      <c r="BJ16" s="26" t="n">
        <f aca="false">'Data Nov 2025'!X11</f>
        <v>22000</v>
      </c>
      <c r="BK16" s="26" t="n">
        <f aca="false">'Data Nov 2025'!Y11</f>
        <v>22000</v>
      </c>
      <c r="BL16" s="26" t="n">
        <f aca="false">'Data Nov 2025'!Z11</f>
        <v>24000</v>
      </c>
      <c r="BM16" s="26" t="n">
        <f aca="false">'Data Nov 2025'!AA11</f>
        <v>24000</v>
      </c>
      <c r="BN16" s="26" t="n">
        <f aca="false">'Data Des 2025'!AA11</f>
        <v>25600</v>
      </c>
      <c r="BO16" s="26" t="n">
        <f aca="false">'Data Des 2025'!AB11</f>
        <v>28400</v>
      </c>
      <c r="BP16" s="26" t="n">
        <f aca="false">'Data Des 2025'!AC11</f>
        <v>26600</v>
      </c>
      <c r="BQ16" s="26" t="n">
        <f aca="false">'Data Des 2025'!AD11</f>
        <v>29333.3333333333</v>
      </c>
      <c r="BR16" s="26" t="n">
        <f aca="false">'Data Des 2025'!AE11</f>
        <v>30000</v>
      </c>
    </row>
    <row r="17" customFormat="false" ht="15" hidden="false" customHeight="false" outlineLevel="0" collapsed="false">
      <c r="A17" s="3" t="s">
        <v>244</v>
      </c>
      <c r="B17" s="25" t="s">
        <v>419</v>
      </c>
      <c r="C17" s="15"/>
      <c r="D17" s="26" t="n">
        <f aca="false">'Data Des 2024'!AB19</f>
        <v>26750</v>
      </c>
      <c r="E17" s="26" t="n">
        <f aca="false">'Data Jan 2025'!AF19</f>
        <v>25157.8947368421</v>
      </c>
      <c r="F17" s="26" t="n">
        <f aca="false">'Data Feb 2025'!AB19</f>
        <v>25710.5263157895</v>
      </c>
      <c r="G17" s="26" t="n">
        <f aca="false">'Data Mar 2025'!AD19</f>
        <v>25421.0526315789</v>
      </c>
      <c r="H17" s="26" t="n">
        <f aca="false">'Data Apr 2025'!AE19</f>
        <v>23406.25</v>
      </c>
      <c r="I17" s="26" t="n">
        <f aca="false">'Data Mei 2025'!AE19</f>
        <v>23147.0588235294</v>
      </c>
      <c r="J17" s="26" t="n">
        <f aca="false">'Data Jun 2025'!AB19</f>
        <v>23470.5882352941</v>
      </c>
      <c r="K17" s="26" t="n">
        <f aca="false">'Data Jul 2025'!AF19</f>
        <v>24195.652173913</v>
      </c>
      <c r="L17" s="26" t="n">
        <f aca="false">'Data Agu 2025'!AB19</f>
        <v>23526.3157894737</v>
      </c>
      <c r="M17" s="26" t="n">
        <f aca="false">'Data Sep 2025'!AB19</f>
        <v>24684.2105263158</v>
      </c>
      <c r="N17" s="26" t="n">
        <f aca="false">'Data Okt 2025'!AF19</f>
        <v>24739.1304347826</v>
      </c>
      <c r="O17" s="26" t="n">
        <f aca="false">'Data Nov 2025'!AB19</f>
        <v>26150</v>
      </c>
      <c r="P17" s="26" t="n">
        <f aca="false">'Data Jan 2025'!AA19</f>
        <v>27000</v>
      </c>
      <c r="Q17" s="26" t="n">
        <f aca="false">'Data Jan 2025'!AB19</f>
        <v>26900</v>
      </c>
      <c r="R17" s="26" t="n">
        <f aca="false">'Data Jan 2025'!AC19</f>
        <v>23600</v>
      </c>
      <c r="S17" s="26" t="n">
        <f aca="false">'Data Jan 2025'!AD19</f>
        <v>24500</v>
      </c>
      <c r="T17" s="26" t="n">
        <f aca="false">'Data Jan 2025'!AE19</f>
        <v>24500</v>
      </c>
      <c r="U17" s="26" t="n">
        <f aca="false">'Data Feb 2025'!X19</f>
        <v>24900</v>
      </c>
      <c r="V17" s="26" t="n">
        <f aca="false">'Data Feb 2025'!Y19</f>
        <v>25500</v>
      </c>
      <c r="W17" s="26" t="n">
        <f aca="false">'Data Feb 2025'!Z19</f>
        <v>26100</v>
      </c>
      <c r="X17" s="26" t="n">
        <f aca="false">'Data Feb 2025'!AA19</f>
        <v>26500</v>
      </c>
      <c r="Y17" s="26" t="n">
        <f aca="false">'Data Mar 2025'!Y19</f>
        <v>26100</v>
      </c>
      <c r="Z17" s="26" t="n">
        <f aca="false">'Data Mar 2025'!Z19</f>
        <v>25600</v>
      </c>
      <c r="AA17" s="26" t="n">
        <f aca="false">'Data Mar 2025'!AA19</f>
        <v>25000</v>
      </c>
      <c r="AB17" s="26" t="n">
        <f aca="false">'Data Mar 2025'!AB19</f>
        <v>24875</v>
      </c>
      <c r="AC17" s="26" t="str">
        <f aca="false">'Data Mar 2025'!AC19</f>
        <v/>
      </c>
      <c r="AD17" s="26" t="str">
        <f aca="false">'Data Apr 2025'!Z19</f>
        <v/>
      </c>
      <c r="AE17" s="26" t="n">
        <f aca="false">'Data Apr 2025'!AA19</f>
        <v>24250</v>
      </c>
      <c r="AF17" s="26" t="n">
        <f aca="false">'Data Apr 2025'!AB19</f>
        <v>23375</v>
      </c>
      <c r="AG17" s="26" t="n">
        <f aca="false">'Data Apr 2025'!AC19</f>
        <v>23000</v>
      </c>
      <c r="AH17" s="26" t="n">
        <f aca="false">'Data Apr 2025'!AD19</f>
        <v>23000</v>
      </c>
      <c r="AI17" s="26" t="n">
        <f aca="false">'Data Mei 2025'!Z19</f>
        <v>23000</v>
      </c>
      <c r="AJ17" s="26" t="n">
        <f aca="false">'Data Mei 2025'!AA19</f>
        <v>23000</v>
      </c>
      <c r="AK17" s="26" t="n">
        <f aca="false">'Data Mei 2025'!AB19</f>
        <v>23000</v>
      </c>
      <c r="AL17" s="26" t="n">
        <f aca="false">'Data Mei 2025'!AC19</f>
        <v>23000</v>
      </c>
      <c r="AM17" s="26" t="n">
        <f aca="false">'Data Mei 2025'!AD19</f>
        <v>23833.3333333333</v>
      </c>
      <c r="AN17" s="26" t="n">
        <f aca="false">'Data Jun 2025'!X19</f>
        <v>25000</v>
      </c>
      <c r="AO17" s="26" t="n">
        <f aca="false">'Data Jun 2025'!Y19</f>
        <v>24000</v>
      </c>
      <c r="AP17" s="26" t="n">
        <f aca="false">'Data Jun 2025'!Z19</f>
        <v>22200</v>
      </c>
      <c r="AQ17" s="26" t="n">
        <f aca="false">'Data Jun 2025'!AA19</f>
        <v>23000</v>
      </c>
      <c r="AR17" s="26" t="n">
        <f aca="false">'Data Jul 2025'!AA19</f>
        <v>23250</v>
      </c>
      <c r="AS17" s="26" t="n">
        <f aca="false">'Data Jul 2025'!AB19</f>
        <v>24400</v>
      </c>
      <c r="AT17" s="26" t="n">
        <f aca="false">'Data Jul 2025'!AC19</f>
        <v>24200</v>
      </c>
      <c r="AU17" s="26" t="n">
        <f aca="false">'Data Jul 2025'!AD19</f>
        <v>25000</v>
      </c>
      <c r="AV17" s="26" t="n">
        <f aca="false">'Data Jul 2025'!AE19</f>
        <v>23875</v>
      </c>
      <c r="AW17" s="26" t="n">
        <f aca="false">'Data Agu 2025'!X19</f>
        <v>23000</v>
      </c>
      <c r="AX17" s="26" t="n">
        <f aca="false">'Data Agu 2025'!Y19</f>
        <v>23200</v>
      </c>
      <c r="AY17" s="26" t="n">
        <f aca="false">'Data Agu 2025'!Z19</f>
        <v>24000</v>
      </c>
      <c r="AZ17" s="26" t="n">
        <f aca="false">'Data Agu 2025'!AA19</f>
        <v>24000</v>
      </c>
      <c r="BA17" s="26" t="n">
        <f aca="false">'Data Sep 2025'!X19</f>
        <v>23750</v>
      </c>
      <c r="BB17" s="26" t="n">
        <f aca="false">'Data Sep 2025'!Y19</f>
        <v>23800</v>
      </c>
      <c r="BC17" s="26" t="n">
        <f aca="false">'Data Sep 2025'!Z19</f>
        <v>25400</v>
      </c>
      <c r="BD17" s="26" t="n">
        <f aca="false">'Data Sep 2025'!AA19</f>
        <v>25600</v>
      </c>
      <c r="BE17" s="26" t="n">
        <f aca="false">'Data Okt 2025'!AA19</f>
        <v>25000</v>
      </c>
      <c r="BF17" s="26" t="n">
        <f aca="false">'Data Okt 2025'!AB19</f>
        <v>24600</v>
      </c>
      <c r="BG17" s="26" t="n">
        <f aca="false">'Data Okt 2025'!AC19</f>
        <v>23000</v>
      </c>
      <c r="BH17" s="26" t="n">
        <f aca="false">'Data Okt 2025'!AD19</f>
        <v>24400</v>
      </c>
      <c r="BI17" s="26" t="n">
        <f aca="false">'Data Okt 2025'!AE19</f>
        <v>26800</v>
      </c>
      <c r="BJ17" s="26" t="n">
        <f aca="false">'Data Nov 2025'!X19</f>
        <v>26600</v>
      </c>
      <c r="BK17" s="26" t="n">
        <f aca="false">'Data Nov 2025'!Y19</f>
        <v>26000</v>
      </c>
      <c r="BL17" s="26" t="n">
        <f aca="false">'Data Nov 2025'!Z19</f>
        <v>26000</v>
      </c>
      <c r="BM17" s="26" t="n">
        <f aca="false">'Data Nov 2025'!AA19</f>
        <v>26000</v>
      </c>
      <c r="BN17" s="26" t="n">
        <f aca="false">'Data Des 2025'!AA19</f>
        <v>26000</v>
      </c>
      <c r="BO17" s="26" t="n">
        <f aca="false">'Data Des 2025'!AB19</f>
        <v>25400</v>
      </c>
      <c r="BP17" s="26" t="n">
        <f aca="false">'Data Des 2025'!AC19</f>
        <v>24000</v>
      </c>
      <c r="BQ17" s="26" t="n">
        <f aca="false">'Data Des 2025'!AD19</f>
        <v>24666.6666666667</v>
      </c>
      <c r="BR17" s="26" t="n">
        <f aca="false">'Data Des 2025'!AE19</f>
        <v>25000</v>
      </c>
    </row>
    <row r="18" customFormat="false" ht="15" hidden="false" customHeight="false" outlineLevel="0" collapsed="false">
      <c r="A18" s="3" t="s">
        <v>245</v>
      </c>
      <c r="B18" s="25" t="s">
        <v>420</v>
      </c>
      <c r="C18" s="15"/>
      <c r="D18" s="26" t="n">
        <f aca="false">'Data Des 2024'!AB13</f>
        <v>16500</v>
      </c>
      <c r="E18" s="26" t="n">
        <f aca="false">'Data Jan 2025'!AF13</f>
        <v>16500</v>
      </c>
      <c r="F18" s="26" t="n">
        <f aca="false">'Data Feb 2025'!AB13</f>
        <v>16500</v>
      </c>
      <c r="G18" s="26" t="n">
        <f aca="false">'Data Mar 2025'!AD13</f>
        <v>16500</v>
      </c>
      <c r="H18" s="26" t="n">
        <f aca="false">'Data Apr 2025'!AE13</f>
        <v>16125</v>
      </c>
      <c r="I18" s="26" t="n">
        <f aca="false">'Data Mei 2025'!AE13</f>
        <v>16088.2352941176</v>
      </c>
      <c r="J18" s="26" t="n">
        <f aca="false">'Data Jun 2025'!AB13</f>
        <v>16117.6470588235</v>
      </c>
      <c r="K18" s="26" t="n">
        <f aca="false">'Data Jul 2025'!AF13</f>
        <v>16000</v>
      </c>
      <c r="L18" s="26" t="n">
        <f aca="false">'Data Agu 2025'!AB13</f>
        <v>15526.3157894737</v>
      </c>
      <c r="M18" s="26" t="n">
        <f aca="false">'Data Sep 2025'!AB13</f>
        <v>15184.2105263158</v>
      </c>
      <c r="N18" s="26" t="n">
        <f aca="false">'Data Okt 2025'!AF13</f>
        <v>15000</v>
      </c>
      <c r="O18" s="26" t="n">
        <f aca="false">'Data Nov 2025'!AB13</f>
        <v>15000</v>
      </c>
      <c r="P18" s="26" t="n">
        <f aca="false">'Data Jan 2025'!AA13</f>
        <v>16500</v>
      </c>
      <c r="Q18" s="26" t="n">
        <f aca="false">'Data Jan 2025'!AB13</f>
        <v>16500</v>
      </c>
      <c r="R18" s="26" t="n">
        <f aca="false">'Data Jan 2025'!AC13</f>
        <v>16500</v>
      </c>
      <c r="S18" s="26" t="n">
        <f aca="false">'Data Jan 2025'!AD13</f>
        <v>16500</v>
      </c>
      <c r="T18" s="26" t="n">
        <f aca="false">'Data Jan 2025'!AE13</f>
        <v>16500</v>
      </c>
      <c r="U18" s="26" t="n">
        <f aca="false">'Data Feb 2025'!X13</f>
        <v>16500</v>
      </c>
      <c r="V18" s="26" t="n">
        <f aca="false">'Data Feb 2025'!Y13</f>
        <v>16500</v>
      </c>
      <c r="W18" s="26" t="n">
        <f aca="false">'Data Feb 2025'!Z13</f>
        <v>16500</v>
      </c>
      <c r="X18" s="26" t="n">
        <f aca="false">'Data Feb 2025'!AA13</f>
        <v>16500</v>
      </c>
      <c r="Y18" s="26" t="n">
        <f aca="false">'Data Mar 2025'!Y13</f>
        <v>16500</v>
      </c>
      <c r="Z18" s="26" t="n">
        <f aca="false">'Data Mar 2025'!Z13</f>
        <v>16500</v>
      </c>
      <c r="AA18" s="26" t="n">
        <f aca="false">'Data Mar 2025'!AA13</f>
        <v>16500</v>
      </c>
      <c r="AB18" s="26" t="n">
        <f aca="false">'Data Mar 2025'!AB13</f>
        <v>16500</v>
      </c>
      <c r="AC18" s="26" t="str">
        <f aca="false">'Data Mar 2025'!AC13</f>
        <v/>
      </c>
      <c r="AD18" s="26" t="str">
        <f aca="false">'Data Apr 2025'!Z13</f>
        <v/>
      </c>
      <c r="AE18" s="26" t="n">
        <f aca="false">'Data Apr 2025'!AA13</f>
        <v>16500</v>
      </c>
      <c r="AF18" s="26" t="n">
        <f aca="false">'Data Apr 2025'!AB13</f>
        <v>16000</v>
      </c>
      <c r="AG18" s="26" t="n">
        <f aca="false">'Data Apr 2025'!AC13</f>
        <v>16000</v>
      </c>
      <c r="AH18" s="26" t="n">
        <f aca="false">'Data Apr 2025'!AD13</f>
        <v>16000</v>
      </c>
      <c r="AI18" s="26" t="n">
        <f aca="false">'Data Mei 2025'!Z13</f>
        <v>16000</v>
      </c>
      <c r="AJ18" s="26" t="n">
        <f aca="false">'Data Mei 2025'!AA13</f>
        <v>16000</v>
      </c>
      <c r="AK18" s="26" t="n">
        <f aca="false">'Data Mei 2025'!AB13</f>
        <v>16000</v>
      </c>
      <c r="AL18" s="26" t="n">
        <f aca="false">'Data Mei 2025'!AC13</f>
        <v>16000</v>
      </c>
      <c r="AM18" s="26" t="n">
        <f aca="false">'Data Mei 2025'!AD13</f>
        <v>16500</v>
      </c>
      <c r="AN18" s="26" t="n">
        <f aca="false">'Data Jun 2025'!X13</f>
        <v>16500</v>
      </c>
      <c r="AO18" s="26" t="n">
        <f aca="false">'Data Jun 2025'!Y13</f>
        <v>16000</v>
      </c>
      <c r="AP18" s="26" t="n">
        <f aca="false">'Data Jun 2025'!Z13</f>
        <v>16000</v>
      </c>
      <c r="AQ18" s="26" t="n">
        <f aca="false">'Data Jun 2025'!AA13</f>
        <v>16000</v>
      </c>
      <c r="AR18" s="26" t="n">
        <f aca="false">'Data Jul 2025'!AA13</f>
        <v>16000</v>
      </c>
      <c r="AS18" s="26" t="n">
        <f aca="false">'Data Jul 2025'!AB13</f>
        <v>16000</v>
      </c>
      <c r="AT18" s="26" t="n">
        <f aca="false">'Data Jul 2025'!AC13</f>
        <v>16000</v>
      </c>
      <c r="AU18" s="26" t="n">
        <f aca="false">'Data Jul 2025'!AD13</f>
        <v>16000</v>
      </c>
      <c r="AV18" s="26" t="n">
        <f aca="false">'Data Jul 2025'!AE13</f>
        <v>16000</v>
      </c>
      <c r="AW18" s="26" t="n">
        <f aca="false">'Data Agu 2025'!X13</f>
        <v>15600</v>
      </c>
      <c r="AX18" s="26" t="n">
        <f aca="false">'Data Agu 2025'!Y13</f>
        <v>15500</v>
      </c>
      <c r="AY18" s="26" t="n">
        <f aca="false">'Data Agu 2025'!Z13</f>
        <v>15500</v>
      </c>
      <c r="AZ18" s="26" t="n">
        <f aca="false">'Data Agu 2025'!AA13</f>
        <v>15500</v>
      </c>
      <c r="BA18" s="26" t="n">
        <f aca="false">'Data Sep 2025'!X13</f>
        <v>15375</v>
      </c>
      <c r="BB18" s="26" t="n">
        <f aca="false">'Data Sep 2025'!Y13</f>
        <v>15400</v>
      </c>
      <c r="BC18" s="26" t="n">
        <f aca="false">'Data Sep 2025'!Z13</f>
        <v>15000</v>
      </c>
      <c r="BD18" s="26" t="n">
        <f aca="false">'Data Sep 2025'!AA13</f>
        <v>15000</v>
      </c>
      <c r="BE18" s="26" t="n">
        <f aca="false">'Data Okt 2025'!AA13</f>
        <v>15000</v>
      </c>
      <c r="BF18" s="26" t="n">
        <f aca="false">'Data Okt 2025'!AB13</f>
        <v>15000</v>
      </c>
      <c r="BG18" s="26" t="n">
        <f aca="false">'Data Okt 2025'!AC13</f>
        <v>15000</v>
      </c>
      <c r="BH18" s="26" t="n">
        <f aca="false">'Data Okt 2025'!AD13</f>
        <v>15000</v>
      </c>
      <c r="BI18" s="26" t="n">
        <f aca="false">'Data Okt 2025'!AE13</f>
        <v>15000</v>
      </c>
      <c r="BJ18" s="26" t="n">
        <f aca="false">'Data Nov 2025'!X13</f>
        <v>15000</v>
      </c>
      <c r="BK18" s="26" t="n">
        <f aca="false">'Data Nov 2025'!Y13</f>
        <v>15000</v>
      </c>
      <c r="BL18" s="26" t="n">
        <f aca="false">'Data Nov 2025'!Z13</f>
        <v>15000</v>
      </c>
      <c r="BM18" s="26" t="n">
        <f aca="false">'Data Nov 2025'!AA13</f>
        <v>15000</v>
      </c>
      <c r="BN18" s="26" t="n">
        <f aca="false">'Data Des 2025'!AA13</f>
        <v>15000</v>
      </c>
      <c r="BO18" s="26" t="n">
        <f aca="false">'Data Des 2025'!AB13</f>
        <v>15000</v>
      </c>
      <c r="BP18" s="26" t="n">
        <f aca="false">'Data Des 2025'!AC13</f>
        <v>15000</v>
      </c>
      <c r="BQ18" s="26" t="n">
        <f aca="false">'Data Des 2025'!AD13</f>
        <v>15000</v>
      </c>
      <c r="BR18" s="26" t="n">
        <f aca="false">'Data Des 2025'!AE13</f>
        <v>15000</v>
      </c>
    </row>
    <row r="19" customFormat="false" ht="15" hidden="false" customHeight="false" outlineLevel="0" collapsed="false">
      <c r="A19" s="3" t="s">
        <v>246</v>
      </c>
      <c r="B19" s="25" t="s">
        <v>421</v>
      </c>
      <c r="C19" s="15" t="s">
        <v>247</v>
      </c>
      <c r="D19" s="26" t="n">
        <f aca="false">'Data Des 2024'!AB24</f>
        <v>35000</v>
      </c>
      <c r="E19" s="26" t="n">
        <f aca="false">'Data Jan 2025'!AF24</f>
        <v>34368.4210526316</v>
      </c>
      <c r="F19" s="26" t="n">
        <f aca="false">'Data Feb 2025'!AB24</f>
        <v>35000</v>
      </c>
      <c r="G19" s="26" t="n">
        <f aca="false">'Data Mar 2025'!AD24</f>
        <v>35000</v>
      </c>
      <c r="H19" s="26" t="n">
        <f aca="false">'Data Apr 2025'!AE24</f>
        <v>34437.5</v>
      </c>
      <c r="I19" s="26" t="n">
        <f aca="false">'Data Mei 2025'!AE24</f>
        <v>30000</v>
      </c>
      <c r="J19" s="26" t="n">
        <f aca="false">'Data Jun 2025'!AB24</f>
        <v>28588.2352941176</v>
      </c>
      <c r="K19" s="26" t="n">
        <f aca="false">'Data Jul 2025'!AF24</f>
        <v>28000</v>
      </c>
      <c r="L19" s="26" t="n">
        <f aca="false">'Data Agu 2025'!AB24</f>
        <v>28000</v>
      </c>
      <c r="M19" s="26" t="n">
        <f aca="false">'Data Sep 2025'!AB24</f>
        <v>28000</v>
      </c>
      <c r="N19" s="26" t="n">
        <f aca="false">'Data Okt 2025'!AF24</f>
        <v>28000</v>
      </c>
      <c r="O19" s="26" t="n">
        <f aca="false">'Data Nov 2025'!AB24</f>
        <v>28000</v>
      </c>
      <c r="P19" s="26" t="n">
        <f aca="false">'Data Jan 2025'!AA24</f>
        <v>35000</v>
      </c>
      <c r="Q19" s="26" t="n">
        <f aca="false">'Data Jan 2025'!AB24</f>
        <v>32600</v>
      </c>
      <c r="R19" s="26" t="n">
        <f aca="false">'Data Jan 2025'!AC24</f>
        <v>35000</v>
      </c>
      <c r="S19" s="26" t="n">
        <f aca="false">'Data Jan 2025'!AD24</f>
        <v>35000</v>
      </c>
      <c r="T19" s="26" t="n">
        <f aca="false">'Data Jan 2025'!AE24</f>
        <v>35000</v>
      </c>
      <c r="U19" s="26" t="n">
        <f aca="false">'Data Feb 2025'!X24</f>
        <v>35000</v>
      </c>
      <c r="V19" s="26" t="n">
        <f aca="false">'Data Feb 2025'!Y24</f>
        <v>35000</v>
      </c>
      <c r="W19" s="26" t="n">
        <f aca="false">'Data Feb 2025'!Z24</f>
        <v>35000</v>
      </c>
      <c r="X19" s="26" t="n">
        <f aca="false">'Data Feb 2025'!AA24</f>
        <v>35000</v>
      </c>
      <c r="Y19" s="26" t="n">
        <f aca="false">'Data Mar 2025'!Y24</f>
        <v>35000</v>
      </c>
      <c r="Z19" s="26" t="n">
        <f aca="false">'Data Mar 2025'!Z24</f>
        <v>35000</v>
      </c>
      <c r="AA19" s="26" t="n">
        <f aca="false">'Data Mar 2025'!AA24</f>
        <v>35000</v>
      </c>
      <c r="AB19" s="26" t="n">
        <f aca="false">'Data Mar 2025'!AB24</f>
        <v>35000</v>
      </c>
      <c r="AC19" s="26" t="str">
        <f aca="false">'Data Mar 2025'!AC24</f>
        <v/>
      </c>
      <c r="AD19" s="26" t="str">
        <f aca="false">'Data Apr 2025'!Z24</f>
        <v/>
      </c>
      <c r="AE19" s="26" t="n">
        <f aca="false">'Data Apr 2025'!AA24</f>
        <v>35000</v>
      </c>
      <c r="AF19" s="26" t="n">
        <f aca="false">'Data Apr 2025'!AB24</f>
        <v>35000</v>
      </c>
      <c r="AG19" s="26" t="n">
        <f aca="false">'Data Apr 2025'!AC24</f>
        <v>35000</v>
      </c>
      <c r="AH19" s="26" t="n">
        <f aca="false">'Data Apr 2025'!AD24</f>
        <v>32000</v>
      </c>
      <c r="AI19" s="26" t="n">
        <f aca="false">'Data Mei 2025'!Z24</f>
        <v>30000</v>
      </c>
      <c r="AJ19" s="26" t="n">
        <f aca="false">'Data Mei 2025'!AA24</f>
        <v>30000</v>
      </c>
      <c r="AK19" s="26" t="n">
        <f aca="false">'Data Mei 2025'!AB24</f>
        <v>30000</v>
      </c>
      <c r="AL19" s="26" t="n">
        <f aca="false">'Data Mei 2025'!AC24</f>
        <v>30000</v>
      </c>
      <c r="AM19" s="26" t="n">
        <f aca="false">'Data Mei 2025'!AD24</f>
        <v>30000</v>
      </c>
      <c r="AN19" s="26" t="n">
        <f aca="false">'Data Jun 2025'!X24</f>
        <v>30000</v>
      </c>
      <c r="AO19" s="26" t="n">
        <f aca="false">'Data Jun 2025'!Y24</f>
        <v>28500</v>
      </c>
      <c r="AP19" s="26" t="n">
        <f aca="false">'Data Jun 2025'!Z24</f>
        <v>28000</v>
      </c>
      <c r="AQ19" s="26" t="n">
        <f aca="false">'Data Jun 2025'!AA24</f>
        <v>28000</v>
      </c>
      <c r="AR19" s="26" t="n">
        <f aca="false">'Data Jul 2025'!AA24</f>
        <v>28000</v>
      </c>
      <c r="AS19" s="26" t="n">
        <f aca="false">'Data Jul 2025'!AB24</f>
        <v>28000</v>
      </c>
      <c r="AT19" s="26" t="n">
        <f aca="false">'Data Jul 2025'!AC24</f>
        <v>28000</v>
      </c>
      <c r="AU19" s="26" t="n">
        <f aca="false">'Data Jul 2025'!AD24</f>
        <v>28000</v>
      </c>
      <c r="AV19" s="26" t="n">
        <f aca="false">'Data Jul 2025'!AE24</f>
        <v>28000</v>
      </c>
      <c r="AW19" s="26" t="n">
        <f aca="false">'Data Agu 2025'!X24</f>
        <v>28000</v>
      </c>
      <c r="AX19" s="26" t="n">
        <f aca="false">'Data Agu 2025'!Y24</f>
        <v>28000</v>
      </c>
      <c r="AY19" s="26" t="n">
        <f aca="false">'Data Agu 2025'!Z24</f>
        <v>28000</v>
      </c>
      <c r="AZ19" s="26" t="n">
        <f aca="false">'Data Agu 2025'!AA24</f>
        <v>28000</v>
      </c>
      <c r="BA19" s="26" t="n">
        <f aca="false">'Data Sep 2025'!X24</f>
        <v>28000</v>
      </c>
      <c r="BB19" s="26" t="n">
        <f aca="false">'Data Sep 2025'!Y24</f>
        <v>28000</v>
      </c>
      <c r="BC19" s="26" t="n">
        <f aca="false">'Data Sep 2025'!Z24</f>
        <v>28000</v>
      </c>
      <c r="BD19" s="26" t="n">
        <f aca="false">'Data Sep 2025'!AA24</f>
        <v>28000</v>
      </c>
      <c r="BE19" s="26" t="n">
        <f aca="false">'Data Okt 2025'!AA24</f>
        <v>28000</v>
      </c>
      <c r="BF19" s="26" t="n">
        <f aca="false">'Data Okt 2025'!AB24</f>
        <v>28000</v>
      </c>
      <c r="BG19" s="26" t="n">
        <f aca="false">'Data Okt 2025'!AC24</f>
        <v>28000</v>
      </c>
      <c r="BH19" s="26" t="n">
        <f aca="false">'Data Okt 2025'!AD24</f>
        <v>28000</v>
      </c>
      <c r="BI19" s="26" t="n">
        <f aca="false">'Data Okt 2025'!AE24</f>
        <v>28000</v>
      </c>
      <c r="BJ19" s="26" t="n">
        <f aca="false">'Data Nov 2025'!X24</f>
        <v>28000</v>
      </c>
      <c r="BK19" s="26" t="n">
        <f aca="false">'Data Nov 2025'!Y24</f>
        <v>28000</v>
      </c>
      <c r="BL19" s="26" t="n">
        <f aca="false">'Data Nov 2025'!Z24</f>
        <v>28000</v>
      </c>
      <c r="BM19" s="26" t="n">
        <f aca="false">'Data Nov 2025'!AA24</f>
        <v>28000</v>
      </c>
      <c r="BN19" s="26" t="n">
        <f aca="false">'Data Des 2025'!AA24</f>
        <v>28000</v>
      </c>
      <c r="BO19" s="26" t="n">
        <f aca="false">'Data Des 2025'!AB24</f>
        <v>28000</v>
      </c>
      <c r="BP19" s="26" t="n">
        <f aca="false">'Data Des 2025'!AC24</f>
        <v>28000</v>
      </c>
      <c r="BQ19" s="26" t="n">
        <f aca="false">'Data Des 2025'!AD24</f>
        <v>28000</v>
      </c>
      <c r="BR19" s="26" t="n">
        <f aca="false">'Data Des 2025'!AE24</f>
        <v>28000</v>
      </c>
    </row>
    <row r="20" customFormat="false" ht="15" hidden="false" customHeight="false" outlineLevel="0" collapsed="false">
      <c r="A20" s="3" t="s">
        <v>248</v>
      </c>
      <c r="B20" s="25" t="s">
        <v>422</v>
      </c>
      <c r="C20" s="15" t="s">
        <v>249</v>
      </c>
      <c r="D20" s="26" t="n">
        <f aca="false">'Data Des 2024'!AB32</f>
        <v>42000</v>
      </c>
      <c r="E20" s="26" t="n">
        <f aca="false">'Data Jan 2025'!AF32</f>
        <v>42000</v>
      </c>
      <c r="F20" s="26" t="n">
        <f aca="false">'Data Feb 2025'!AB32</f>
        <v>42000</v>
      </c>
      <c r="G20" s="26" t="n">
        <f aca="false">'Data Mar 2025'!AD32</f>
        <v>42000</v>
      </c>
      <c r="H20" s="26" t="n">
        <f aca="false">'Data Apr 2025'!AE32</f>
        <v>42000</v>
      </c>
      <c r="I20" s="26" t="n">
        <f aca="false">'Data Mei 2025'!AE32</f>
        <v>42000</v>
      </c>
      <c r="J20" s="26" t="n">
        <f aca="false">'Data Jun 2025'!AB32</f>
        <v>42000</v>
      </c>
      <c r="K20" s="26" t="n">
        <f aca="false">'Data Jul 2025'!AF32</f>
        <v>42000</v>
      </c>
      <c r="L20" s="26" t="n">
        <f aca="false">'Data Agu 2025'!AB32</f>
        <v>42000</v>
      </c>
      <c r="M20" s="26" t="n">
        <f aca="false">'Data Sep 2025'!AB32</f>
        <v>42000</v>
      </c>
      <c r="N20" s="26" t="n">
        <f aca="false">'Data Okt 2025'!AF32</f>
        <v>42000</v>
      </c>
      <c r="O20" s="26" t="n">
        <f aca="false">'Data Nov 2025'!AB32</f>
        <v>42000</v>
      </c>
      <c r="P20" s="26" t="n">
        <f aca="false">'Data Jan 2025'!AA32</f>
        <v>42000</v>
      </c>
      <c r="Q20" s="26" t="n">
        <f aca="false">'Data Jan 2025'!AB32</f>
        <v>42000</v>
      </c>
      <c r="R20" s="26" t="n">
        <f aca="false">'Data Jan 2025'!AC32</f>
        <v>42000</v>
      </c>
      <c r="S20" s="26" t="n">
        <f aca="false">'Data Jan 2025'!AD32</f>
        <v>42000</v>
      </c>
      <c r="T20" s="26" t="n">
        <f aca="false">'Data Jan 2025'!AE32</f>
        <v>42000</v>
      </c>
      <c r="U20" s="26" t="n">
        <f aca="false">'Data Feb 2025'!X32</f>
        <v>42000</v>
      </c>
      <c r="V20" s="26" t="n">
        <f aca="false">'Data Feb 2025'!Y32</f>
        <v>42000</v>
      </c>
      <c r="W20" s="26" t="n">
        <f aca="false">'Data Feb 2025'!Z32</f>
        <v>42000</v>
      </c>
      <c r="X20" s="26" t="n">
        <f aca="false">'Data Feb 2025'!AA32</f>
        <v>42000</v>
      </c>
      <c r="Y20" s="26" t="n">
        <f aca="false">'Data Mar 2025'!Y32</f>
        <v>42000</v>
      </c>
      <c r="Z20" s="26" t="n">
        <f aca="false">'Data Mar 2025'!Z32</f>
        <v>42000</v>
      </c>
      <c r="AA20" s="26" t="n">
        <f aca="false">'Data Mar 2025'!AA32</f>
        <v>42000</v>
      </c>
      <c r="AB20" s="26" t="n">
        <f aca="false">'Data Mar 2025'!AB32</f>
        <v>42000</v>
      </c>
      <c r="AC20" s="26" t="str">
        <f aca="false">'Data Mar 2025'!AC32</f>
        <v/>
      </c>
      <c r="AD20" s="26" t="str">
        <f aca="false">'Data Apr 2025'!Z32</f>
        <v/>
      </c>
      <c r="AE20" s="26" t="n">
        <f aca="false">'Data Apr 2025'!AA32</f>
        <v>42000</v>
      </c>
      <c r="AF20" s="26" t="n">
        <f aca="false">'Data Apr 2025'!AB32</f>
        <v>42000</v>
      </c>
      <c r="AG20" s="26" t="n">
        <f aca="false">'Data Apr 2025'!AC32</f>
        <v>42000</v>
      </c>
      <c r="AH20" s="26" t="n">
        <f aca="false">'Data Apr 2025'!AD32</f>
        <v>42000</v>
      </c>
      <c r="AI20" s="26" t="n">
        <f aca="false">'Data Mei 2025'!Z32</f>
        <v>42000</v>
      </c>
      <c r="AJ20" s="26" t="n">
        <f aca="false">'Data Mei 2025'!AA32</f>
        <v>42000</v>
      </c>
      <c r="AK20" s="26" t="n">
        <f aca="false">'Data Mei 2025'!AB32</f>
        <v>42000</v>
      </c>
      <c r="AL20" s="26" t="n">
        <f aca="false">'Data Mei 2025'!AC32</f>
        <v>42000</v>
      </c>
      <c r="AM20" s="26" t="n">
        <f aca="false">'Data Mei 2025'!AD32</f>
        <v>42000</v>
      </c>
      <c r="AN20" s="26" t="n">
        <f aca="false">'Data Jun 2025'!X32</f>
        <v>42000</v>
      </c>
      <c r="AO20" s="26" t="n">
        <f aca="false">'Data Jun 2025'!Y32</f>
        <v>42000</v>
      </c>
      <c r="AP20" s="26" t="n">
        <f aca="false">'Data Jun 2025'!Z32</f>
        <v>42000</v>
      </c>
      <c r="AQ20" s="26" t="n">
        <f aca="false">'Data Jun 2025'!AA32</f>
        <v>42000</v>
      </c>
      <c r="AR20" s="26" t="n">
        <f aca="false">'Data Jul 2025'!AA32</f>
        <v>42000</v>
      </c>
      <c r="AS20" s="26" t="n">
        <f aca="false">'Data Jul 2025'!AB32</f>
        <v>42000</v>
      </c>
      <c r="AT20" s="26" t="n">
        <f aca="false">'Data Jul 2025'!AC32</f>
        <v>42000</v>
      </c>
      <c r="AU20" s="26" t="n">
        <f aca="false">'Data Jul 2025'!AD32</f>
        <v>42000</v>
      </c>
      <c r="AV20" s="26" t="n">
        <f aca="false">'Data Jul 2025'!AE32</f>
        <v>42000</v>
      </c>
      <c r="AW20" s="26" t="n">
        <f aca="false">'Data Agu 2025'!X32</f>
        <v>42000</v>
      </c>
      <c r="AX20" s="26" t="n">
        <f aca="false">'Data Agu 2025'!Y32</f>
        <v>42000</v>
      </c>
      <c r="AY20" s="26" t="n">
        <f aca="false">'Data Agu 2025'!Z32</f>
        <v>42000</v>
      </c>
      <c r="AZ20" s="26" t="n">
        <f aca="false">'Data Agu 2025'!AA32</f>
        <v>42000</v>
      </c>
      <c r="BA20" s="26" t="n">
        <f aca="false">'Data Sep 2025'!X32</f>
        <v>42000</v>
      </c>
      <c r="BB20" s="26" t="n">
        <f aca="false">'Data Sep 2025'!Y32</f>
        <v>42000</v>
      </c>
      <c r="BC20" s="26" t="n">
        <f aca="false">'Data Sep 2025'!Z32</f>
        <v>42000</v>
      </c>
      <c r="BD20" s="26" t="n">
        <f aca="false">'Data Sep 2025'!AA32</f>
        <v>42000</v>
      </c>
      <c r="BE20" s="26" t="n">
        <f aca="false">'Data Okt 2025'!AA32</f>
        <v>42000</v>
      </c>
      <c r="BF20" s="26" t="n">
        <f aca="false">'Data Okt 2025'!AB32</f>
        <v>42000</v>
      </c>
      <c r="BG20" s="26" t="n">
        <f aca="false">'Data Okt 2025'!AC32</f>
        <v>42000</v>
      </c>
      <c r="BH20" s="26" t="n">
        <f aca="false">'Data Okt 2025'!AD32</f>
        <v>42000</v>
      </c>
      <c r="BI20" s="26" t="n">
        <f aca="false">'Data Okt 2025'!AE32</f>
        <v>42000</v>
      </c>
      <c r="BJ20" s="26" t="n">
        <f aca="false">'Data Nov 2025'!X32</f>
        <v>42000</v>
      </c>
      <c r="BK20" s="26" t="n">
        <f aca="false">'Data Nov 2025'!Y32</f>
        <v>42000</v>
      </c>
      <c r="BL20" s="26" t="n">
        <f aca="false">'Data Nov 2025'!Z32</f>
        <v>42000</v>
      </c>
      <c r="BM20" s="26" t="n">
        <f aca="false">'Data Nov 2025'!AA32</f>
        <v>42000</v>
      </c>
      <c r="BN20" s="26" t="n">
        <f aca="false">'Data Des 2025'!AA32</f>
        <v>42000</v>
      </c>
      <c r="BO20" s="26" t="n">
        <f aca="false">'Data Des 2025'!AB32</f>
        <v>42000</v>
      </c>
      <c r="BP20" s="26" t="n">
        <f aca="false">'Data Des 2025'!AC32</f>
        <v>42000</v>
      </c>
      <c r="BQ20" s="26" t="n">
        <f aca="false">'Data Des 2025'!AD32</f>
        <v>42000</v>
      </c>
      <c r="BR20" s="26" t="n">
        <f aca="false">'Data Des 2025'!AE32</f>
        <v>42000</v>
      </c>
    </row>
    <row r="21" customFormat="false" ht="15" hidden="false" customHeight="false" outlineLevel="0" collapsed="false">
      <c r="A21" s="3" t="s">
        <v>250</v>
      </c>
      <c r="B21" s="25" t="s">
        <v>423</v>
      </c>
      <c r="C21" s="15"/>
      <c r="D21" s="26" t="n">
        <f aca="false">'Data Des 2024'!AB12</f>
        <v>27500</v>
      </c>
      <c r="E21" s="26" t="n">
        <f aca="false">'Data Jan 2025'!AF12</f>
        <v>23631.5789473684</v>
      </c>
      <c r="F21" s="26" t="n">
        <f aca="false">'Data Feb 2025'!AB12</f>
        <v>23776.3157894737</v>
      </c>
      <c r="G21" s="26" t="n">
        <f aca="false">'Data Mar 2025'!AD12</f>
        <v>24947.3684210526</v>
      </c>
      <c r="H21" s="26" t="n">
        <f aca="false">'Data Apr 2025'!AE12</f>
        <v>33812.5</v>
      </c>
      <c r="I21" s="26" t="n">
        <f aca="false">'Data Mei 2025'!AE12</f>
        <v>29529.4117647059</v>
      </c>
      <c r="J21" s="26" t="n">
        <f aca="false">'Data Jun 2025'!AB12</f>
        <v>25588.2352941176</v>
      </c>
      <c r="K21" s="26" t="n">
        <f aca="false">'Data Jul 2025'!AF12</f>
        <v>26347.8260869565</v>
      </c>
      <c r="L21" s="26" t="n">
        <f aca="false">'Data Agu 2025'!AB12</f>
        <v>29052.6315789474</v>
      </c>
      <c r="M21" s="26" t="n">
        <f aca="false">'Data Sep 2025'!AB12</f>
        <v>27368.4210526316</v>
      </c>
      <c r="N21" s="26" t="n">
        <f aca="false">'Data Okt 2025'!AF12</f>
        <v>23608.6956521739</v>
      </c>
      <c r="O21" s="26" t="n">
        <f aca="false">'Data Nov 2025'!AB12</f>
        <v>24150</v>
      </c>
      <c r="P21" s="26" t="n">
        <f aca="false">'Data Jan 2025'!AA12</f>
        <v>24000</v>
      </c>
      <c r="Q21" s="26" t="n">
        <f aca="false">'Data Jan 2025'!AB12</f>
        <v>24000</v>
      </c>
      <c r="R21" s="26" t="n">
        <f aca="false">'Data Jan 2025'!AC12</f>
        <v>24000</v>
      </c>
      <c r="S21" s="26" t="n">
        <f aca="false">'Data Jan 2025'!AD12</f>
        <v>23000</v>
      </c>
      <c r="T21" s="26" t="n">
        <f aca="false">'Data Jan 2025'!AE12</f>
        <v>23000</v>
      </c>
      <c r="U21" s="26" t="n">
        <f aca="false">'Data Feb 2025'!X12</f>
        <v>23150</v>
      </c>
      <c r="V21" s="26" t="n">
        <f aca="false">'Data Feb 2025'!Y12</f>
        <v>24000</v>
      </c>
      <c r="W21" s="26" t="n">
        <f aca="false">'Data Feb 2025'!Z12</f>
        <v>24000</v>
      </c>
      <c r="X21" s="26" t="n">
        <f aca="false">'Data Feb 2025'!AA12</f>
        <v>24000</v>
      </c>
      <c r="Y21" s="26" t="n">
        <f aca="false">'Data Mar 2025'!Y12</f>
        <v>24000</v>
      </c>
      <c r="Z21" s="26" t="n">
        <f aca="false">'Data Mar 2025'!Z12</f>
        <v>24000</v>
      </c>
      <c r="AA21" s="26" t="n">
        <f aca="false">'Data Mar 2025'!AA12</f>
        <v>25200</v>
      </c>
      <c r="AB21" s="26" t="n">
        <f aca="false">'Data Mar 2025'!AB12</f>
        <v>27000</v>
      </c>
      <c r="AC21" s="26" t="str">
        <f aca="false">'Data Mar 2025'!AC12</f>
        <v/>
      </c>
      <c r="AD21" s="26" t="str">
        <f aca="false">'Data Apr 2025'!Z12</f>
        <v/>
      </c>
      <c r="AE21" s="26" t="n">
        <f aca="false">'Data Apr 2025'!AA12</f>
        <v>35000</v>
      </c>
      <c r="AF21" s="26" t="n">
        <f aca="false">'Data Apr 2025'!AB12</f>
        <v>35000</v>
      </c>
      <c r="AG21" s="26" t="n">
        <f aca="false">'Data Apr 2025'!AC12</f>
        <v>34600</v>
      </c>
      <c r="AH21" s="26" t="n">
        <f aca="false">'Data Apr 2025'!AD12</f>
        <v>29333.3333333333</v>
      </c>
      <c r="AI21" s="26" t="n">
        <f aca="false">'Data Mei 2025'!Z12</f>
        <v>29000</v>
      </c>
      <c r="AJ21" s="26" t="n">
        <f aca="false">'Data Mei 2025'!AA12</f>
        <v>29400</v>
      </c>
      <c r="AK21" s="26" t="n">
        <f aca="false">'Data Mei 2025'!AB12</f>
        <v>30000</v>
      </c>
      <c r="AL21" s="26" t="n">
        <f aca="false">'Data Mei 2025'!AC12</f>
        <v>30000</v>
      </c>
      <c r="AM21" s="26" t="n">
        <f aca="false">'Data Mei 2025'!AD12</f>
        <v>28666.6666666667</v>
      </c>
      <c r="AN21" s="26" t="n">
        <f aca="false">'Data Jun 2025'!X12</f>
        <v>32750</v>
      </c>
      <c r="AO21" s="26" t="n">
        <f aca="false">'Data Jun 2025'!Y12</f>
        <v>27500</v>
      </c>
      <c r="AP21" s="26" t="n">
        <f aca="false">'Data Jun 2025'!Z12</f>
        <v>21200</v>
      </c>
      <c r="AQ21" s="26" t="n">
        <f aca="false">'Data Jun 2025'!AA12</f>
        <v>22000</v>
      </c>
      <c r="AR21" s="26" t="n">
        <f aca="false">'Data Jul 2025'!AA12</f>
        <v>22500</v>
      </c>
      <c r="AS21" s="26" t="n">
        <f aca="false">'Data Jul 2025'!AB12</f>
        <v>26600</v>
      </c>
      <c r="AT21" s="26" t="n">
        <f aca="false">'Data Jul 2025'!AC12</f>
        <v>26200</v>
      </c>
      <c r="AU21" s="26" t="n">
        <f aca="false">'Data Jul 2025'!AD12</f>
        <v>28000</v>
      </c>
      <c r="AV21" s="26" t="n">
        <f aca="false">'Data Jul 2025'!AE12</f>
        <v>28000</v>
      </c>
      <c r="AW21" s="26" t="n">
        <f aca="false">'Data Agu 2025'!X12</f>
        <v>28000</v>
      </c>
      <c r="AX21" s="26" t="n">
        <f aca="false">'Data Agu 2025'!Y12</f>
        <v>28400</v>
      </c>
      <c r="AY21" s="26" t="n">
        <f aca="false">'Data Agu 2025'!Z12</f>
        <v>30000</v>
      </c>
      <c r="AZ21" s="26" t="n">
        <f aca="false">'Data Agu 2025'!AA12</f>
        <v>30000</v>
      </c>
      <c r="BA21" s="26" t="n">
        <f aca="false">'Data Sep 2025'!X12</f>
        <v>29000</v>
      </c>
      <c r="BB21" s="26" t="n">
        <f aca="false">'Data Sep 2025'!Y12</f>
        <v>28000</v>
      </c>
      <c r="BC21" s="26" t="n">
        <f aca="false">'Data Sep 2025'!Z12</f>
        <v>28000</v>
      </c>
      <c r="BD21" s="26" t="n">
        <f aca="false">'Data Sep 2025'!AA12</f>
        <v>24800</v>
      </c>
      <c r="BE21" s="26" t="n">
        <f aca="false">'Data Okt 2025'!AA12</f>
        <v>25000</v>
      </c>
      <c r="BF21" s="26" t="n">
        <f aca="false">'Data Okt 2025'!AB12</f>
        <v>24400</v>
      </c>
      <c r="BG21" s="26" t="n">
        <f aca="false">'Data Okt 2025'!AC12</f>
        <v>22000</v>
      </c>
      <c r="BH21" s="26" t="n">
        <f aca="false">'Data Okt 2025'!AD12</f>
        <v>23200</v>
      </c>
      <c r="BI21" s="26" t="n">
        <f aca="false">'Data Okt 2025'!AE12</f>
        <v>24000</v>
      </c>
      <c r="BJ21" s="26" t="n">
        <f aca="false">'Data Nov 2025'!X12</f>
        <v>23600</v>
      </c>
      <c r="BK21" s="26" t="n">
        <f aca="false">'Data Nov 2025'!Y12</f>
        <v>23000</v>
      </c>
      <c r="BL21" s="26" t="n">
        <f aca="false">'Data Nov 2025'!Z12</f>
        <v>24600</v>
      </c>
      <c r="BM21" s="26" t="n">
        <f aca="false">'Data Nov 2025'!AA12</f>
        <v>25400</v>
      </c>
      <c r="BN21" s="26" t="n">
        <f aca="false">'Data Des 2025'!AA12</f>
        <v>26400</v>
      </c>
      <c r="BO21" s="26" t="n">
        <f aca="false">'Data Des 2025'!AB12</f>
        <v>26600</v>
      </c>
      <c r="BP21" s="26" t="n">
        <f aca="false">'Data Des 2025'!AC12</f>
        <v>26000</v>
      </c>
      <c r="BQ21" s="26" t="n">
        <f aca="false">'Data Des 2025'!AD12</f>
        <v>27333.3333333333</v>
      </c>
      <c r="BR21" s="26" t="n">
        <f aca="false">'Data Des 2025'!AE12</f>
        <v>28000</v>
      </c>
    </row>
    <row r="22" customFormat="false" ht="15" hidden="false" customHeight="false" outlineLevel="0" collapsed="false">
      <c r="A22" s="3" t="s">
        <v>251</v>
      </c>
      <c r="B22" s="25" t="s">
        <v>424</v>
      </c>
      <c r="C22" s="15"/>
      <c r="D22" s="26" t="n">
        <f aca="false">'Data Des 2024'!AB27</f>
        <v>35444.4444444444</v>
      </c>
      <c r="E22" s="26" t="n">
        <f aca="false">'Data Jan 2025'!AF27</f>
        <v>34000</v>
      </c>
      <c r="F22" s="26" t="n">
        <f aca="false">'Data Feb 2025'!AB27</f>
        <v>35210.5263157895</v>
      </c>
      <c r="G22" s="26" t="n">
        <f aca="false">'Data Mar 2025'!AD27</f>
        <v>36105.2631578947</v>
      </c>
      <c r="H22" s="26" t="n">
        <f aca="false">'Data Apr 2025'!AE27</f>
        <v>35312.5</v>
      </c>
      <c r="I22" s="26" t="n">
        <f aca="false">'Data Mei 2025'!AE27</f>
        <v>32000</v>
      </c>
      <c r="J22" s="26" t="n">
        <f aca="false">'Data Jun 2025'!AB27</f>
        <v>26058.8235294118</v>
      </c>
      <c r="K22" s="26" t="n">
        <f aca="false">'Data Jul 2025'!AF27</f>
        <v>25391.3043478261</v>
      </c>
      <c r="L22" s="26" t="n">
        <f aca="false">'Data Agu 2025'!AB27</f>
        <v>24000</v>
      </c>
      <c r="M22" s="26" t="n">
        <f aca="false">'Data Sep 2025'!AB27</f>
        <v>24000</v>
      </c>
      <c r="N22" s="26" t="n">
        <f aca="false">'Data Okt 2025'!AF27</f>
        <v>23304.347826087</v>
      </c>
      <c r="O22" s="26" t="n">
        <f aca="false">'Data Nov 2025'!AB27</f>
        <v>23600</v>
      </c>
      <c r="P22" s="26" t="n">
        <f aca="false">'Data Jan 2025'!AA27</f>
        <v>34000</v>
      </c>
      <c r="Q22" s="26" t="n">
        <f aca="false">'Data Jan 2025'!AB27</f>
        <v>34000</v>
      </c>
      <c r="R22" s="26" t="n">
        <f aca="false">'Data Jan 2025'!AC27</f>
        <v>34000</v>
      </c>
      <c r="S22" s="26" t="n">
        <f aca="false">'Data Jan 2025'!AD27</f>
        <v>34000</v>
      </c>
      <c r="T22" s="26" t="n">
        <f aca="false">'Data Jan 2025'!AE27</f>
        <v>34000</v>
      </c>
      <c r="U22" s="26" t="n">
        <f aca="false">'Data Feb 2025'!X27</f>
        <v>34000</v>
      </c>
      <c r="V22" s="26" t="n">
        <f aca="false">'Data Feb 2025'!Y27</f>
        <v>35000</v>
      </c>
      <c r="W22" s="26" t="n">
        <f aca="false">'Data Feb 2025'!Z27</f>
        <v>36000</v>
      </c>
      <c r="X22" s="26" t="n">
        <f aca="false">'Data Feb 2025'!AA27</f>
        <v>36000</v>
      </c>
      <c r="Y22" s="26" t="n">
        <f aca="false">'Data Mar 2025'!Y27</f>
        <v>36000</v>
      </c>
      <c r="Z22" s="26" t="n">
        <f aca="false">'Data Mar 2025'!Z27</f>
        <v>36000</v>
      </c>
      <c r="AA22" s="26" t="n">
        <f aca="false">'Data Mar 2025'!AA27</f>
        <v>36000</v>
      </c>
      <c r="AB22" s="26" t="n">
        <f aca="false">'Data Mar 2025'!AB27</f>
        <v>36500</v>
      </c>
      <c r="AC22" s="26" t="str">
        <f aca="false">'Data Mar 2025'!AC27</f>
        <v/>
      </c>
      <c r="AD22" s="26" t="str">
        <f aca="false">'Data Apr 2025'!Z27</f>
        <v/>
      </c>
      <c r="AE22" s="26" t="n">
        <f aca="false">'Data Apr 2025'!AA27</f>
        <v>39000</v>
      </c>
      <c r="AF22" s="26" t="n">
        <f aca="false">'Data Apr 2025'!AB27</f>
        <v>35000</v>
      </c>
      <c r="AG22" s="26" t="n">
        <f aca="false">'Data Apr 2025'!AC27</f>
        <v>34600</v>
      </c>
      <c r="AH22" s="26" t="n">
        <f aca="false">'Data Apr 2025'!AD27</f>
        <v>32000</v>
      </c>
      <c r="AI22" s="26" t="n">
        <f aca="false">'Data Mei 2025'!Z27</f>
        <v>32000</v>
      </c>
      <c r="AJ22" s="26" t="n">
        <f aca="false">'Data Mei 2025'!AA27</f>
        <v>32000</v>
      </c>
      <c r="AK22" s="26" t="n">
        <f aca="false">'Data Mei 2025'!AB27</f>
        <v>32000</v>
      </c>
      <c r="AL22" s="26" t="n">
        <f aca="false">'Data Mei 2025'!AC27</f>
        <v>32000</v>
      </c>
      <c r="AM22" s="26" t="n">
        <f aca="false">'Data Mei 2025'!AD27</f>
        <v>32000</v>
      </c>
      <c r="AN22" s="26" t="n">
        <f aca="false">'Data Jun 2025'!X27</f>
        <v>27000</v>
      </c>
      <c r="AO22" s="26" t="n">
        <f aca="false">'Data Jun 2025'!Y27</f>
        <v>27000</v>
      </c>
      <c r="AP22" s="26" t="n">
        <f aca="false">'Data Jun 2025'!Z27</f>
        <v>25400</v>
      </c>
      <c r="AQ22" s="26" t="n">
        <f aca="false">'Data Jun 2025'!AA27</f>
        <v>25000</v>
      </c>
      <c r="AR22" s="26" t="n">
        <f aca="false">'Data Jul 2025'!AA27</f>
        <v>25000</v>
      </c>
      <c r="AS22" s="26" t="n">
        <f aca="false">'Data Jul 2025'!AB27</f>
        <v>27000</v>
      </c>
      <c r="AT22" s="26" t="n">
        <f aca="false">'Data Jul 2025'!AC27</f>
        <v>25400</v>
      </c>
      <c r="AU22" s="26" t="n">
        <f aca="false">'Data Jul 2025'!AD27</f>
        <v>25000</v>
      </c>
      <c r="AV22" s="26" t="n">
        <f aca="false">'Data Jul 2025'!AE27</f>
        <v>24250</v>
      </c>
      <c r="AW22" s="26" t="n">
        <f aca="false">'Data Agu 2025'!X27</f>
        <v>24000</v>
      </c>
      <c r="AX22" s="26" t="n">
        <f aca="false">'Data Agu 2025'!Y27</f>
        <v>24000</v>
      </c>
      <c r="AY22" s="26" t="n">
        <f aca="false">'Data Agu 2025'!Z27</f>
        <v>24000</v>
      </c>
      <c r="AZ22" s="26" t="n">
        <f aca="false">'Data Agu 2025'!AA27</f>
        <v>24000</v>
      </c>
      <c r="BA22" s="26" t="n">
        <f aca="false">'Data Sep 2025'!X27</f>
        <v>24000</v>
      </c>
      <c r="BB22" s="26" t="n">
        <f aca="false">'Data Sep 2025'!Y27</f>
        <v>24000</v>
      </c>
      <c r="BC22" s="26" t="n">
        <f aca="false">'Data Sep 2025'!Z27</f>
        <v>24000</v>
      </c>
      <c r="BD22" s="26" t="n">
        <f aca="false">'Data Sep 2025'!AA27</f>
        <v>24000</v>
      </c>
      <c r="BE22" s="26" t="n">
        <f aca="false">'Data Okt 2025'!AA27</f>
        <v>24000</v>
      </c>
      <c r="BF22" s="26" t="n">
        <f aca="false">'Data Okt 2025'!AB27</f>
        <v>23600</v>
      </c>
      <c r="BG22" s="26" t="n">
        <f aca="false">'Data Okt 2025'!AC27</f>
        <v>22000</v>
      </c>
      <c r="BH22" s="26" t="n">
        <f aca="false">'Data Okt 2025'!AD27</f>
        <v>23200</v>
      </c>
      <c r="BI22" s="26" t="n">
        <f aca="false">'Data Okt 2025'!AE27</f>
        <v>24000</v>
      </c>
      <c r="BJ22" s="26" t="n">
        <f aca="false">'Data Nov 2025'!X27</f>
        <v>23600</v>
      </c>
      <c r="BK22" s="26" t="n">
        <f aca="false">'Data Nov 2025'!Y27</f>
        <v>23000</v>
      </c>
      <c r="BL22" s="26" t="n">
        <f aca="false">'Data Nov 2025'!Z27</f>
        <v>23800</v>
      </c>
      <c r="BM22" s="26" t="n">
        <f aca="false">'Data Nov 2025'!AA27</f>
        <v>24000</v>
      </c>
      <c r="BN22" s="26" t="n">
        <f aca="false">'Data Des 2025'!AA27</f>
        <v>24000</v>
      </c>
      <c r="BO22" s="26" t="n">
        <f aca="false">'Data Des 2025'!AB27</f>
        <v>23400</v>
      </c>
      <c r="BP22" s="26" t="n">
        <f aca="false">'Data Des 2025'!AC27</f>
        <v>22200</v>
      </c>
      <c r="BQ22" s="26" t="n">
        <f aca="false">'Data Des 2025'!AD27</f>
        <v>23666.6666666667</v>
      </c>
      <c r="BR22" s="26" t="n">
        <f aca="false">'Data Des 2025'!AE27</f>
        <v>24000</v>
      </c>
    </row>
    <row r="23" customFormat="false" ht="15" hidden="false" customHeight="false" outlineLevel="0" collapsed="false">
      <c r="A23" s="3" t="s">
        <v>251</v>
      </c>
      <c r="B23" s="25" t="s">
        <v>425</v>
      </c>
      <c r="C23" s="15"/>
      <c r="D23" s="26" t="n">
        <f aca="false">'Data Des 2024'!AB28</f>
        <v>38166.6666666667</v>
      </c>
      <c r="E23" s="26" t="n">
        <f aca="false">'Data Jan 2025'!AF28</f>
        <v>38000</v>
      </c>
      <c r="F23" s="26" t="n">
        <f aca="false">'Data Feb 2025'!AB28</f>
        <v>38000</v>
      </c>
      <c r="G23" s="26" t="n">
        <f aca="false">'Data Mar 2025'!AD28</f>
        <v>36105.2631578947</v>
      </c>
      <c r="H23" s="26" t="n">
        <f aca="false">'Data Apr 2025'!AE28</f>
        <v>35312.5</v>
      </c>
      <c r="I23" s="26" t="n">
        <f aca="false">'Data Mei 2025'!AE28</f>
        <v>33000</v>
      </c>
      <c r="J23" s="26" t="n">
        <f aca="false">'Data Jun 2025'!AB28</f>
        <v>31588.2352941176</v>
      </c>
      <c r="K23" s="26" t="n">
        <f aca="false">'Data Jul 2025'!AF28</f>
        <v>30000</v>
      </c>
      <c r="L23" s="26" t="n">
        <f aca="false">'Data Agu 2025'!AB28</f>
        <v>30000</v>
      </c>
      <c r="M23" s="26" t="n">
        <f aca="false">'Data Sep 2025'!AB28</f>
        <v>30000</v>
      </c>
      <c r="N23" s="26" t="n">
        <f aca="false">'Data Okt 2025'!AF28</f>
        <v>30000</v>
      </c>
      <c r="O23" s="26" t="n">
        <f aca="false">'Data Nov 2025'!AB28</f>
        <v>30000</v>
      </c>
      <c r="P23" s="26" t="n">
        <f aca="false">'Data Jan 2025'!AA28</f>
        <v>38000</v>
      </c>
      <c r="Q23" s="26" t="n">
        <f aca="false">'Data Jan 2025'!AB28</f>
        <v>38000</v>
      </c>
      <c r="R23" s="26" t="n">
        <f aca="false">'Data Jan 2025'!AC28</f>
        <v>38000</v>
      </c>
      <c r="S23" s="26" t="n">
        <f aca="false">'Data Jan 2025'!AD28</f>
        <v>38000</v>
      </c>
      <c r="T23" s="26" t="n">
        <f aca="false">'Data Jan 2025'!AE28</f>
        <v>38000</v>
      </c>
      <c r="U23" s="26" t="n">
        <f aca="false">'Data Feb 2025'!X28</f>
        <v>38000</v>
      </c>
      <c r="V23" s="26" t="n">
        <f aca="false">'Data Feb 2025'!Y28</f>
        <v>38000</v>
      </c>
      <c r="W23" s="26" t="n">
        <f aca="false">'Data Feb 2025'!Z28</f>
        <v>38000</v>
      </c>
      <c r="X23" s="26" t="n">
        <f aca="false">'Data Feb 2025'!AA28</f>
        <v>38000</v>
      </c>
      <c r="Y23" s="26" t="n">
        <f aca="false">'Data Mar 2025'!Y28</f>
        <v>36400</v>
      </c>
      <c r="Z23" s="26" t="n">
        <f aca="false">'Data Mar 2025'!Z28</f>
        <v>36000</v>
      </c>
      <c r="AA23" s="26" t="n">
        <f aca="false">'Data Mar 2025'!AA28</f>
        <v>36000</v>
      </c>
      <c r="AB23" s="26" t="n">
        <f aca="false">'Data Mar 2025'!AB28</f>
        <v>36000</v>
      </c>
      <c r="AC23" s="26" t="str">
        <f aca="false">'Data Mar 2025'!AC28</f>
        <v/>
      </c>
      <c r="AD23" s="26" t="str">
        <f aca="false">'Data Apr 2025'!Z28</f>
        <v/>
      </c>
      <c r="AE23" s="26" t="n">
        <f aca="false">'Data Apr 2025'!AA28</f>
        <v>36000</v>
      </c>
      <c r="AF23" s="26" t="n">
        <f aca="false">'Data Apr 2025'!AB28</f>
        <v>36000</v>
      </c>
      <c r="AG23" s="26" t="n">
        <f aca="false">'Data Apr 2025'!AC28</f>
        <v>35600</v>
      </c>
      <c r="AH23" s="26" t="n">
        <f aca="false">'Data Apr 2025'!AD28</f>
        <v>33000</v>
      </c>
      <c r="AI23" s="26" t="n">
        <f aca="false">'Data Mei 2025'!Z28</f>
        <v>33000</v>
      </c>
      <c r="AJ23" s="26" t="n">
        <f aca="false">'Data Mei 2025'!AA28</f>
        <v>33000</v>
      </c>
      <c r="AK23" s="26" t="n">
        <f aca="false">'Data Mei 2025'!AB28</f>
        <v>33000</v>
      </c>
      <c r="AL23" s="26" t="n">
        <f aca="false">'Data Mei 2025'!AC28</f>
        <v>33000</v>
      </c>
      <c r="AM23" s="26" t="n">
        <f aca="false">'Data Mei 2025'!AD28</f>
        <v>33000</v>
      </c>
      <c r="AN23" s="26" t="n">
        <f aca="false">'Data Jun 2025'!X28</f>
        <v>33000</v>
      </c>
      <c r="AO23" s="26" t="n">
        <f aca="false">'Data Jun 2025'!Y28</f>
        <v>33000</v>
      </c>
      <c r="AP23" s="26" t="n">
        <f aca="false">'Data Jun 2025'!Z28</f>
        <v>30600</v>
      </c>
      <c r="AQ23" s="26" t="n">
        <f aca="false">'Data Jun 2025'!AA28</f>
        <v>30000</v>
      </c>
      <c r="AR23" s="26" t="n">
        <f aca="false">'Data Jul 2025'!AA28</f>
        <v>30000</v>
      </c>
      <c r="AS23" s="26" t="n">
        <f aca="false">'Data Jul 2025'!AB28</f>
        <v>30000</v>
      </c>
      <c r="AT23" s="26" t="n">
        <f aca="false">'Data Jul 2025'!AC28</f>
        <v>30000</v>
      </c>
      <c r="AU23" s="26" t="n">
        <f aca="false">'Data Jul 2025'!AD28</f>
        <v>30000</v>
      </c>
      <c r="AV23" s="26" t="n">
        <f aca="false">'Data Jul 2025'!AE28</f>
        <v>30000</v>
      </c>
      <c r="AW23" s="26" t="n">
        <f aca="false">'Data Agu 2025'!X28</f>
        <v>30000</v>
      </c>
      <c r="AX23" s="26" t="n">
        <f aca="false">'Data Agu 2025'!Y28</f>
        <v>30000</v>
      </c>
      <c r="AY23" s="26" t="n">
        <f aca="false">'Data Agu 2025'!Z28</f>
        <v>30000</v>
      </c>
      <c r="AZ23" s="26" t="n">
        <f aca="false">'Data Agu 2025'!AA28</f>
        <v>30000</v>
      </c>
      <c r="BA23" s="26" t="n">
        <f aca="false">'Data Sep 2025'!X28</f>
        <v>30000</v>
      </c>
      <c r="BB23" s="26" t="n">
        <f aca="false">'Data Sep 2025'!Y28</f>
        <v>30000</v>
      </c>
      <c r="BC23" s="26" t="n">
        <f aca="false">'Data Sep 2025'!Z28</f>
        <v>30000</v>
      </c>
      <c r="BD23" s="26" t="n">
        <f aca="false">'Data Sep 2025'!AA28</f>
        <v>30000</v>
      </c>
      <c r="BE23" s="26" t="n">
        <f aca="false">'Data Okt 2025'!AA28</f>
        <v>30000</v>
      </c>
      <c r="BF23" s="26" t="n">
        <f aca="false">'Data Okt 2025'!AB28</f>
        <v>30000</v>
      </c>
      <c r="BG23" s="26" t="n">
        <f aca="false">'Data Okt 2025'!AC28</f>
        <v>30000</v>
      </c>
      <c r="BH23" s="26" t="n">
        <f aca="false">'Data Okt 2025'!AD28</f>
        <v>30000</v>
      </c>
      <c r="BI23" s="26" t="n">
        <f aca="false">'Data Okt 2025'!AE28</f>
        <v>30000</v>
      </c>
      <c r="BJ23" s="26" t="n">
        <f aca="false">'Data Nov 2025'!X28</f>
        <v>30000</v>
      </c>
      <c r="BK23" s="26" t="n">
        <f aca="false">'Data Nov 2025'!Y28</f>
        <v>30000</v>
      </c>
      <c r="BL23" s="26" t="n">
        <f aca="false">'Data Nov 2025'!Z28</f>
        <v>30000</v>
      </c>
      <c r="BM23" s="26" t="n">
        <f aca="false">'Data Nov 2025'!AA28</f>
        <v>30000</v>
      </c>
      <c r="BN23" s="26" t="n">
        <f aca="false">'Data Des 2025'!AA28</f>
        <v>30000</v>
      </c>
      <c r="BO23" s="26" t="n">
        <f aca="false">'Data Des 2025'!AB28</f>
        <v>30000</v>
      </c>
      <c r="BP23" s="26" t="n">
        <f aca="false">'Data Des 2025'!AC28</f>
        <v>30000</v>
      </c>
      <c r="BQ23" s="26" t="n">
        <f aca="false">'Data Des 2025'!AD28</f>
        <v>30000</v>
      </c>
      <c r="BR23" s="26" t="n">
        <f aca="false">'Data Des 2025'!AE28</f>
        <v>30000</v>
      </c>
    </row>
    <row r="24" customFormat="false" ht="15" hidden="false" customHeight="false" outlineLevel="0" collapsed="false">
      <c r="A24" s="3" t="s">
        <v>252</v>
      </c>
      <c r="B24" s="25" t="s">
        <v>426</v>
      </c>
      <c r="C24" s="15"/>
      <c r="D24" s="26" t="n">
        <f aca="false">'Data Des 2024'!AB26</f>
        <v>2800</v>
      </c>
      <c r="E24" s="26" t="n">
        <f aca="false">'Data Jan 2025'!AF26</f>
        <v>2800</v>
      </c>
      <c r="F24" s="26" t="n">
        <f aca="false">'Data Feb 2025'!AB26</f>
        <v>2800</v>
      </c>
      <c r="G24" s="26" t="n">
        <f aca="false">'Data Mar 2025'!AD26</f>
        <v>2800</v>
      </c>
      <c r="H24" s="26" t="n">
        <f aca="false">'Data Apr 2025'!AE26</f>
        <v>2800</v>
      </c>
      <c r="I24" s="26" t="n">
        <f aca="false">'Data Mei 2025'!AE26</f>
        <v>2800</v>
      </c>
      <c r="J24" s="26" t="n">
        <f aca="false">'Data Jun 2025'!AB26</f>
        <v>2800</v>
      </c>
      <c r="K24" s="26" t="n">
        <f aca="false">'Data Jul 2025'!AF26</f>
        <v>2800</v>
      </c>
      <c r="L24" s="26" t="n">
        <f aca="false">'Data Agu 2025'!AB26</f>
        <v>2800</v>
      </c>
      <c r="M24" s="26" t="n">
        <f aca="false">'Data Sep 2025'!AB26</f>
        <v>2800</v>
      </c>
      <c r="N24" s="26" t="n">
        <f aca="false">'Data Okt 2025'!AF26</f>
        <v>2800</v>
      </c>
      <c r="O24" s="26" t="n">
        <f aca="false">'Data Nov 2025'!AB26</f>
        <v>2800</v>
      </c>
      <c r="P24" s="26" t="n">
        <f aca="false">'Data Jan 2025'!AA26</f>
        <v>2800</v>
      </c>
      <c r="Q24" s="26" t="n">
        <f aca="false">'Data Jan 2025'!AB26</f>
        <v>2800</v>
      </c>
      <c r="R24" s="26" t="n">
        <f aca="false">'Data Jan 2025'!AC26</f>
        <v>2800</v>
      </c>
      <c r="S24" s="26" t="n">
        <f aca="false">'Data Jan 2025'!AD26</f>
        <v>2800</v>
      </c>
      <c r="T24" s="26" t="n">
        <f aca="false">'Data Jan 2025'!AE26</f>
        <v>2800</v>
      </c>
      <c r="U24" s="26" t="n">
        <f aca="false">'Data Feb 2025'!X26</f>
        <v>2800</v>
      </c>
      <c r="V24" s="26" t="n">
        <f aca="false">'Data Feb 2025'!Y26</f>
        <v>2800</v>
      </c>
      <c r="W24" s="26" t="n">
        <f aca="false">'Data Feb 2025'!Z26</f>
        <v>2800</v>
      </c>
      <c r="X24" s="26" t="n">
        <f aca="false">'Data Feb 2025'!AA26</f>
        <v>2800</v>
      </c>
      <c r="Y24" s="26" t="n">
        <f aca="false">'Data Mar 2025'!Y26</f>
        <v>2800</v>
      </c>
      <c r="Z24" s="26" t="n">
        <f aca="false">'Data Mar 2025'!Z26</f>
        <v>2800</v>
      </c>
      <c r="AA24" s="26" t="n">
        <f aca="false">'Data Mar 2025'!AA26</f>
        <v>2800</v>
      </c>
      <c r="AB24" s="26" t="n">
        <f aca="false">'Data Mar 2025'!AB26</f>
        <v>2800</v>
      </c>
      <c r="AC24" s="26" t="str">
        <f aca="false">'Data Mar 2025'!AC26</f>
        <v/>
      </c>
      <c r="AD24" s="26" t="str">
        <f aca="false">'Data Apr 2025'!Z26</f>
        <v/>
      </c>
      <c r="AE24" s="26" t="n">
        <f aca="false">'Data Apr 2025'!AA26</f>
        <v>2800</v>
      </c>
      <c r="AF24" s="26" t="n">
        <f aca="false">'Data Apr 2025'!AB26</f>
        <v>2800</v>
      </c>
      <c r="AG24" s="26" t="n">
        <f aca="false">'Data Apr 2025'!AC26</f>
        <v>2800</v>
      </c>
      <c r="AH24" s="26" t="n">
        <f aca="false">'Data Apr 2025'!AD26</f>
        <v>2800</v>
      </c>
      <c r="AI24" s="26" t="n">
        <f aca="false">'Data Mei 2025'!Z26</f>
        <v>2800</v>
      </c>
      <c r="AJ24" s="26" t="n">
        <f aca="false">'Data Mei 2025'!AA26</f>
        <v>2800</v>
      </c>
      <c r="AK24" s="26" t="n">
        <f aca="false">'Data Mei 2025'!AB26</f>
        <v>2800</v>
      </c>
      <c r="AL24" s="26" t="n">
        <f aca="false">'Data Mei 2025'!AC26</f>
        <v>2800</v>
      </c>
      <c r="AM24" s="26" t="n">
        <f aca="false">'Data Mei 2025'!AD26</f>
        <v>2800</v>
      </c>
      <c r="AN24" s="26" t="n">
        <f aca="false">'Data Jun 2025'!X26</f>
        <v>2800</v>
      </c>
      <c r="AO24" s="26" t="n">
        <f aca="false">'Data Jun 2025'!Y26</f>
        <v>2800</v>
      </c>
      <c r="AP24" s="26" t="n">
        <f aca="false">'Data Jun 2025'!Z26</f>
        <v>2800</v>
      </c>
      <c r="AQ24" s="26" t="n">
        <f aca="false">'Data Jun 2025'!AA26</f>
        <v>2800</v>
      </c>
      <c r="AR24" s="26" t="n">
        <f aca="false">'Data Jul 2025'!AA26</f>
        <v>2800</v>
      </c>
      <c r="AS24" s="26" t="n">
        <f aca="false">'Data Jul 2025'!AB26</f>
        <v>2800</v>
      </c>
      <c r="AT24" s="26" t="n">
        <f aca="false">'Data Jul 2025'!AC26</f>
        <v>2800</v>
      </c>
      <c r="AU24" s="26" t="n">
        <f aca="false">'Data Jul 2025'!AD26</f>
        <v>2800</v>
      </c>
      <c r="AV24" s="26" t="n">
        <f aca="false">'Data Jul 2025'!AE26</f>
        <v>2800</v>
      </c>
      <c r="AW24" s="26" t="n">
        <f aca="false">'Data Agu 2025'!X26</f>
        <v>2800</v>
      </c>
      <c r="AX24" s="26" t="n">
        <f aca="false">'Data Agu 2025'!Y26</f>
        <v>2800</v>
      </c>
      <c r="AY24" s="26" t="n">
        <f aca="false">'Data Agu 2025'!Z26</f>
        <v>2800</v>
      </c>
      <c r="AZ24" s="26" t="n">
        <f aca="false">'Data Agu 2025'!AA26</f>
        <v>2800</v>
      </c>
      <c r="BA24" s="26" t="n">
        <f aca="false">'Data Sep 2025'!X26</f>
        <v>2800</v>
      </c>
      <c r="BB24" s="26" t="n">
        <f aca="false">'Data Sep 2025'!Y26</f>
        <v>2800</v>
      </c>
      <c r="BC24" s="26" t="n">
        <f aca="false">'Data Sep 2025'!Z26</f>
        <v>2800</v>
      </c>
      <c r="BD24" s="26" t="n">
        <f aca="false">'Data Sep 2025'!AA26</f>
        <v>2800</v>
      </c>
      <c r="BE24" s="26" t="n">
        <f aca="false">'Data Okt 2025'!AA26</f>
        <v>2800</v>
      </c>
      <c r="BF24" s="26" t="n">
        <f aca="false">'Data Okt 2025'!AB26</f>
        <v>2800</v>
      </c>
      <c r="BG24" s="26" t="n">
        <f aca="false">'Data Okt 2025'!AC26</f>
        <v>2800</v>
      </c>
      <c r="BH24" s="26" t="n">
        <f aca="false">'Data Okt 2025'!AD26</f>
        <v>2800</v>
      </c>
      <c r="BI24" s="26" t="n">
        <f aca="false">'Data Okt 2025'!AE26</f>
        <v>2800</v>
      </c>
      <c r="BJ24" s="26" t="n">
        <f aca="false">'Data Nov 2025'!X26</f>
        <v>2800</v>
      </c>
      <c r="BK24" s="26" t="n">
        <f aca="false">'Data Nov 2025'!Y26</f>
        <v>2800</v>
      </c>
      <c r="BL24" s="26" t="n">
        <f aca="false">'Data Nov 2025'!Z26</f>
        <v>2800</v>
      </c>
      <c r="BM24" s="26" t="n">
        <f aca="false">'Data Nov 2025'!AA26</f>
        <v>2800</v>
      </c>
      <c r="BN24" s="26" t="n">
        <f aca="false">'Data Des 2025'!AA26</f>
        <v>2800</v>
      </c>
      <c r="BO24" s="26" t="n">
        <f aca="false">'Data Des 2025'!AB26</f>
        <v>2800</v>
      </c>
      <c r="BP24" s="26" t="n">
        <f aca="false">'Data Des 2025'!AC26</f>
        <v>2800</v>
      </c>
      <c r="BQ24" s="26" t="n">
        <f aca="false">'Data Des 2025'!AD26</f>
        <v>2800</v>
      </c>
      <c r="BR24" s="26" t="n">
        <f aca="false">'Data Des 2025'!AE26</f>
        <v>2800</v>
      </c>
    </row>
    <row r="25" customFormat="false" ht="15" hidden="false" customHeight="false" outlineLevel="0" collapsed="false">
      <c r="A25" s="3" t="s">
        <v>253</v>
      </c>
      <c r="B25" s="25" t="s">
        <v>427</v>
      </c>
      <c r="C25" s="15" t="s">
        <v>254</v>
      </c>
      <c r="D25" s="26" t="n">
        <f aca="false">'Data Des 2024'!AB31</f>
        <v>10500</v>
      </c>
      <c r="E25" s="26" t="n">
        <f aca="false">'Data Jan 2025'!AF31</f>
        <v>10500</v>
      </c>
      <c r="F25" s="26" t="n">
        <f aca="false">'Data Feb 2025'!AB31</f>
        <v>10500</v>
      </c>
      <c r="G25" s="26" t="n">
        <f aca="false">'Data Mar 2025'!AD31</f>
        <v>10500</v>
      </c>
      <c r="H25" s="26" t="n">
        <f aca="false">'Data Apr 2025'!AE31</f>
        <v>10500</v>
      </c>
      <c r="I25" s="26" t="n">
        <f aca="false">'Data Mei 2025'!AE31</f>
        <v>10500</v>
      </c>
      <c r="J25" s="26" t="n">
        <f aca="false">'Data Jun 2025'!AB31</f>
        <v>10500</v>
      </c>
      <c r="K25" s="26" t="n">
        <f aca="false">'Data Jul 2025'!AF31</f>
        <v>10500</v>
      </c>
      <c r="L25" s="26" t="n">
        <f aca="false">'Data Agu 2025'!AB31</f>
        <v>10500</v>
      </c>
      <c r="M25" s="26" t="n">
        <f aca="false">'Data Sep 2025'!AB31</f>
        <v>10500</v>
      </c>
      <c r="N25" s="26" t="n">
        <f aca="false">'Data Okt 2025'!AF31</f>
        <v>10500</v>
      </c>
      <c r="O25" s="26" t="n">
        <f aca="false">'Data Nov 2025'!AB31</f>
        <v>10500</v>
      </c>
      <c r="P25" s="26" t="n">
        <f aca="false">'Data Jan 2025'!AA31</f>
        <v>10500</v>
      </c>
      <c r="Q25" s="26" t="n">
        <f aca="false">'Data Jan 2025'!AB31</f>
        <v>10500</v>
      </c>
      <c r="R25" s="26" t="n">
        <f aca="false">'Data Jan 2025'!AC31</f>
        <v>10500</v>
      </c>
      <c r="S25" s="26" t="n">
        <f aca="false">'Data Jan 2025'!AD31</f>
        <v>10500</v>
      </c>
      <c r="T25" s="26" t="n">
        <f aca="false">'Data Jan 2025'!AE31</f>
        <v>10500</v>
      </c>
      <c r="U25" s="26" t="n">
        <f aca="false">'Data Feb 2025'!X31</f>
        <v>10500</v>
      </c>
      <c r="V25" s="26" t="n">
        <f aca="false">'Data Feb 2025'!Y31</f>
        <v>10500</v>
      </c>
      <c r="W25" s="26" t="n">
        <f aca="false">'Data Feb 2025'!Z31</f>
        <v>10500</v>
      </c>
      <c r="X25" s="26" t="n">
        <f aca="false">'Data Feb 2025'!AA31</f>
        <v>10500</v>
      </c>
      <c r="Y25" s="26" t="n">
        <f aca="false">'Data Mar 2025'!Y31</f>
        <v>10500</v>
      </c>
      <c r="Z25" s="26" t="n">
        <f aca="false">'Data Mar 2025'!Z31</f>
        <v>10500</v>
      </c>
      <c r="AA25" s="26" t="n">
        <f aca="false">'Data Mar 2025'!AA31</f>
        <v>10500</v>
      </c>
      <c r="AB25" s="26" t="n">
        <f aca="false">'Data Mar 2025'!AB31</f>
        <v>10500</v>
      </c>
      <c r="AC25" s="26" t="str">
        <f aca="false">'Data Mar 2025'!AC31</f>
        <v/>
      </c>
      <c r="AD25" s="26" t="str">
        <f aca="false">'Data Apr 2025'!Z31</f>
        <v/>
      </c>
      <c r="AE25" s="26" t="n">
        <f aca="false">'Data Apr 2025'!AA31</f>
        <v>10500</v>
      </c>
      <c r="AF25" s="26" t="n">
        <f aca="false">'Data Apr 2025'!AB31</f>
        <v>10500</v>
      </c>
      <c r="AG25" s="26" t="n">
        <f aca="false">'Data Apr 2025'!AC31</f>
        <v>10500</v>
      </c>
      <c r="AH25" s="26" t="n">
        <f aca="false">'Data Apr 2025'!AD31</f>
        <v>10500</v>
      </c>
      <c r="AI25" s="26" t="n">
        <f aca="false">'Data Mei 2025'!Z31</f>
        <v>10500</v>
      </c>
      <c r="AJ25" s="26" t="n">
        <f aca="false">'Data Mei 2025'!AA31</f>
        <v>10500</v>
      </c>
      <c r="AK25" s="26" t="n">
        <f aca="false">'Data Mei 2025'!AB31</f>
        <v>10500</v>
      </c>
      <c r="AL25" s="26" t="n">
        <f aca="false">'Data Mei 2025'!AC31</f>
        <v>10500</v>
      </c>
      <c r="AM25" s="26" t="n">
        <f aca="false">'Data Mei 2025'!AD31</f>
        <v>10500</v>
      </c>
      <c r="AN25" s="26" t="n">
        <f aca="false">'Data Jun 2025'!X31</f>
        <v>10500</v>
      </c>
      <c r="AO25" s="26" t="n">
        <f aca="false">'Data Jun 2025'!Y31</f>
        <v>10500</v>
      </c>
      <c r="AP25" s="26" t="n">
        <f aca="false">'Data Jun 2025'!Z31</f>
        <v>10500</v>
      </c>
      <c r="AQ25" s="26" t="n">
        <f aca="false">'Data Jun 2025'!AA31</f>
        <v>10500</v>
      </c>
      <c r="AR25" s="26" t="n">
        <f aca="false">'Data Jul 2025'!AA31</f>
        <v>10500</v>
      </c>
      <c r="AS25" s="26" t="n">
        <f aca="false">'Data Jul 2025'!AB31</f>
        <v>10500</v>
      </c>
      <c r="AT25" s="26" t="n">
        <f aca="false">'Data Jul 2025'!AC31</f>
        <v>10500</v>
      </c>
      <c r="AU25" s="26" t="n">
        <f aca="false">'Data Jul 2025'!AD31</f>
        <v>10500</v>
      </c>
      <c r="AV25" s="26" t="n">
        <f aca="false">'Data Jul 2025'!AE31</f>
        <v>10500</v>
      </c>
      <c r="AW25" s="26" t="n">
        <f aca="false">'Data Agu 2025'!X31</f>
        <v>10500</v>
      </c>
      <c r="AX25" s="26" t="n">
        <f aca="false">'Data Agu 2025'!Y31</f>
        <v>10500</v>
      </c>
      <c r="AY25" s="26" t="n">
        <f aca="false">'Data Agu 2025'!Z31</f>
        <v>10500</v>
      </c>
      <c r="AZ25" s="26" t="n">
        <f aca="false">'Data Agu 2025'!AA31</f>
        <v>10500</v>
      </c>
      <c r="BA25" s="26" t="n">
        <f aca="false">'Data Sep 2025'!X31</f>
        <v>10500</v>
      </c>
      <c r="BB25" s="26" t="n">
        <f aca="false">'Data Sep 2025'!Y31</f>
        <v>10500</v>
      </c>
      <c r="BC25" s="26" t="n">
        <f aca="false">'Data Sep 2025'!Z31</f>
        <v>10500</v>
      </c>
      <c r="BD25" s="26" t="n">
        <f aca="false">'Data Sep 2025'!AA31</f>
        <v>10500</v>
      </c>
      <c r="BE25" s="26" t="n">
        <f aca="false">'Data Okt 2025'!AA31</f>
        <v>10500</v>
      </c>
      <c r="BF25" s="26" t="n">
        <f aca="false">'Data Okt 2025'!AB31</f>
        <v>10500</v>
      </c>
      <c r="BG25" s="26" t="n">
        <f aca="false">'Data Okt 2025'!AC31</f>
        <v>10500</v>
      </c>
      <c r="BH25" s="26" t="n">
        <f aca="false">'Data Okt 2025'!AD31</f>
        <v>10500</v>
      </c>
      <c r="BI25" s="26" t="n">
        <f aca="false">'Data Okt 2025'!AE31</f>
        <v>10500</v>
      </c>
      <c r="BJ25" s="26" t="n">
        <f aca="false">'Data Nov 2025'!X31</f>
        <v>10500</v>
      </c>
      <c r="BK25" s="26" t="n">
        <f aca="false">'Data Nov 2025'!Y31</f>
        <v>10500</v>
      </c>
      <c r="BL25" s="26" t="n">
        <f aca="false">'Data Nov 2025'!Z31</f>
        <v>10500</v>
      </c>
      <c r="BM25" s="26" t="n">
        <f aca="false">'Data Nov 2025'!AA31</f>
        <v>10500</v>
      </c>
      <c r="BN25" s="26" t="n">
        <f aca="false">'Data Des 2025'!AA31</f>
        <v>10500</v>
      </c>
      <c r="BO25" s="26" t="n">
        <f aca="false">'Data Des 2025'!AB31</f>
        <v>10500</v>
      </c>
      <c r="BP25" s="26" t="n">
        <f aca="false">'Data Des 2025'!AC31</f>
        <v>10500</v>
      </c>
      <c r="BQ25" s="26" t="n">
        <f aca="false">'Data Des 2025'!AD31</f>
        <v>10500</v>
      </c>
      <c r="BR25" s="26" t="n">
        <f aca="false">'Data Des 2025'!AE31</f>
        <v>10500</v>
      </c>
    </row>
    <row r="26" customFormat="false" ht="15" hidden="false" customHeight="false" outlineLevel="0" collapsed="false">
      <c r="A26" s="3" t="s">
        <v>255</v>
      </c>
      <c r="B26" s="25" t="s">
        <v>428</v>
      </c>
      <c r="C26" s="15"/>
      <c r="D26" s="26" t="n">
        <f aca="false">'Data Des 2024'!AB9</f>
        <v>21888.8888888889</v>
      </c>
      <c r="E26" s="26" t="n">
        <f aca="false">'Data Jan 2025'!AF9</f>
        <v>34236.8421052632</v>
      </c>
      <c r="F26" s="26" t="n">
        <f aca="false">'Data Feb 2025'!AB9</f>
        <v>35947.3684210526</v>
      </c>
      <c r="G26" s="26" t="n">
        <f aca="false">'Data Mar 2025'!AD9</f>
        <v>31210.5263157895</v>
      </c>
      <c r="H26" s="26" t="n">
        <f aca="false">'Data Apr 2025'!AE9</f>
        <v>35375</v>
      </c>
      <c r="I26" s="26" t="n">
        <f aca="false">'Data Mei 2025'!AE9</f>
        <v>26235.2941176471</v>
      </c>
      <c r="J26" s="26" t="n">
        <f aca="false">'Data Jun 2025'!AB9</f>
        <v>24941.1764705882</v>
      </c>
      <c r="K26" s="26" t="n">
        <f aca="false">'Data Jul 2025'!AF9</f>
        <v>25956.5217391304</v>
      </c>
      <c r="L26" s="26" t="n">
        <f aca="false">'Data Agu 2025'!AB9</f>
        <v>26000</v>
      </c>
      <c r="M26" s="26" t="n">
        <f aca="false">'Data Sep 2025'!AB9</f>
        <v>22578.9473684211</v>
      </c>
      <c r="N26" s="26" t="n">
        <f aca="false">'Data Okt 2025'!AF9</f>
        <v>22260.8695652174</v>
      </c>
      <c r="O26" s="26" t="n">
        <f aca="false">'Data Nov 2025'!AB9</f>
        <v>24000</v>
      </c>
      <c r="P26" s="26" t="n">
        <f aca="false">'Data Jan 2025'!AA9</f>
        <v>34000</v>
      </c>
      <c r="Q26" s="26" t="n">
        <f aca="false">'Data Jan 2025'!AB9</f>
        <v>34000</v>
      </c>
      <c r="R26" s="26" t="n">
        <f aca="false">'Data Jan 2025'!AC9</f>
        <v>34000</v>
      </c>
      <c r="S26" s="26" t="n">
        <f aca="false">'Data Jan 2025'!AD9</f>
        <v>34100</v>
      </c>
      <c r="T26" s="26" t="n">
        <f aca="false">'Data Jan 2025'!AE9</f>
        <v>36000</v>
      </c>
      <c r="U26" s="26" t="n">
        <f aca="false">'Data Feb 2025'!X9</f>
        <v>36000</v>
      </c>
      <c r="V26" s="26" t="n">
        <f aca="false">'Data Feb 2025'!Y9</f>
        <v>36000</v>
      </c>
      <c r="W26" s="26" t="n">
        <f aca="false">'Data Feb 2025'!Z9</f>
        <v>35800</v>
      </c>
      <c r="X26" s="26" t="n">
        <f aca="false">'Data Feb 2025'!AA9</f>
        <v>36000</v>
      </c>
      <c r="Y26" s="26" t="n">
        <f aca="false">'Data Mar 2025'!Y9</f>
        <v>31200</v>
      </c>
      <c r="Z26" s="26" t="n">
        <f aca="false">'Data Mar 2025'!Z9</f>
        <v>30000</v>
      </c>
      <c r="AA26" s="26" t="n">
        <f aca="false">'Data Mar 2025'!AA9</f>
        <v>31200</v>
      </c>
      <c r="AB26" s="26" t="n">
        <f aca="false">'Data Mar 2025'!AB9</f>
        <v>32750</v>
      </c>
      <c r="AC26" s="26" t="str">
        <f aca="false">'Data Mar 2025'!AC9</f>
        <v/>
      </c>
      <c r="AD26" s="26" t="str">
        <f aca="false">'Data Apr 2025'!Z9</f>
        <v/>
      </c>
      <c r="AE26" s="26" t="n">
        <f aca="false">'Data Apr 2025'!AA9</f>
        <v>40000</v>
      </c>
      <c r="AF26" s="26" t="n">
        <f aca="false">'Data Apr 2025'!AB9</f>
        <v>38750</v>
      </c>
      <c r="AG26" s="26" t="n">
        <f aca="false">'Data Apr 2025'!AC9</f>
        <v>35000</v>
      </c>
      <c r="AH26" s="26" t="n">
        <f aca="false">'Data Apr 2025'!AD9</f>
        <v>25333.3333333333</v>
      </c>
      <c r="AI26" s="26" t="n">
        <f aca="false">'Data Mei 2025'!Z9</f>
        <v>25000</v>
      </c>
      <c r="AJ26" s="26" t="n">
        <f aca="false">'Data Mei 2025'!AA9</f>
        <v>27400</v>
      </c>
      <c r="AK26" s="26" t="n">
        <f aca="false">'Data Mei 2025'!AB9</f>
        <v>24000</v>
      </c>
      <c r="AL26" s="26" t="n">
        <f aca="false">'Data Mei 2025'!AC9</f>
        <v>26400</v>
      </c>
      <c r="AM26" s="26" t="n">
        <f aca="false">'Data Mei 2025'!AD9</f>
        <v>26666.6666666667</v>
      </c>
      <c r="AN26" s="26" t="n">
        <f aca="false">'Data Jun 2025'!X9</f>
        <v>33500</v>
      </c>
      <c r="AO26" s="26" t="n">
        <f aca="false">'Data Jun 2025'!Y9</f>
        <v>27500</v>
      </c>
      <c r="AP26" s="26" t="n">
        <f aca="false">'Data Jun 2025'!Z9</f>
        <v>20000</v>
      </c>
      <c r="AQ26" s="26" t="n">
        <f aca="false">'Data Jun 2025'!AA9</f>
        <v>20000</v>
      </c>
      <c r="AR26" s="26" t="n">
        <f aca="false">'Data Jul 2025'!AA9</f>
        <v>22500</v>
      </c>
      <c r="AS26" s="26" t="n">
        <f aca="false">'Data Jul 2025'!AB9</f>
        <v>26600</v>
      </c>
      <c r="AT26" s="26" t="n">
        <f aca="false">'Data Jul 2025'!AC9</f>
        <v>26200</v>
      </c>
      <c r="AU26" s="26" t="n">
        <f aca="false">'Data Jul 2025'!AD9</f>
        <v>27000</v>
      </c>
      <c r="AV26" s="26" t="n">
        <f aca="false">'Data Jul 2025'!AE9</f>
        <v>27000</v>
      </c>
      <c r="AW26" s="26" t="n">
        <f aca="false">'Data Agu 2025'!X9</f>
        <v>26000</v>
      </c>
      <c r="AX26" s="26" t="n">
        <f aca="false">'Data Agu 2025'!Y9</f>
        <v>26000</v>
      </c>
      <c r="AY26" s="26" t="n">
        <f aca="false">'Data Agu 2025'!Z9</f>
        <v>26000</v>
      </c>
      <c r="AZ26" s="26" t="n">
        <f aca="false">'Data Agu 2025'!AA9</f>
        <v>26000</v>
      </c>
      <c r="BA26" s="26" t="n">
        <f aca="false">'Data Sep 2025'!X9</f>
        <v>25000</v>
      </c>
      <c r="BB26" s="26" t="n">
        <f aca="false">'Data Sep 2025'!Y9</f>
        <v>21600</v>
      </c>
      <c r="BC26" s="26" t="n">
        <f aca="false">'Data Sep 2025'!Z9</f>
        <v>21400</v>
      </c>
      <c r="BD26" s="26" t="n">
        <f aca="false">'Data Sep 2025'!AA9</f>
        <v>22800</v>
      </c>
      <c r="BE26" s="26" t="n">
        <f aca="false">'Data Okt 2025'!AA9</f>
        <v>24000</v>
      </c>
      <c r="BF26" s="26" t="n">
        <f aca="false">'Data Okt 2025'!AB9</f>
        <v>23400</v>
      </c>
      <c r="BG26" s="26" t="n">
        <f aca="false">'Data Okt 2025'!AC9</f>
        <v>21000</v>
      </c>
      <c r="BH26" s="26" t="n">
        <f aca="false">'Data Okt 2025'!AD9</f>
        <v>21000</v>
      </c>
      <c r="BI26" s="26" t="n">
        <f aca="false">'Data Okt 2025'!AE9</f>
        <v>22600</v>
      </c>
      <c r="BJ26" s="26" t="n">
        <f aca="false">'Data Nov 2025'!X9</f>
        <v>23400</v>
      </c>
      <c r="BK26" s="26" t="n">
        <f aca="false">'Data Nov 2025'!Y9</f>
        <v>23000</v>
      </c>
      <c r="BL26" s="26" t="n">
        <f aca="false">'Data Nov 2025'!Z9</f>
        <v>24600</v>
      </c>
      <c r="BM26" s="26" t="n">
        <f aca="false">'Data Nov 2025'!AA9</f>
        <v>25000</v>
      </c>
      <c r="BN26" s="26" t="n">
        <f aca="false">'Data Des 2025'!AA9</f>
        <v>25000</v>
      </c>
      <c r="BO26" s="26" t="n">
        <f aca="false">'Data Des 2025'!AB9</f>
        <v>25000</v>
      </c>
      <c r="BP26" s="26" t="n">
        <f aca="false">'Data Des 2025'!AC9</f>
        <v>25000</v>
      </c>
      <c r="BQ26" s="26" t="n">
        <f aca="false">'Data Des 2025'!AD9</f>
        <v>25000</v>
      </c>
      <c r="BR26" s="26" t="n">
        <f aca="false">'Data Des 2025'!AE9</f>
        <v>25000</v>
      </c>
    </row>
    <row r="27" customFormat="false" ht="15" hidden="false" customHeight="false" outlineLevel="0" collapsed="false">
      <c r="A27" s="3" t="s">
        <v>255</v>
      </c>
      <c r="B27" s="25" t="s">
        <v>429</v>
      </c>
      <c r="C27" s="15"/>
      <c r="D27" s="26" t="n">
        <f aca="false">'Data Des 2024'!AB10</f>
        <v>25722.2222222222</v>
      </c>
      <c r="E27" s="26" t="n">
        <f aca="false">'Data Jan 2025'!AF10</f>
        <v>34236.8421052632</v>
      </c>
      <c r="F27" s="26" t="n">
        <f aca="false">'Data Feb 2025'!AB10</f>
        <v>35947.3684210526</v>
      </c>
      <c r="G27" s="26" t="n">
        <f aca="false">'Data Mar 2025'!AD10</f>
        <v>31210.5263157895</v>
      </c>
      <c r="H27" s="26" t="n">
        <f aca="false">'Data Apr 2025'!AE10</f>
        <v>32812.5</v>
      </c>
      <c r="I27" s="26" t="n">
        <f aca="false">'Data Mei 2025'!AE10</f>
        <v>24941.1764705882</v>
      </c>
      <c r="J27" s="26" t="n">
        <f aca="false">'Data Jun 2025'!AB10</f>
        <v>26000</v>
      </c>
      <c r="K27" s="26" t="n">
        <f aca="false">'Data Jul 2025'!AF10</f>
        <v>21565.2173913043</v>
      </c>
      <c r="L27" s="26" t="n">
        <f aca="false">'Data Agu 2025'!AB10</f>
        <v>22526.3157894737</v>
      </c>
      <c r="M27" s="26" t="n">
        <f aca="false">'Data Sep 2025'!AB10</f>
        <v>21947.3684210526</v>
      </c>
      <c r="N27" s="26" t="n">
        <f aca="false">'Data Okt 2025'!AF10</f>
        <v>23652.1739130435</v>
      </c>
      <c r="O27" s="26" t="n">
        <f aca="false">'Data Nov 2025'!AB10</f>
        <v>24450</v>
      </c>
      <c r="P27" s="26" t="n">
        <f aca="false">'Data Jan 2025'!AA10</f>
        <v>34000</v>
      </c>
      <c r="Q27" s="26" t="n">
        <f aca="false">'Data Jan 2025'!AB10</f>
        <v>34000</v>
      </c>
      <c r="R27" s="26" t="n">
        <f aca="false">'Data Jan 2025'!AC10</f>
        <v>34000</v>
      </c>
      <c r="S27" s="26" t="n">
        <f aca="false">'Data Jan 2025'!AD10</f>
        <v>34100</v>
      </c>
      <c r="T27" s="26" t="n">
        <f aca="false">'Data Jan 2025'!AE10</f>
        <v>36000</v>
      </c>
      <c r="U27" s="26" t="n">
        <f aca="false">'Data Feb 2025'!X10</f>
        <v>36000</v>
      </c>
      <c r="V27" s="26" t="n">
        <f aca="false">'Data Feb 2025'!Y10</f>
        <v>36000</v>
      </c>
      <c r="W27" s="26" t="n">
        <f aca="false">'Data Feb 2025'!Z10</f>
        <v>35800</v>
      </c>
      <c r="X27" s="26" t="n">
        <f aca="false">'Data Feb 2025'!AA10</f>
        <v>36000</v>
      </c>
      <c r="Y27" s="26" t="n">
        <f aca="false">'Data Mar 2025'!Y10</f>
        <v>31200</v>
      </c>
      <c r="Z27" s="26" t="n">
        <f aca="false">'Data Mar 2025'!Z10</f>
        <v>30000</v>
      </c>
      <c r="AA27" s="26" t="n">
        <f aca="false">'Data Mar 2025'!AA10</f>
        <v>31200</v>
      </c>
      <c r="AB27" s="26" t="n">
        <f aca="false">'Data Mar 2025'!AB10</f>
        <v>32750</v>
      </c>
      <c r="AC27" s="26" t="str">
        <f aca="false">'Data Mar 2025'!AC10</f>
        <v/>
      </c>
      <c r="AD27" s="26" t="str">
        <f aca="false">'Data Apr 2025'!Z10</f>
        <v/>
      </c>
      <c r="AE27" s="26" t="n">
        <f aca="false">'Data Apr 2025'!AA10</f>
        <v>40000</v>
      </c>
      <c r="AF27" s="26" t="n">
        <f aca="false">'Data Apr 2025'!AB10</f>
        <v>35000</v>
      </c>
      <c r="AG27" s="26" t="n">
        <f aca="false">'Data Apr 2025'!AC10</f>
        <v>30000</v>
      </c>
      <c r="AH27" s="26" t="n">
        <f aca="false">'Data Apr 2025'!AD10</f>
        <v>25000</v>
      </c>
      <c r="AI27" s="26" t="n">
        <f aca="false">'Data Mei 2025'!Z10</f>
        <v>25000</v>
      </c>
      <c r="AJ27" s="26" t="n">
        <f aca="false">'Data Mei 2025'!AA10</f>
        <v>25000</v>
      </c>
      <c r="AK27" s="26" t="n">
        <f aca="false">'Data Mei 2025'!AB10</f>
        <v>24000</v>
      </c>
      <c r="AL27" s="26" t="n">
        <f aca="false">'Data Mei 2025'!AC10</f>
        <v>24400</v>
      </c>
      <c r="AM27" s="26" t="n">
        <f aca="false">'Data Mei 2025'!AD10</f>
        <v>26666.6666666667</v>
      </c>
      <c r="AN27" s="26" t="n">
        <f aca="false">'Data Jun 2025'!X10</f>
        <v>34500</v>
      </c>
      <c r="AO27" s="26" t="n">
        <f aca="false">'Data Jun 2025'!Y10</f>
        <v>28500</v>
      </c>
      <c r="AP27" s="26" t="n">
        <f aca="false">'Data Jun 2025'!Z10</f>
        <v>20400</v>
      </c>
      <c r="AQ27" s="26" t="n">
        <f aca="false">'Data Jun 2025'!AA10</f>
        <v>22000</v>
      </c>
      <c r="AR27" s="26" t="n">
        <f aca="false">'Data Jul 2025'!AA10</f>
        <v>23000</v>
      </c>
      <c r="AS27" s="26" t="n">
        <f aca="false">'Data Jul 2025'!AB10</f>
        <v>21200</v>
      </c>
      <c r="AT27" s="26" t="n">
        <f aca="false">'Data Jul 2025'!AC10</f>
        <v>20000</v>
      </c>
      <c r="AU27" s="26" t="n">
        <f aca="false">'Data Jul 2025'!AD10</f>
        <v>22000</v>
      </c>
      <c r="AV27" s="26" t="n">
        <f aca="false">'Data Jul 2025'!AE10</f>
        <v>22000</v>
      </c>
      <c r="AW27" s="26" t="n">
        <f aca="false">'Data Agu 2025'!X10</f>
        <v>22000</v>
      </c>
      <c r="AX27" s="26" t="n">
        <f aca="false">'Data Agu 2025'!Y10</f>
        <v>22200</v>
      </c>
      <c r="AY27" s="26" t="n">
        <f aca="false">'Data Agu 2025'!Z10</f>
        <v>23000</v>
      </c>
      <c r="AZ27" s="26" t="n">
        <f aca="false">'Data Agu 2025'!AA10</f>
        <v>23000</v>
      </c>
      <c r="BA27" s="26" t="n">
        <f aca="false">'Data Sep 2025'!X10</f>
        <v>22750</v>
      </c>
      <c r="BB27" s="26" t="n">
        <f aca="false">'Data Sep 2025'!Y10</f>
        <v>21000</v>
      </c>
      <c r="BC27" s="26" t="n">
        <f aca="false">'Data Sep 2025'!Z10</f>
        <v>21400</v>
      </c>
      <c r="BD27" s="26" t="n">
        <f aca="false">'Data Sep 2025'!AA10</f>
        <v>22800</v>
      </c>
      <c r="BE27" s="26" t="n">
        <f aca="false">'Data Okt 2025'!AA10</f>
        <v>24000</v>
      </c>
      <c r="BF27" s="26" t="n">
        <f aca="false">'Data Okt 2025'!AB10</f>
        <v>23600</v>
      </c>
      <c r="BG27" s="26" t="n">
        <f aca="false">'Data Okt 2025'!AC10</f>
        <v>22000</v>
      </c>
      <c r="BH27" s="26" t="n">
        <f aca="false">'Data Okt 2025'!AD10</f>
        <v>23200</v>
      </c>
      <c r="BI27" s="26" t="n">
        <f aca="false">'Data Okt 2025'!AE10</f>
        <v>25600</v>
      </c>
      <c r="BJ27" s="26" t="n">
        <f aca="false">'Data Nov 2025'!X10</f>
        <v>24800</v>
      </c>
      <c r="BK27" s="26" t="n">
        <f aca="false">'Data Nov 2025'!Y10</f>
        <v>23000</v>
      </c>
      <c r="BL27" s="26" t="n">
        <f aca="false">'Data Nov 2025'!Z10</f>
        <v>24600</v>
      </c>
      <c r="BM27" s="26" t="n">
        <f aca="false">'Data Nov 2025'!AA10</f>
        <v>25400</v>
      </c>
      <c r="BN27" s="26" t="n">
        <f aca="false">'Data Des 2025'!AA10</f>
        <v>26600</v>
      </c>
      <c r="BO27" s="26" t="n">
        <f aca="false">'Data Des 2025'!AB10</f>
        <v>26200</v>
      </c>
      <c r="BP27" s="26" t="n">
        <f aca="false">'Data Des 2025'!AC10</f>
        <v>25000</v>
      </c>
      <c r="BQ27" s="26" t="n">
        <f aca="false">'Data Des 2025'!AD10</f>
        <v>25000</v>
      </c>
      <c r="BR27" s="26" t="n">
        <f aca="false">'Data Des 2025'!AE10</f>
        <v>25000</v>
      </c>
    </row>
    <row r="28" customFormat="false" ht="15" hidden="false" customHeight="false" outlineLevel="0" collapsed="false">
      <c r="A28" s="3" t="s">
        <v>256</v>
      </c>
      <c r="B28" s="25" t="s">
        <v>430</v>
      </c>
      <c r="C28" s="15"/>
      <c r="D28" s="26" t="n">
        <f aca="false">'Data Des 2024'!AB20</f>
        <v>103000</v>
      </c>
      <c r="E28" s="26" t="n">
        <f aca="false">'Data Jan 2025'!AF20</f>
        <v>103000</v>
      </c>
      <c r="F28" s="26" t="n">
        <f aca="false">'Data Feb 2025'!AB20</f>
        <v>103000</v>
      </c>
      <c r="G28" s="26" t="n">
        <f aca="false">'Data Mar 2025'!AD20</f>
        <v>102947.368421053</v>
      </c>
      <c r="H28" s="26" t="n">
        <f aca="false">'Data Apr 2025'!AE20</f>
        <v>101625</v>
      </c>
      <c r="I28" s="26" t="n">
        <f aca="false">'Data Mei 2025'!AE20</f>
        <v>100000</v>
      </c>
      <c r="J28" s="26" t="n">
        <f aca="false">'Data Jun 2025'!AB20</f>
        <v>93882.3529411765</v>
      </c>
      <c r="K28" s="26" t="n">
        <f aca="false">'Data Jul 2025'!AF20</f>
        <v>95695.652173913</v>
      </c>
      <c r="L28" s="26" t="n">
        <f aca="false">'Data Agu 2025'!AB20</f>
        <v>93000</v>
      </c>
      <c r="M28" s="26" t="n">
        <f aca="false">'Data Sep 2025'!AB20</f>
        <v>91105.2631578947</v>
      </c>
      <c r="N28" s="26" t="n">
        <f aca="false">'Data Okt 2025'!AF20</f>
        <v>90000</v>
      </c>
      <c r="O28" s="26" t="n">
        <f aca="false">'Data Nov 2025'!AB20</f>
        <v>110000</v>
      </c>
      <c r="P28" s="26" t="n">
        <f aca="false">'Data Jan 2025'!AA20</f>
        <v>103000</v>
      </c>
      <c r="Q28" s="26" t="n">
        <f aca="false">'Data Jan 2025'!AB20</f>
        <v>103000</v>
      </c>
      <c r="R28" s="26" t="n">
        <f aca="false">'Data Jan 2025'!AC20</f>
        <v>103000</v>
      </c>
      <c r="S28" s="26" t="n">
        <f aca="false">'Data Jan 2025'!AD20</f>
        <v>103000</v>
      </c>
      <c r="T28" s="26" t="n">
        <f aca="false">'Data Jan 2025'!AE20</f>
        <v>103000</v>
      </c>
      <c r="U28" s="26" t="n">
        <f aca="false">'Data Feb 2025'!X20</f>
        <v>103000</v>
      </c>
      <c r="V28" s="26" t="n">
        <f aca="false">'Data Feb 2025'!Y20</f>
        <v>103000</v>
      </c>
      <c r="W28" s="26" t="n">
        <f aca="false">'Data Feb 2025'!Z20</f>
        <v>103000</v>
      </c>
      <c r="X28" s="26" t="n">
        <f aca="false">'Data Feb 2025'!AA20</f>
        <v>103000</v>
      </c>
      <c r="Y28" s="26" t="n">
        <f aca="false">'Data Mar 2025'!Y20</f>
        <v>103000</v>
      </c>
      <c r="Z28" s="26" t="n">
        <f aca="false">'Data Mar 2025'!Z20</f>
        <v>103000</v>
      </c>
      <c r="AA28" s="26" t="n">
        <f aca="false">'Data Mar 2025'!AA20</f>
        <v>103000</v>
      </c>
      <c r="AB28" s="26" t="n">
        <f aca="false">'Data Mar 2025'!AB20</f>
        <v>102750</v>
      </c>
      <c r="AC28" s="26" t="str">
        <f aca="false">'Data Mar 2025'!AC20</f>
        <v/>
      </c>
      <c r="AD28" s="26" t="str">
        <f aca="false">'Data Apr 2025'!Z20</f>
        <v/>
      </c>
      <c r="AE28" s="26" t="n">
        <f aca="false">'Data Apr 2025'!AA20</f>
        <v>102000</v>
      </c>
      <c r="AF28" s="26" t="n">
        <f aca="false">'Data Apr 2025'!AB20</f>
        <v>102000</v>
      </c>
      <c r="AG28" s="26" t="n">
        <f aca="false">'Data Apr 2025'!AC20</f>
        <v>102000</v>
      </c>
      <c r="AH28" s="26" t="n">
        <f aca="false">'Data Apr 2025'!AD20</f>
        <v>100000</v>
      </c>
      <c r="AI28" s="26" t="n">
        <f aca="false">'Data Mei 2025'!Z20</f>
        <v>100000</v>
      </c>
      <c r="AJ28" s="26" t="n">
        <f aca="false">'Data Mei 2025'!AA20</f>
        <v>100000</v>
      </c>
      <c r="AK28" s="26" t="n">
        <f aca="false">'Data Mei 2025'!AB20</f>
        <v>100000</v>
      </c>
      <c r="AL28" s="26" t="n">
        <f aca="false">'Data Mei 2025'!AC20</f>
        <v>100000</v>
      </c>
      <c r="AM28" s="26" t="n">
        <f aca="false">'Data Mei 2025'!AD20</f>
        <v>100000</v>
      </c>
      <c r="AN28" s="26" t="n">
        <f aca="false">'Data Jun 2025'!X20</f>
        <v>100000</v>
      </c>
      <c r="AO28" s="26" t="n">
        <f aca="false">'Data Jun 2025'!Y20</f>
        <v>96500</v>
      </c>
      <c r="AP28" s="26" t="n">
        <f aca="false">'Data Jun 2025'!Z20</f>
        <v>90000</v>
      </c>
      <c r="AQ28" s="26" t="n">
        <f aca="false">'Data Jun 2025'!AA20</f>
        <v>90000</v>
      </c>
      <c r="AR28" s="26" t="n">
        <f aca="false">'Data Jul 2025'!AA20</f>
        <v>92500</v>
      </c>
      <c r="AS28" s="26" t="n">
        <f aca="false">'Data Jul 2025'!AB20</f>
        <v>100000</v>
      </c>
      <c r="AT28" s="26" t="n">
        <f aca="false">'Data Jul 2025'!AC20</f>
        <v>96000</v>
      </c>
      <c r="AU28" s="26" t="n">
        <f aca="false">'Data Jul 2025'!AD20</f>
        <v>95000</v>
      </c>
      <c r="AV28" s="26" t="n">
        <f aca="false">'Data Jul 2025'!AE20</f>
        <v>94000</v>
      </c>
      <c r="AW28" s="26" t="n">
        <f aca="false">'Data Agu 2025'!X20</f>
        <v>93000</v>
      </c>
      <c r="AX28" s="26" t="n">
        <f aca="false">'Data Agu 2025'!Y20</f>
        <v>93000</v>
      </c>
      <c r="AY28" s="26" t="n">
        <f aca="false">'Data Agu 2025'!Z20</f>
        <v>93000</v>
      </c>
      <c r="AZ28" s="26" t="n">
        <f aca="false">'Data Agu 2025'!AA20</f>
        <v>93000</v>
      </c>
      <c r="BA28" s="26" t="n">
        <f aca="false">'Data Sep 2025'!X20</f>
        <v>93000</v>
      </c>
      <c r="BB28" s="26" t="n">
        <f aca="false">'Data Sep 2025'!Y20</f>
        <v>91800</v>
      </c>
      <c r="BC28" s="26" t="n">
        <f aca="false">'Data Sep 2025'!Z20</f>
        <v>90000</v>
      </c>
      <c r="BD28" s="26" t="n">
        <f aca="false">'Data Sep 2025'!AA20</f>
        <v>90000</v>
      </c>
      <c r="BE28" s="26" t="n">
        <f aca="false">'Data Okt 2025'!AA20</f>
        <v>90000</v>
      </c>
      <c r="BF28" s="26" t="n">
        <f aca="false">'Data Okt 2025'!AB20</f>
        <v>90000</v>
      </c>
      <c r="BG28" s="26" t="n">
        <f aca="false">'Data Okt 2025'!AC20</f>
        <v>90000</v>
      </c>
      <c r="BH28" s="26" t="n">
        <f aca="false">'Data Okt 2025'!AD20</f>
        <v>90000</v>
      </c>
      <c r="BI28" s="26" t="n">
        <f aca="false">'Data Okt 2025'!AE20</f>
        <v>90000</v>
      </c>
      <c r="BJ28" s="26" t="n">
        <f aca="false">'Data Nov 2025'!X20</f>
        <v>110000</v>
      </c>
      <c r="BK28" s="26" t="n">
        <f aca="false">'Data Nov 2025'!Y20</f>
        <v>110000</v>
      </c>
      <c r="BL28" s="26" t="n">
        <f aca="false">'Data Nov 2025'!Z20</f>
        <v>110000</v>
      </c>
      <c r="BM28" s="26" t="n">
        <f aca="false">'Data Nov 2025'!AA20</f>
        <v>110000</v>
      </c>
      <c r="BN28" s="26" t="n">
        <f aca="false">'Data Des 2025'!AA20</f>
        <v>110000</v>
      </c>
      <c r="BO28" s="26" t="n">
        <f aca="false">'Data Des 2025'!AB20</f>
        <v>110000</v>
      </c>
      <c r="BP28" s="26" t="n">
        <f aca="false">'Data Des 2025'!AC20</f>
        <v>110000</v>
      </c>
      <c r="BQ28" s="26" t="n">
        <f aca="false">'Data Des 2025'!AD20</f>
        <v>110000</v>
      </c>
      <c r="BR28" s="26" t="n">
        <f aca="false">'Data Des 2025'!AE20</f>
        <v>110000</v>
      </c>
    </row>
    <row r="29" customFormat="false" ht="15" hidden="false" customHeight="false" outlineLevel="0" collapsed="false">
      <c r="A29" s="3" t="s">
        <v>256</v>
      </c>
      <c r="B29" s="25" t="s">
        <v>431</v>
      </c>
      <c r="C29" s="15"/>
      <c r="D29" s="26" t="n">
        <f aca="false">'Data Des 2024'!AB21</f>
        <v>70000</v>
      </c>
      <c r="E29" s="26" t="n">
        <f aca="false">'Data Jan 2025'!AF21</f>
        <v>61052.6315789474</v>
      </c>
      <c r="F29" s="26" t="n">
        <f aca="false">'Data Feb 2025'!AB21</f>
        <v>60000</v>
      </c>
      <c r="G29" s="26" t="n">
        <f aca="false">'Data Mar 2025'!AD21</f>
        <v>60000</v>
      </c>
      <c r="H29" s="26" t="n">
        <f aca="false">'Data Apr 2025'!AE21</f>
        <v>59625</v>
      </c>
      <c r="I29" s="26" t="n">
        <f aca="false">'Data Mei 2025'!AE21</f>
        <v>55588.2352941177</v>
      </c>
      <c r="J29" s="26" t="n">
        <f aca="false">'Data Jun 2025'!AB21</f>
        <v>60000</v>
      </c>
      <c r="K29" s="26" t="n">
        <f aca="false">'Data Jul 2025'!AF21</f>
        <v>60000</v>
      </c>
      <c r="L29" s="26" t="n">
        <f aca="false">'Data Agu 2025'!AB21</f>
        <v>60000</v>
      </c>
      <c r="M29" s="26" t="n">
        <f aca="false">'Data Sep 2025'!AB21</f>
        <v>60000</v>
      </c>
      <c r="N29" s="26" t="n">
        <f aca="false">'Data Okt 2025'!AF21</f>
        <v>60000</v>
      </c>
      <c r="O29" s="26" t="n">
        <f aca="false">'Data Nov 2025'!AB21</f>
        <v>60000</v>
      </c>
      <c r="P29" s="26" t="n">
        <f aca="false">'Data Jan 2025'!AA21</f>
        <v>70000</v>
      </c>
      <c r="Q29" s="26" t="n">
        <f aca="false">'Data Jan 2025'!AB21</f>
        <v>60000</v>
      </c>
      <c r="R29" s="26" t="n">
        <f aca="false">'Data Jan 2025'!AC21</f>
        <v>60000</v>
      </c>
      <c r="S29" s="26" t="n">
        <f aca="false">'Data Jan 2025'!AD21</f>
        <v>60000</v>
      </c>
      <c r="T29" s="26" t="n">
        <f aca="false">'Data Jan 2025'!AE21</f>
        <v>60000</v>
      </c>
      <c r="U29" s="26" t="n">
        <f aca="false">'Data Feb 2025'!X21</f>
        <v>60000</v>
      </c>
      <c r="V29" s="26" t="n">
        <f aca="false">'Data Feb 2025'!Y21</f>
        <v>60000</v>
      </c>
      <c r="W29" s="26" t="n">
        <f aca="false">'Data Feb 2025'!Z21</f>
        <v>60000</v>
      </c>
      <c r="X29" s="26" t="n">
        <f aca="false">'Data Feb 2025'!AA21</f>
        <v>60000</v>
      </c>
      <c r="Y29" s="26" t="n">
        <f aca="false">'Data Mar 2025'!Y21</f>
        <v>60000</v>
      </c>
      <c r="Z29" s="26" t="n">
        <f aca="false">'Data Mar 2025'!Z21</f>
        <v>60000</v>
      </c>
      <c r="AA29" s="26" t="n">
        <f aca="false">'Data Mar 2025'!AA21</f>
        <v>60000</v>
      </c>
      <c r="AB29" s="26" t="n">
        <f aca="false">'Data Mar 2025'!AB21</f>
        <v>60000</v>
      </c>
      <c r="AC29" s="26" t="str">
        <f aca="false">'Data Mar 2025'!AC21</f>
        <v/>
      </c>
      <c r="AD29" s="26" t="str">
        <f aca="false">'Data Apr 2025'!Z21</f>
        <v/>
      </c>
      <c r="AE29" s="26" t="n">
        <f aca="false">'Data Apr 2025'!AA21</f>
        <v>60000</v>
      </c>
      <c r="AF29" s="26" t="n">
        <f aca="false">'Data Apr 2025'!AB21</f>
        <v>60000</v>
      </c>
      <c r="AG29" s="26" t="n">
        <f aca="false">'Data Apr 2025'!AC21</f>
        <v>60000</v>
      </c>
      <c r="AH29" s="26" t="n">
        <f aca="false">'Data Apr 2025'!AD21</f>
        <v>58000</v>
      </c>
      <c r="AI29" s="26" t="n">
        <f aca="false">'Data Mei 2025'!Z21</f>
        <v>55000</v>
      </c>
      <c r="AJ29" s="26" t="n">
        <f aca="false">'Data Mei 2025'!AA21</f>
        <v>55000</v>
      </c>
      <c r="AK29" s="26" t="n">
        <f aca="false">'Data Mei 2025'!AB21</f>
        <v>55000</v>
      </c>
      <c r="AL29" s="26" t="n">
        <f aca="false">'Data Mei 2025'!AC21</f>
        <v>55000</v>
      </c>
      <c r="AM29" s="26" t="n">
        <f aca="false">'Data Mei 2025'!AD21</f>
        <v>58333.3333333333</v>
      </c>
      <c r="AN29" s="26" t="n">
        <f aca="false">'Data Jun 2025'!X21</f>
        <v>60000</v>
      </c>
      <c r="AO29" s="26" t="n">
        <f aca="false">'Data Jun 2025'!Y21</f>
        <v>60000</v>
      </c>
      <c r="AP29" s="26" t="n">
        <f aca="false">'Data Jun 2025'!Z21</f>
        <v>60000</v>
      </c>
      <c r="AQ29" s="26" t="n">
        <f aca="false">'Data Jun 2025'!AA21</f>
        <v>60000</v>
      </c>
      <c r="AR29" s="26" t="n">
        <f aca="false">'Data Jul 2025'!AA21</f>
        <v>60000</v>
      </c>
      <c r="AS29" s="26" t="n">
        <f aca="false">'Data Jul 2025'!AB21</f>
        <v>60000</v>
      </c>
      <c r="AT29" s="26" t="n">
        <f aca="false">'Data Jul 2025'!AC21</f>
        <v>60000</v>
      </c>
      <c r="AU29" s="26" t="n">
        <f aca="false">'Data Jul 2025'!AD21</f>
        <v>60000</v>
      </c>
      <c r="AV29" s="26" t="n">
        <f aca="false">'Data Jul 2025'!AE21</f>
        <v>60000</v>
      </c>
      <c r="AW29" s="26" t="n">
        <f aca="false">'Data Agu 2025'!X21</f>
        <v>60000</v>
      </c>
      <c r="AX29" s="26" t="n">
        <f aca="false">'Data Agu 2025'!Y21</f>
        <v>60000</v>
      </c>
      <c r="AY29" s="26" t="n">
        <f aca="false">'Data Agu 2025'!Z21</f>
        <v>60000</v>
      </c>
      <c r="AZ29" s="26" t="n">
        <f aca="false">'Data Agu 2025'!AA21</f>
        <v>60000</v>
      </c>
      <c r="BA29" s="26" t="n">
        <f aca="false">'Data Sep 2025'!X21</f>
        <v>60000</v>
      </c>
      <c r="BB29" s="26" t="n">
        <f aca="false">'Data Sep 2025'!Y21</f>
        <v>60000</v>
      </c>
      <c r="BC29" s="26" t="n">
        <f aca="false">'Data Sep 2025'!Z21</f>
        <v>60000</v>
      </c>
      <c r="BD29" s="26" t="n">
        <f aca="false">'Data Sep 2025'!AA21</f>
        <v>60000</v>
      </c>
      <c r="BE29" s="26" t="n">
        <f aca="false">'Data Okt 2025'!AA21</f>
        <v>60000</v>
      </c>
      <c r="BF29" s="26" t="n">
        <f aca="false">'Data Okt 2025'!AB21</f>
        <v>60000</v>
      </c>
      <c r="BG29" s="26" t="n">
        <f aca="false">'Data Okt 2025'!AC21</f>
        <v>60000</v>
      </c>
      <c r="BH29" s="26" t="n">
        <f aca="false">'Data Okt 2025'!AD21</f>
        <v>60000</v>
      </c>
      <c r="BI29" s="26" t="n">
        <f aca="false">'Data Okt 2025'!AE21</f>
        <v>60000</v>
      </c>
      <c r="BJ29" s="26" t="n">
        <f aca="false">'Data Nov 2025'!X21</f>
        <v>60000</v>
      </c>
      <c r="BK29" s="26" t="n">
        <f aca="false">'Data Nov 2025'!Y21</f>
        <v>60000</v>
      </c>
      <c r="BL29" s="26" t="n">
        <f aca="false">'Data Nov 2025'!Z21</f>
        <v>60000</v>
      </c>
      <c r="BM29" s="26" t="n">
        <f aca="false">'Data Nov 2025'!AA21</f>
        <v>60000</v>
      </c>
      <c r="BN29" s="26" t="n">
        <f aca="false">'Data Des 2025'!AA21</f>
        <v>60000</v>
      </c>
      <c r="BO29" s="26" t="n">
        <f aca="false">'Data Des 2025'!AB21</f>
        <v>60000</v>
      </c>
      <c r="BP29" s="26" t="n">
        <f aca="false">'Data Des 2025'!AC21</f>
        <v>60000</v>
      </c>
      <c r="BQ29" s="26" t="n">
        <f aca="false">'Data Des 2025'!AD21</f>
        <v>60000</v>
      </c>
      <c r="BR29" s="26" t="n">
        <f aca="false">'Data Des 2025'!AE21</f>
        <v>60000</v>
      </c>
    </row>
    <row r="30" customFormat="false" ht="15" hidden="false" customHeight="false" outlineLevel="0" collapsed="false">
      <c r="A30" s="3" t="s">
        <v>256</v>
      </c>
      <c r="B30" s="25" t="s">
        <v>432</v>
      </c>
      <c r="C30" s="15"/>
      <c r="D30" s="26" t="n">
        <f aca="false">'Data Des 2024'!AB22</f>
        <v>80000</v>
      </c>
      <c r="E30" s="26" t="n">
        <f aca="false">'Data Jan 2025'!AF22</f>
        <v>71052.6315789474</v>
      </c>
      <c r="F30" s="26" t="n">
        <f aca="false">'Data Feb 2025'!AB22</f>
        <v>70000</v>
      </c>
      <c r="G30" s="26" t="n">
        <f aca="false">'Data Mar 2025'!AD22</f>
        <v>70000</v>
      </c>
      <c r="H30" s="26" t="n">
        <f aca="false">'Data Apr 2025'!AE22</f>
        <v>69062.5</v>
      </c>
      <c r="I30" s="26" t="n">
        <f aca="false">'Data Mei 2025'!AE22</f>
        <v>60000</v>
      </c>
      <c r="J30" s="26" t="n">
        <f aca="false">'Data Jun 2025'!AB22</f>
        <v>56470.5882352941</v>
      </c>
      <c r="K30" s="26" t="n">
        <f aca="false">'Data Jul 2025'!AF22</f>
        <v>55000</v>
      </c>
      <c r="L30" s="26" t="n">
        <f aca="false">'Data Agu 2025'!AB22</f>
        <v>55000</v>
      </c>
      <c r="M30" s="26" t="n">
        <f aca="false">'Data Sep 2025'!AB22</f>
        <v>55000</v>
      </c>
      <c r="N30" s="26" t="n">
        <f aca="false">'Data Okt 2025'!AF22</f>
        <v>55000</v>
      </c>
      <c r="O30" s="26" t="n">
        <f aca="false">'Data Nov 2025'!AB22</f>
        <v>55000</v>
      </c>
      <c r="P30" s="26" t="n">
        <f aca="false">'Data Jan 2025'!AA22</f>
        <v>80000</v>
      </c>
      <c r="Q30" s="26" t="n">
        <f aca="false">'Data Jan 2025'!AB22</f>
        <v>70000</v>
      </c>
      <c r="R30" s="26" t="n">
        <f aca="false">'Data Jan 2025'!AC22</f>
        <v>70000</v>
      </c>
      <c r="S30" s="26" t="n">
        <f aca="false">'Data Jan 2025'!AD22</f>
        <v>70000</v>
      </c>
      <c r="T30" s="26" t="n">
        <f aca="false">'Data Jan 2025'!AE22</f>
        <v>70000</v>
      </c>
      <c r="U30" s="26" t="n">
        <f aca="false">'Data Feb 2025'!X22</f>
        <v>70000</v>
      </c>
      <c r="V30" s="26" t="n">
        <f aca="false">'Data Feb 2025'!Y22</f>
        <v>70000</v>
      </c>
      <c r="W30" s="26" t="n">
        <f aca="false">'Data Feb 2025'!Z22</f>
        <v>70000</v>
      </c>
      <c r="X30" s="26" t="n">
        <f aca="false">'Data Feb 2025'!AA22</f>
        <v>70000</v>
      </c>
      <c r="Y30" s="26" t="n">
        <f aca="false">'Data Mar 2025'!Y22</f>
        <v>70000</v>
      </c>
      <c r="Z30" s="26" t="n">
        <f aca="false">'Data Mar 2025'!Z22</f>
        <v>70000</v>
      </c>
      <c r="AA30" s="26" t="n">
        <f aca="false">'Data Mar 2025'!AA22</f>
        <v>70000</v>
      </c>
      <c r="AB30" s="26" t="n">
        <f aca="false">'Data Mar 2025'!AB22</f>
        <v>70000</v>
      </c>
      <c r="AC30" s="26" t="str">
        <f aca="false">'Data Mar 2025'!AC22</f>
        <v/>
      </c>
      <c r="AD30" s="26" t="str">
        <f aca="false">'Data Apr 2025'!Z22</f>
        <v/>
      </c>
      <c r="AE30" s="26" t="n">
        <f aca="false">'Data Apr 2025'!AA22</f>
        <v>70000</v>
      </c>
      <c r="AF30" s="26" t="n">
        <f aca="false">'Data Apr 2025'!AB22</f>
        <v>70000</v>
      </c>
      <c r="AG30" s="26" t="n">
        <f aca="false">'Data Apr 2025'!AC22</f>
        <v>70000</v>
      </c>
      <c r="AH30" s="26" t="n">
        <f aca="false">'Data Apr 2025'!AD22</f>
        <v>65000</v>
      </c>
      <c r="AI30" s="26" t="n">
        <f aca="false">'Data Mei 2025'!Z22</f>
        <v>60000</v>
      </c>
      <c r="AJ30" s="26" t="n">
        <f aca="false">'Data Mei 2025'!AA22</f>
        <v>60000</v>
      </c>
      <c r="AK30" s="26" t="n">
        <f aca="false">'Data Mei 2025'!AB22</f>
        <v>60000</v>
      </c>
      <c r="AL30" s="26" t="n">
        <f aca="false">'Data Mei 2025'!AC22</f>
        <v>60000</v>
      </c>
      <c r="AM30" s="26" t="n">
        <f aca="false">'Data Mei 2025'!AD22</f>
        <v>60000</v>
      </c>
      <c r="AN30" s="26" t="n">
        <f aca="false">'Data Jun 2025'!X22</f>
        <v>60000</v>
      </c>
      <c r="AO30" s="26" t="n">
        <f aca="false">'Data Jun 2025'!Y22</f>
        <v>56250</v>
      </c>
      <c r="AP30" s="26" t="n">
        <f aca="false">'Data Jun 2025'!Z22</f>
        <v>55000</v>
      </c>
      <c r="AQ30" s="26" t="n">
        <f aca="false">'Data Jun 2025'!AA22</f>
        <v>55000</v>
      </c>
      <c r="AR30" s="26" t="n">
        <f aca="false">'Data Jul 2025'!AA22</f>
        <v>55000</v>
      </c>
      <c r="AS30" s="26" t="n">
        <f aca="false">'Data Jul 2025'!AB22</f>
        <v>55000</v>
      </c>
      <c r="AT30" s="26" t="n">
        <f aca="false">'Data Jul 2025'!AC22</f>
        <v>55000</v>
      </c>
      <c r="AU30" s="26" t="n">
        <f aca="false">'Data Jul 2025'!AD22</f>
        <v>55000</v>
      </c>
      <c r="AV30" s="26" t="n">
        <f aca="false">'Data Jul 2025'!AE22</f>
        <v>55000</v>
      </c>
      <c r="AW30" s="26" t="n">
        <f aca="false">'Data Agu 2025'!X22</f>
        <v>55000</v>
      </c>
      <c r="AX30" s="26" t="n">
        <f aca="false">'Data Agu 2025'!Y22</f>
        <v>55000</v>
      </c>
      <c r="AY30" s="26" t="n">
        <f aca="false">'Data Agu 2025'!Z22</f>
        <v>55000</v>
      </c>
      <c r="AZ30" s="26" t="n">
        <f aca="false">'Data Agu 2025'!AA22</f>
        <v>55000</v>
      </c>
      <c r="BA30" s="26" t="n">
        <f aca="false">'Data Sep 2025'!X22</f>
        <v>55000</v>
      </c>
      <c r="BB30" s="26" t="n">
        <f aca="false">'Data Sep 2025'!Y22</f>
        <v>55000</v>
      </c>
      <c r="BC30" s="26" t="n">
        <f aca="false">'Data Sep 2025'!Z22</f>
        <v>55000</v>
      </c>
      <c r="BD30" s="26" t="n">
        <f aca="false">'Data Sep 2025'!AA22</f>
        <v>55000</v>
      </c>
      <c r="BE30" s="26" t="n">
        <f aca="false">'Data Okt 2025'!AA22</f>
        <v>55000</v>
      </c>
      <c r="BF30" s="26" t="n">
        <f aca="false">'Data Okt 2025'!AB22</f>
        <v>55000</v>
      </c>
      <c r="BG30" s="26" t="n">
        <f aca="false">'Data Okt 2025'!AC22</f>
        <v>55000</v>
      </c>
      <c r="BH30" s="26" t="n">
        <f aca="false">'Data Okt 2025'!AD22</f>
        <v>55000</v>
      </c>
      <c r="BI30" s="26" t="n">
        <f aca="false">'Data Okt 2025'!AE22</f>
        <v>55000</v>
      </c>
      <c r="BJ30" s="26" t="n">
        <f aca="false">'Data Nov 2025'!X22</f>
        <v>55000</v>
      </c>
      <c r="BK30" s="26" t="n">
        <f aca="false">'Data Nov 2025'!Y22</f>
        <v>55000</v>
      </c>
      <c r="BL30" s="26" t="n">
        <f aca="false">'Data Nov 2025'!Z22</f>
        <v>55000</v>
      </c>
      <c r="BM30" s="26" t="n">
        <f aca="false">'Data Nov 2025'!AA22</f>
        <v>55000</v>
      </c>
      <c r="BN30" s="26" t="n">
        <f aca="false">'Data Des 2025'!AA22</f>
        <v>55000</v>
      </c>
      <c r="BO30" s="26" t="n">
        <f aca="false">'Data Des 2025'!AB22</f>
        <v>55000</v>
      </c>
      <c r="BP30" s="26" t="n">
        <f aca="false">'Data Des 2025'!AC22</f>
        <v>55000</v>
      </c>
      <c r="BQ30" s="26" t="n">
        <f aca="false">'Data Des 2025'!AD22</f>
        <v>55000</v>
      </c>
      <c r="BR30" s="26" t="n">
        <f aca="false">'Data Des 2025'!AE22</f>
        <v>55000</v>
      </c>
    </row>
    <row r="31" customFormat="false" ht="15" hidden="false" customHeight="false" outlineLevel="0" collapsed="false">
      <c r="A31" s="3" t="s">
        <v>257</v>
      </c>
      <c r="B31" s="25" t="s">
        <v>433</v>
      </c>
      <c r="C31" s="15"/>
      <c r="D31" s="26" t="n">
        <f aca="false">'Data Des 2024'!AB33</f>
        <v>9000</v>
      </c>
      <c r="E31" s="26" t="n">
        <f aca="false">'Data Jan 2025'!AF33</f>
        <v>9000</v>
      </c>
      <c r="F31" s="26" t="n">
        <f aca="false">'Data Feb 2025'!AB33</f>
        <v>9000</v>
      </c>
      <c r="G31" s="26" t="n">
        <f aca="false">'Data Mar 2025'!AD33</f>
        <v>9000</v>
      </c>
      <c r="H31" s="26" t="n">
        <f aca="false">'Data Apr 2025'!AE33</f>
        <v>9000</v>
      </c>
      <c r="I31" s="26" t="n">
        <f aca="false">'Data Mei 2025'!AE33</f>
        <v>9000</v>
      </c>
      <c r="J31" s="26" t="n">
        <f aca="false">'Data Jun 2025'!AB33</f>
        <v>8294.11764705882</v>
      </c>
      <c r="K31" s="26" t="n">
        <f aca="false">'Data Jul 2025'!AF33</f>
        <v>8000</v>
      </c>
      <c r="L31" s="26" t="n">
        <f aca="false">'Data Agu 2025'!AB33</f>
        <v>8000</v>
      </c>
      <c r="M31" s="26" t="n">
        <f aca="false">'Data Sep 2025'!AB33</f>
        <v>8000</v>
      </c>
      <c r="N31" s="26" t="n">
        <f aca="false">'Data Okt 2025'!AF33</f>
        <v>8000</v>
      </c>
      <c r="O31" s="26" t="n">
        <f aca="false">'Data Nov 2025'!AB33</f>
        <v>8000</v>
      </c>
      <c r="P31" s="26" t="n">
        <f aca="false">'Data Jan 2025'!AA33</f>
        <v>9000</v>
      </c>
      <c r="Q31" s="26" t="n">
        <f aca="false">'Data Jan 2025'!AB33</f>
        <v>9000</v>
      </c>
      <c r="R31" s="26" t="n">
        <f aca="false">'Data Jan 2025'!AC33</f>
        <v>9000</v>
      </c>
      <c r="S31" s="26" t="n">
        <f aca="false">'Data Jan 2025'!AD33</f>
        <v>9000</v>
      </c>
      <c r="T31" s="26" t="n">
        <f aca="false">'Data Jan 2025'!AE33</f>
        <v>9000</v>
      </c>
      <c r="U31" s="26" t="n">
        <f aca="false">'Data Feb 2025'!X33</f>
        <v>9000</v>
      </c>
      <c r="V31" s="26" t="n">
        <f aca="false">'Data Feb 2025'!Y33</f>
        <v>9000</v>
      </c>
      <c r="W31" s="26" t="n">
        <f aca="false">'Data Feb 2025'!Z33</f>
        <v>9000</v>
      </c>
      <c r="X31" s="26" t="n">
        <f aca="false">'Data Feb 2025'!AA33</f>
        <v>9000</v>
      </c>
      <c r="Y31" s="26" t="n">
        <f aca="false">'Data Mar 2025'!Y33</f>
        <v>9000</v>
      </c>
      <c r="Z31" s="26" t="n">
        <f aca="false">'Data Mar 2025'!Z33</f>
        <v>9000</v>
      </c>
      <c r="AA31" s="26" t="n">
        <f aca="false">'Data Mar 2025'!AA33</f>
        <v>9000</v>
      </c>
      <c r="AB31" s="26" t="n">
        <f aca="false">'Data Mar 2025'!AB33</f>
        <v>9000</v>
      </c>
      <c r="AC31" s="26" t="str">
        <f aca="false">'Data Mar 2025'!AC33</f>
        <v/>
      </c>
      <c r="AD31" s="26" t="str">
        <f aca="false">'Data Apr 2025'!Z33</f>
        <v/>
      </c>
      <c r="AE31" s="26" t="n">
        <f aca="false">'Data Apr 2025'!AA33</f>
        <v>9000</v>
      </c>
      <c r="AF31" s="26" t="n">
        <f aca="false">'Data Apr 2025'!AB33</f>
        <v>9000</v>
      </c>
      <c r="AG31" s="26" t="n">
        <f aca="false">'Data Apr 2025'!AC33</f>
        <v>9000</v>
      </c>
      <c r="AH31" s="26" t="n">
        <f aca="false">'Data Apr 2025'!AD33</f>
        <v>9000</v>
      </c>
      <c r="AI31" s="26" t="n">
        <f aca="false">'Data Mei 2025'!Z33</f>
        <v>9000</v>
      </c>
      <c r="AJ31" s="26" t="n">
        <f aca="false">'Data Mei 2025'!AA33</f>
        <v>9000</v>
      </c>
      <c r="AK31" s="26" t="n">
        <f aca="false">'Data Mei 2025'!AB33</f>
        <v>9000</v>
      </c>
      <c r="AL31" s="26" t="n">
        <f aca="false">'Data Mei 2025'!AC33</f>
        <v>9000</v>
      </c>
      <c r="AM31" s="26" t="n">
        <f aca="false">'Data Mei 2025'!AD33</f>
        <v>9000</v>
      </c>
      <c r="AN31" s="26" t="n">
        <f aca="false">'Data Jun 2025'!X33</f>
        <v>9000</v>
      </c>
      <c r="AO31" s="26" t="n">
        <f aca="false">'Data Jun 2025'!Y33</f>
        <v>8250</v>
      </c>
      <c r="AP31" s="26" t="n">
        <f aca="false">'Data Jun 2025'!Z33</f>
        <v>8000</v>
      </c>
      <c r="AQ31" s="26" t="n">
        <f aca="false">'Data Jun 2025'!AA33</f>
        <v>8000</v>
      </c>
      <c r="AR31" s="26" t="n">
        <f aca="false">'Data Jul 2025'!AA33</f>
        <v>8000</v>
      </c>
      <c r="AS31" s="26" t="n">
        <f aca="false">'Data Jul 2025'!AB33</f>
        <v>8000</v>
      </c>
      <c r="AT31" s="26" t="n">
        <f aca="false">'Data Jul 2025'!AC33</f>
        <v>8000</v>
      </c>
      <c r="AU31" s="26" t="n">
        <f aca="false">'Data Jul 2025'!AD33</f>
        <v>8000</v>
      </c>
      <c r="AV31" s="26" t="n">
        <f aca="false">'Data Jul 2025'!AE33</f>
        <v>8000</v>
      </c>
      <c r="AW31" s="26" t="n">
        <f aca="false">'Data Agu 2025'!X33</f>
        <v>8000</v>
      </c>
      <c r="AX31" s="26" t="n">
        <f aca="false">'Data Agu 2025'!Y33</f>
        <v>8000</v>
      </c>
      <c r="AY31" s="26" t="n">
        <f aca="false">'Data Agu 2025'!Z33</f>
        <v>8000</v>
      </c>
      <c r="AZ31" s="26" t="n">
        <f aca="false">'Data Agu 2025'!AA33</f>
        <v>8000</v>
      </c>
      <c r="BA31" s="26" t="n">
        <f aca="false">'Data Sep 2025'!X33</f>
        <v>8000</v>
      </c>
      <c r="BB31" s="26" t="n">
        <f aca="false">'Data Sep 2025'!Y33</f>
        <v>8000</v>
      </c>
      <c r="BC31" s="26" t="n">
        <f aca="false">'Data Sep 2025'!Z33</f>
        <v>8000</v>
      </c>
      <c r="BD31" s="26" t="n">
        <f aca="false">'Data Sep 2025'!AA33</f>
        <v>8000</v>
      </c>
      <c r="BE31" s="26" t="n">
        <f aca="false">'Data Okt 2025'!AA33</f>
        <v>8000</v>
      </c>
      <c r="BF31" s="26" t="n">
        <f aca="false">'Data Okt 2025'!AB33</f>
        <v>8000</v>
      </c>
      <c r="BG31" s="26" t="n">
        <f aca="false">'Data Okt 2025'!AC33</f>
        <v>8000</v>
      </c>
      <c r="BH31" s="26" t="n">
        <f aca="false">'Data Okt 2025'!AD33</f>
        <v>8000</v>
      </c>
      <c r="BI31" s="26" t="n">
        <f aca="false">'Data Okt 2025'!AE33</f>
        <v>8000</v>
      </c>
      <c r="BJ31" s="26" t="n">
        <f aca="false">'Data Nov 2025'!X33</f>
        <v>8000</v>
      </c>
      <c r="BK31" s="26" t="n">
        <f aca="false">'Data Nov 2025'!Y33</f>
        <v>8000</v>
      </c>
      <c r="BL31" s="26" t="n">
        <f aca="false">'Data Nov 2025'!Z33</f>
        <v>8000</v>
      </c>
      <c r="BM31" s="26" t="n">
        <f aca="false">'Data Nov 2025'!AA33</f>
        <v>8000</v>
      </c>
      <c r="BN31" s="26" t="n">
        <f aca="false">'Data Des 2025'!AA33</f>
        <v>8000</v>
      </c>
      <c r="BO31" s="26" t="n">
        <f aca="false">'Data Des 2025'!AB33</f>
        <v>8000</v>
      </c>
      <c r="BP31" s="26" t="n">
        <f aca="false">'Data Des 2025'!AC33</f>
        <v>8000</v>
      </c>
      <c r="BQ31" s="26" t="n">
        <f aca="false">'Data Des 2025'!AD33</f>
        <v>8000</v>
      </c>
      <c r="BR31" s="26" t="n">
        <f aca="false">'Data Des 2025'!AE33</f>
        <v>8000</v>
      </c>
    </row>
    <row r="32" customFormat="false" ht="15" hidden="false" customHeight="false" outlineLevel="0" collapsed="false">
      <c r="A32" s="3" t="s">
        <v>258</v>
      </c>
      <c r="B32" s="25" t="s">
        <v>434</v>
      </c>
      <c r="C32" s="15"/>
      <c r="D32" s="26" t="n">
        <f aca="false">'Data Des 2024'!AB37</f>
        <v>9000</v>
      </c>
      <c r="E32" s="26" t="n">
        <f aca="false">'Data Jan 2025'!AF37</f>
        <v>9000</v>
      </c>
      <c r="F32" s="26" t="n">
        <f aca="false">'Data Feb 2025'!AB37</f>
        <v>9000</v>
      </c>
      <c r="G32" s="26" t="n">
        <f aca="false">'Data Mar 2025'!AD37</f>
        <v>9000</v>
      </c>
      <c r="H32" s="26" t="n">
        <f aca="false">'Data Apr 2025'!AE37</f>
        <v>9000</v>
      </c>
      <c r="I32" s="26" t="n">
        <f aca="false">'Data Mei 2025'!AE37</f>
        <v>9000</v>
      </c>
      <c r="J32" s="26" t="n">
        <f aca="false">'Data Jun 2025'!AB37</f>
        <v>9000</v>
      </c>
      <c r="K32" s="26" t="n">
        <f aca="false">'Data Jul 2025'!AF37</f>
        <v>9000</v>
      </c>
      <c r="L32" s="26" t="n">
        <f aca="false">'Data Agu 2025'!AB37</f>
        <v>8052.63157894737</v>
      </c>
      <c r="M32" s="26" t="n">
        <f aca="false">'Data Sep 2025'!AB37</f>
        <v>8000</v>
      </c>
      <c r="N32" s="26" t="n">
        <f aca="false">'Data Okt 2025'!AF37</f>
        <v>8000</v>
      </c>
      <c r="O32" s="26" t="n">
        <f aca="false">'Data Nov 2025'!AB37</f>
        <v>8000</v>
      </c>
      <c r="P32" s="26" t="n">
        <f aca="false">'Data Jan 2025'!AA37</f>
        <v>9000</v>
      </c>
      <c r="Q32" s="26" t="n">
        <f aca="false">'Data Jan 2025'!AB37</f>
        <v>9000</v>
      </c>
      <c r="R32" s="26" t="n">
        <f aca="false">'Data Jan 2025'!AC37</f>
        <v>9000</v>
      </c>
      <c r="S32" s="26" t="n">
        <f aca="false">'Data Jan 2025'!AD37</f>
        <v>9000</v>
      </c>
      <c r="T32" s="26" t="n">
        <f aca="false">'Data Jan 2025'!AE37</f>
        <v>9000</v>
      </c>
      <c r="U32" s="26" t="n">
        <f aca="false">'Data Feb 2025'!X37</f>
        <v>9000</v>
      </c>
      <c r="V32" s="26" t="n">
        <f aca="false">'Data Feb 2025'!Y37</f>
        <v>9000</v>
      </c>
      <c r="W32" s="26" t="n">
        <f aca="false">'Data Feb 2025'!Z37</f>
        <v>9000</v>
      </c>
      <c r="X32" s="26" t="n">
        <f aca="false">'Data Feb 2025'!AA37</f>
        <v>9000</v>
      </c>
      <c r="Y32" s="26" t="n">
        <f aca="false">'Data Mar 2025'!Y37</f>
        <v>9000</v>
      </c>
      <c r="Z32" s="26" t="n">
        <f aca="false">'Data Mar 2025'!Z37</f>
        <v>9000</v>
      </c>
      <c r="AA32" s="26" t="n">
        <f aca="false">'Data Mar 2025'!AA37</f>
        <v>9000</v>
      </c>
      <c r="AB32" s="26" t="n">
        <f aca="false">'Data Mar 2025'!AB37</f>
        <v>9000</v>
      </c>
      <c r="AC32" s="26" t="str">
        <f aca="false">'Data Mar 2025'!AC37</f>
        <v/>
      </c>
      <c r="AD32" s="26" t="str">
        <f aca="false">'Data Apr 2025'!Z37</f>
        <v/>
      </c>
      <c r="AE32" s="26" t="n">
        <f aca="false">'Data Apr 2025'!AA37</f>
        <v>9000</v>
      </c>
      <c r="AF32" s="26" t="n">
        <f aca="false">'Data Apr 2025'!AB37</f>
        <v>9000</v>
      </c>
      <c r="AG32" s="26" t="n">
        <f aca="false">'Data Apr 2025'!AC37</f>
        <v>9000</v>
      </c>
      <c r="AH32" s="26" t="n">
        <f aca="false">'Data Apr 2025'!AD37</f>
        <v>9000</v>
      </c>
      <c r="AI32" s="26" t="n">
        <f aca="false">'Data Mei 2025'!Z37</f>
        <v>9000</v>
      </c>
      <c r="AJ32" s="26" t="n">
        <f aca="false">'Data Mei 2025'!AA37</f>
        <v>9000</v>
      </c>
      <c r="AK32" s="26" t="n">
        <f aca="false">'Data Mei 2025'!AB37</f>
        <v>9000</v>
      </c>
      <c r="AL32" s="26" t="n">
        <f aca="false">'Data Mei 2025'!AC37</f>
        <v>9000</v>
      </c>
      <c r="AM32" s="26" t="n">
        <f aca="false">'Data Mei 2025'!AD37</f>
        <v>9000</v>
      </c>
      <c r="AN32" s="26" t="n">
        <f aca="false">'Data Jun 2025'!X37</f>
        <v>9000</v>
      </c>
      <c r="AO32" s="26" t="n">
        <f aca="false">'Data Jun 2025'!Y37</f>
        <v>9000</v>
      </c>
      <c r="AP32" s="26" t="n">
        <f aca="false">'Data Jun 2025'!Z37</f>
        <v>9000</v>
      </c>
      <c r="AQ32" s="26" t="n">
        <f aca="false">'Data Jun 2025'!AA37</f>
        <v>9000</v>
      </c>
      <c r="AR32" s="26" t="n">
        <f aca="false">'Data Jul 2025'!AA37</f>
        <v>9000</v>
      </c>
      <c r="AS32" s="26" t="n">
        <f aca="false">'Data Jul 2025'!AB37</f>
        <v>9000</v>
      </c>
      <c r="AT32" s="26" t="n">
        <f aca="false">'Data Jul 2025'!AC37</f>
        <v>9000</v>
      </c>
      <c r="AU32" s="26" t="n">
        <f aca="false">'Data Jul 2025'!AD37</f>
        <v>9000</v>
      </c>
      <c r="AV32" s="26" t="n">
        <f aca="false">'Data Jul 2025'!AE37</f>
        <v>9000</v>
      </c>
      <c r="AW32" s="26" t="n">
        <f aca="false">'Data Agu 2025'!X37</f>
        <v>8200</v>
      </c>
      <c r="AX32" s="26" t="n">
        <f aca="false">'Data Agu 2025'!Y37</f>
        <v>8000</v>
      </c>
      <c r="AY32" s="26" t="n">
        <f aca="false">'Data Agu 2025'!Z37</f>
        <v>8000</v>
      </c>
      <c r="AZ32" s="26" t="n">
        <f aca="false">'Data Agu 2025'!AA37</f>
        <v>8000</v>
      </c>
      <c r="BA32" s="26" t="n">
        <f aca="false">'Data Sep 2025'!X37</f>
        <v>8000</v>
      </c>
      <c r="BB32" s="26" t="n">
        <f aca="false">'Data Sep 2025'!Y37</f>
        <v>8000</v>
      </c>
      <c r="BC32" s="26" t="n">
        <f aca="false">'Data Sep 2025'!Z37</f>
        <v>8000</v>
      </c>
      <c r="BD32" s="26" t="n">
        <f aca="false">'Data Sep 2025'!AA37</f>
        <v>8000</v>
      </c>
      <c r="BE32" s="26" t="n">
        <f aca="false">'Data Okt 2025'!AA37</f>
        <v>8000</v>
      </c>
      <c r="BF32" s="26" t="n">
        <f aca="false">'Data Okt 2025'!AB37</f>
        <v>8000</v>
      </c>
      <c r="BG32" s="26" t="n">
        <f aca="false">'Data Okt 2025'!AC37</f>
        <v>8000</v>
      </c>
      <c r="BH32" s="26" t="n">
        <f aca="false">'Data Okt 2025'!AD37</f>
        <v>8000</v>
      </c>
      <c r="BI32" s="26" t="n">
        <f aca="false">'Data Okt 2025'!AE37</f>
        <v>8000</v>
      </c>
      <c r="BJ32" s="26" t="n">
        <f aca="false">'Data Nov 2025'!X37</f>
        <v>8000</v>
      </c>
      <c r="BK32" s="26" t="n">
        <f aca="false">'Data Nov 2025'!Y37</f>
        <v>8000</v>
      </c>
      <c r="BL32" s="26" t="n">
        <f aca="false">'Data Nov 2025'!Z37</f>
        <v>8000</v>
      </c>
      <c r="BM32" s="26" t="n">
        <f aca="false">'Data Nov 2025'!AA37</f>
        <v>8000</v>
      </c>
      <c r="BN32" s="26" t="n">
        <f aca="false">'Data Des 2025'!AA37</f>
        <v>8000</v>
      </c>
      <c r="BO32" s="26" t="n">
        <f aca="false">'Data Des 2025'!AB37</f>
        <v>7800</v>
      </c>
      <c r="BP32" s="26" t="n">
        <f aca="false">'Data Des 2025'!AC37</f>
        <v>7000</v>
      </c>
      <c r="BQ32" s="26" t="n">
        <f aca="false">'Data Des 2025'!AD37</f>
        <v>7000</v>
      </c>
      <c r="BR32" s="26" t="n">
        <f aca="false">'Data Des 2025'!AE37</f>
        <v>7000</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2"/>
    <col collapsed="false" customWidth="true" hidden="false" outlineLevel="0" max="3" min="3" style="0" width="14"/>
    <col collapsed="false" customWidth="true" hidden="false" outlineLevel="0" max="5" min="4" style="0" width="18"/>
    <col collapsed="false" customWidth="true" hidden="false" outlineLevel="0" max="6" min="6" style="0" width="16"/>
  </cols>
  <sheetData>
    <row r="1" customFormat="false" ht="16.15" hidden="false" customHeight="false" outlineLevel="0" collapsed="false">
      <c r="A1" s="1" t="s">
        <v>435</v>
      </c>
      <c r="B1" s="1"/>
      <c r="C1" s="1"/>
      <c r="D1" s="1"/>
      <c r="E1" s="1"/>
      <c r="F1" s="1"/>
    </row>
    <row r="2" customFormat="false" ht="15" hidden="false" customHeight="false" outlineLevel="0" collapsed="false">
      <c r="A2" s="7" t="s">
        <v>436</v>
      </c>
    </row>
    <row r="4" customFormat="false" ht="22.35" hidden="false" customHeight="false" outlineLevel="0" collapsed="false">
      <c r="A4" s="2" t="s">
        <v>1</v>
      </c>
      <c r="B4" s="2" t="s">
        <v>173</v>
      </c>
      <c r="C4" s="2" t="s">
        <v>437</v>
      </c>
      <c r="D4" s="2" t="s">
        <v>438</v>
      </c>
      <c r="E4" s="2" t="s">
        <v>439</v>
      </c>
      <c r="F4" s="2" t="s">
        <v>440</v>
      </c>
    </row>
    <row r="5" customFormat="false" ht="15" hidden="false" customHeight="false" outlineLevel="0" collapsed="false">
      <c r="A5" s="3" t="n">
        <v>1</v>
      </c>
      <c r="B5" s="3" t="s">
        <v>234</v>
      </c>
      <c r="C5" s="27" t="n">
        <v>4.68551918735891</v>
      </c>
      <c r="D5" s="28" t="n">
        <v>45768.2381489842</v>
      </c>
      <c r="E5" s="13" t="n">
        <f aca="false">C5*D5</f>
        <v>214447.958018678</v>
      </c>
      <c r="F5" s="29" t="n">
        <v>0.125089056759346</v>
      </c>
    </row>
    <row r="6" customFormat="false" ht="15" hidden="false" customHeight="false" outlineLevel="0" collapsed="false">
      <c r="A6" s="3" t="n">
        <v>2</v>
      </c>
      <c r="B6" s="3" t="s">
        <v>235</v>
      </c>
      <c r="C6" s="27" t="n">
        <v>0.326985645933014</v>
      </c>
      <c r="D6" s="28" t="n">
        <v>2903.8995215311</v>
      </c>
      <c r="E6" s="13" t="n">
        <f aca="false">C6*D6</f>
        <v>949.533460772417</v>
      </c>
      <c r="F6" s="29" t="n">
        <v>0.00793664049050366</v>
      </c>
    </row>
    <row r="7" customFormat="false" ht="15" hidden="false" customHeight="false" outlineLevel="0" collapsed="false">
      <c r="A7" s="3" t="n">
        <v>3</v>
      </c>
      <c r="B7" s="3" t="s">
        <v>236</v>
      </c>
      <c r="C7" s="27" t="n">
        <v>1.12188439306358</v>
      </c>
      <c r="D7" s="28" t="n">
        <v>7805.12138728324</v>
      </c>
      <c r="E7" s="13" t="n">
        <f aca="false">C7*D7</f>
        <v>8756.44387035983</v>
      </c>
      <c r="F7" s="29" t="n">
        <v>0.0213321576646518</v>
      </c>
    </row>
    <row r="8" customFormat="false" ht="15" hidden="false" customHeight="false" outlineLevel="0" collapsed="false">
      <c r="A8" s="3" t="n">
        <v>4</v>
      </c>
      <c r="B8" s="3" t="s">
        <v>237</v>
      </c>
      <c r="C8" s="27" t="n">
        <v>0.595719178082193</v>
      </c>
      <c r="D8" s="28" t="n">
        <v>17529.845890411</v>
      </c>
      <c r="E8" s="13" t="n">
        <f aca="false">C8*D8</f>
        <v>10442.8653857432</v>
      </c>
      <c r="F8" s="29" t="n">
        <v>0.0479107777850277</v>
      </c>
    </row>
    <row r="9" customFormat="false" ht="15" hidden="false" customHeight="false" outlineLevel="0" collapsed="false">
      <c r="A9" s="3" t="n">
        <v>5</v>
      </c>
      <c r="B9" s="3" t="s">
        <v>238</v>
      </c>
      <c r="C9" s="27" t="n">
        <v>1.13251807228916</v>
      </c>
      <c r="D9" s="28" t="n">
        <v>16529.4590361446</v>
      </c>
      <c r="E9" s="13" t="n">
        <f aca="false">C9*D9</f>
        <v>18719.9110835971</v>
      </c>
      <c r="F9" s="29" t="n">
        <v>0.0451766229856385</v>
      </c>
    </row>
    <row r="10" customFormat="false" ht="15" hidden="false" customHeight="false" outlineLevel="0" collapsed="false">
      <c r="A10" s="3" t="n">
        <v>6</v>
      </c>
      <c r="B10" s="3" t="s">
        <v>239</v>
      </c>
      <c r="C10" s="27" t="n">
        <v>0.237662337662338</v>
      </c>
      <c r="D10" s="28" t="n">
        <v>13541.6883116883</v>
      </c>
      <c r="E10" s="13" t="n">
        <f aca="false">C10*D10</f>
        <v>3218.3493000506</v>
      </c>
      <c r="F10" s="29" t="n">
        <v>0.0370107543210236</v>
      </c>
    </row>
    <row r="11" customFormat="false" ht="15" hidden="false" customHeight="false" outlineLevel="0" collapsed="false">
      <c r="A11" s="3" t="n">
        <v>7</v>
      </c>
      <c r="B11" s="3" t="s">
        <v>241</v>
      </c>
      <c r="C11" s="27" t="n">
        <v>1.20151785714286</v>
      </c>
      <c r="D11" s="28" t="n">
        <v>14868.3217565775</v>
      </c>
      <c r="E11" s="13" t="n">
        <f aca="false">C11*D11</f>
        <v>17864.5540962736</v>
      </c>
      <c r="F11" s="29" t="n">
        <v>0.0406365728580274</v>
      </c>
    </row>
    <row r="12" customFormat="false" ht="15" hidden="false" customHeight="false" outlineLevel="0" collapsed="false">
      <c r="A12" s="3" t="n">
        <v>8</v>
      </c>
      <c r="B12" s="3" t="s">
        <v>243</v>
      </c>
      <c r="C12" s="27" t="n">
        <v>0.164706586826347</v>
      </c>
      <c r="D12" s="28" t="n">
        <v>6476.80239520958</v>
      </c>
      <c r="E12" s="13" t="n">
        <f aca="false">C12*D12</f>
        <v>1066.77201606368</v>
      </c>
      <c r="F12" s="29" t="n">
        <v>0.0177017323628706</v>
      </c>
    </row>
    <row r="13" customFormat="false" ht="15" hidden="false" customHeight="false" outlineLevel="0" collapsed="false">
      <c r="A13" s="3" t="n">
        <v>9</v>
      </c>
      <c r="B13" s="3" t="s">
        <v>244</v>
      </c>
      <c r="C13" s="27" t="n">
        <v>7.80121212121212</v>
      </c>
      <c r="D13" s="28" t="n">
        <v>10931.8424242424</v>
      </c>
      <c r="E13" s="13" t="n">
        <f aca="false">C13*D13</f>
        <v>85281.6216271807</v>
      </c>
      <c r="F13" s="29" t="n">
        <v>0.0298777910794593</v>
      </c>
    </row>
    <row r="14" customFormat="false" ht="15" hidden="false" customHeight="false" outlineLevel="0" collapsed="false">
      <c r="A14" s="3" t="n">
        <v>10</v>
      </c>
      <c r="B14" s="3" t="s">
        <v>245</v>
      </c>
      <c r="C14" s="27" t="n">
        <v>5.39128378378378</v>
      </c>
      <c r="D14" s="28" t="n">
        <v>7085.4481981982</v>
      </c>
      <c r="E14" s="13" t="n">
        <f aca="false">C14*D14</f>
        <v>38199.661971786</v>
      </c>
      <c r="F14" s="29" t="n">
        <v>0.0193652206786879</v>
      </c>
    </row>
    <row r="15" customFormat="false" ht="15" hidden="false" customHeight="false" outlineLevel="0" collapsed="false">
      <c r="A15" s="3" t="n">
        <v>11</v>
      </c>
      <c r="B15" s="3" t="s">
        <v>246</v>
      </c>
      <c r="C15" s="27" t="n">
        <v>0.25</v>
      </c>
      <c r="D15" s="28" t="n">
        <v>7600</v>
      </c>
      <c r="E15" s="13" t="n">
        <f aca="false">C15*D15</f>
        <v>1900</v>
      </c>
      <c r="F15" s="29" t="n">
        <v>0.0207715409161349</v>
      </c>
    </row>
    <row r="16" customFormat="false" ht="15" hidden="false" customHeight="false" outlineLevel="0" collapsed="false">
      <c r="A16" s="3" t="n">
        <v>12</v>
      </c>
      <c r="B16" s="3" t="s">
        <v>248</v>
      </c>
      <c r="C16" s="27" t="n">
        <v>0.816774193548387</v>
      </c>
      <c r="D16" s="28" t="n">
        <v>80298.7096774194</v>
      </c>
      <c r="E16" s="13" t="n">
        <f aca="false">C16*D16</f>
        <v>65585.9138397503</v>
      </c>
      <c r="F16" s="29" t="n">
        <v>0.219464201786494</v>
      </c>
    </row>
    <row r="17" customFormat="false" ht="15" hidden="false" customHeight="false" outlineLevel="0" collapsed="false">
      <c r="A17" s="3" t="n">
        <v>13</v>
      </c>
      <c r="B17" s="3" t="s">
        <v>250</v>
      </c>
      <c r="C17" s="27" t="n">
        <v>2.74220673635308</v>
      </c>
      <c r="D17" s="28" t="n">
        <v>7114.07665505227</v>
      </c>
      <c r="E17" s="13" t="n">
        <f aca="false">C17*D17</f>
        <v>19508.2689264165</v>
      </c>
      <c r="F17" s="29" t="n">
        <v>0.0194434650422287</v>
      </c>
    </row>
    <row r="18" customFormat="false" ht="15" hidden="false" customHeight="false" outlineLevel="0" collapsed="false">
      <c r="A18" s="3" t="n">
        <v>14</v>
      </c>
      <c r="B18" s="3" t="s">
        <v>251</v>
      </c>
      <c r="C18" s="27" t="n">
        <v>1.83787134502924</v>
      </c>
      <c r="D18" s="28" t="n">
        <v>4683.55555555556</v>
      </c>
      <c r="E18" s="13" t="n">
        <f aca="false">C18*D18</f>
        <v>8607.77254840807</v>
      </c>
      <c r="F18" s="29" t="n">
        <v>0.0128006139283175</v>
      </c>
    </row>
    <row r="19" customFormat="false" ht="15" hidden="false" customHeight="false" outlineLevel="0" collapsed="false">
      <c r="A19" s="3" t="n">
        <v>15</v>
      </c>
      <c r="B19" s="3" t="s">
        <v>252</v>
      </c>
      <c r="C19" s="27" t="n">
        <v>3.30105900151286</v>
      </c>
      <c r="D19" s="28" t="n">
        <v>9336.61119515885</v>
      </c>
      <c r="E19" s="13" t="n">
        <f aca="false">C19*D19</f>
        <v>30820.7044294049</v>
      </c>
      <c r="F19" s="29" t="n">
        <v>0.0255178686129323</v>
      </c>
    </row>
    <row r="20" customFormat="false" ht="15" hidden="false" customHeight="false" outlineLevel="0" collapsed="false">
      <c r="A20" s="3" t="n">
        <v>16</v>
      </c>
      <c r="B20" s="3" t="s">
        <v>253</v>
      </c>
      <c r="C20" s="27" t="n">
        <v>0.622872340425532</v>
      </c>
      <c r="D20" s="28" t="n">
        <v>67547.3404255319</v>
      </c>
      <c r="E20" s="13" t="n">
        <f aca="false">C20*D20</f>
        <v>42073.3700203712</v>
      </c>
      <c r="F20" s="29" t="n">
        <v>0.184613466503293</v>
      </c>
    </row>
    <row r="21" customFormat="false" ht="15" hidden="false" customHeight="false" outlineLevel="0" collapsed="false">
      <c r="A21" s="3" t="n">
        <v>17</v>
      </c>
      <c r="B21" s="3" t="s">
        <v>255</v>
      </c>
      <c r="C21" s="27" t="n">
        <v>0.184101941747573</v>
      </c>
      <c r="D21" s="28" t="n">
        <v>4032.3786407767</v>
      </c>
      <c r="E21" s="13" t="n">
        <f aca="false">C21*D21</f>
        <v>742.36873762843</v>
      </c>
      <c r="F21" s="29" t="n">
        <v>0.0110208839376634</v>
      </c>
    </row>
    <row r="22" customFormat="false" ht="15" hidden="false" customHeight="false" outlineLevel="0" collapsed="false">
      <c r="A22" s="3" t="n">
        <v>18</v>
      </c>
      <c r="B22" s="3" t="s">
        <v>256</v>
      </c>
      <c r="C22" s="27" t="n">
        <v>0.202570281124498</v>
      </c>
      <c r="D22" s="28" t="n">
        <v>21905.702811245</v>
      </c>
      <c r="E22" s="13" t="n">
        <f aca="false">C22*D22</f>
        <v>4437.44437670361</v>
      </c>
      <c r="F22" s="29" t="n">
        <v>0.0598704213474298</v>
      </c>
    </row>
    <row r="23" customFormat="false" ht="15" hidden="false" customHeight="false" outlineLevel="0" collapsed="false">
      <c r="A23" s="3" t="n">
        <v>19</v>
      </c>
      <c r="B23" s="3" t="s">
        <v>257</v>
      </c>
      <c r="C23" s="27" t="n">
        <v>0.702075029308325</v>
      </c>
      <c r="D23" s="28" t="n">
        <v>7421.101992966</v>
      </c>
      <c r="E23" s="13" t="n">
        <f aca="false">C23*D23</f>
        <v>5210.17039921167</v>
      </c>
      <c r="F23" s="29" t="n">
        <v>0.0202825952223294</v>
      </c>
    </row>
    <row r="24" customFormat="false" ht="15" hidden="false" customHeight="false" outlineLevel="0" collapsed="false">
      <c r="A24" s="3" t="n">
        <v>20</v>
      </c>
      <c r="B24" s="3" t="s">
        <v>258</v>
      </c>
      <c r="C24" s="27" t="n">
        <v>0.866652542372881</v>
      </c>
      <c r="D24" s="28" t="n">
        <v>12505.0847457627</v>
      </c>
      <c r="E24" s="13" t="n">
        <f aca="false">C24*D24</f>
        <v>10837.5634875036</v>
      </c>
      <c r="F24" s="29" t="n">
        <v>0.0341776157179401</v>
      </c>
    </row>
    <row r="25" customFormat="false" ht="15" hidden="false" customHeight="false" outlineLevel="0" collapsed="false">
      <c r="B25" s="30" t="s">
        <v>441</v>
      </c>
      <c r="F25" s="31" t="n">
        <f aca="false">SUM(F5:F24)</f>
        <v>1</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4"/>
    <col collapsed="false" customWidth="true" hidden="false" outlineLevel="0" max="23" min="4" style="0" width="9"/>
    <col collapsed="false" customWidth="true" hidden="false" outlineLevel="0" max="28" min="24" style="0" width="14"/>
  </cols>
  <sheetData>
    <row r="1" customFormat="false" ht="16.15" hidden="false" customHeight="false" outlineLevel="0" collapsed="false">
      <c r="A1" s="1" t="s">
        <v>442</v>
      </c>
      <c r="B1" s="1"/>
      <c r="C1" s="1"/>
      <c r="D1" s="1"/>
      <c r="E1" s="1"/>
      <c r="F1" s="1"/>
      <c r="G1" s="1"/>
      <c r="H1" s="1"/>
      <c r="I1" s="1"/>
      <c r="J1" s="1"/>
      <c r="K1" s="1"/>
      <c r="L1" s="1"/>
      <c r="M1" s="1"/>
      <c r="N1" s="1"/>
      <c r="O1" s="1"/>
      <c r="P1" s="1"/>
      <c r="Q1" s="1"/>
      <c r="R1" s="1"/>
      <c r="S1" s="1"/>
      <c r="T1" s="1"/>
      <c r="U1" s="1"/>
      <c r="V1" s="1"/>
      <c r="W1" s="1"/>
      <c r="X1" s="1"/>
      <c r="Y1" s="1"/>
      <c r="Z1" s="1"/>
      <c r="AA1" s="1"/>
      <c r="AB1" s="1"/>
    </row>
    <row r="2" customFormat="false" ht="15" hidden="false" customHeight="false" outlineLevel="0" collapsed="false">
      <c r="A2" s="7" t="s">
        <v>443</v>
      </c>
    </row>
    <row r="4" customFormat="false" ht="19.4" hidden="false" customHeight="false" outlineLevel="0" collapsed="false">
      <c r="A4" s="10" t="s">
        <v>1</v>
      </c>
      <c r="B4" s="10" t="s">
        <v>444</v>
      </c>
      <c r="C4" s="10" t="s">
        <v>445</v>
      </c>
      <c r="D4" s="10" t="s">
        <v>446</v>
      </c>
      <c r="E4" s="10" t="s">
        <v>447</v>
      </c>
      <c r="F4" s="10" t="s">
        <v>448</v>
      </c>
      <c r="G4" s="10" t="s">
        <v>449</v>
      </c>
      <c r="H4" s="10" t="s">
        <v>450</v>
      </c>
      <c r="I4" s="10" t="s">
        <v>451</v>
      </c>
      <c r="J4" s="10" t="s">
        <v>452</v>
      </c>
      <c r="K4" s="10" t="s">
        <v>453</v>
      </c>
      <c r="L4" s="10" t="s">
        <v>454</v>
      </c>
      <c r="M4" s="10" t="s">
        <v>455</v>
      </c>
      <c r="N4" s="10" t="s">
        <v>456</v>
      </c>
      <c r="O4" s="10" t="s">
        <v>457</v>
      </c>
      <c r="P4" s="10" t="s">
        <v>458</v>
      </c>
      <c r="Q4" s="10" t="s">
        <v>459</v>
      </c>
      <c r="R4" s="10" t="s">
        <v>460</v>
      </c>
      <c r="S4" s="10" t="s">
        <v>461</v>
      </c>
      <c r="T4" s="10" t="s">
        <v>462</v>
      </c>
      <c r="U4" s="10" t="s">
        <v>463</v>
      </c>
      <c r="V4" s="10" t="s">
        <v>464</v>
      </c>
      <c r="W4" s="10" t="s">
        <v>465</v>
      </c>
      <c r="X4" s="10" t="s">
        <v>466</v>
      </c>
      <c r="Y4" s="10" t="s">
        <v>467</v>
      </c>
      <c r="Z4" s="10" t="s">
        <v>468</v>
      </c>
      <c r="AA4" s="10" t="s">
        <v>469</v>
      </c>
      <c r="AB4" s="10" t="s">
        <v>470</v>
      </c>
    </row>
    <row r="5" customFormat="false" ht="15" hidden="false" customHeight="false" outlineLevel="0" collapsed="false">
      <c r="A5" s="3" t="n">
        <v>1</v>
      </c>
      <c r="B5" s="3" t="s">
        <v>407</v>
      </c>
      <c r="C5" s="3" t="s">
        <v>471</v>
      </c>
      <c r="D5" s="32" t="n">
        <v>12000</v>
      </c>
      <c r="E5" s="32" t="n">
        <v>12000</v>
      </c>
      <c r="F5" s="32" t="n">
        <v>12000</v>
      </c>
      <c r="G5" s="32" t="n">
        <v>12000</v>
      </c>
      <c r="H5" s="32" t="n">
        <v>12000</v>
      </c>
      <c r="I5" s="32" t="n">
        <v>12000</v>
      </c>
      <c r="J5" s="32" t="n">
        <v>12000</v>
      </c>
      <c r="K5" s="32" t="n">
        <v>12000</v>
      </c>
      <c r="L5" s="32" t="n">
        <v>12000</v>
      </c>
      <c r="M5" s="32" t="n">
        <v>12000</v>
      </c>
      <c r="N5" s="32" t="n">
        <v>12000</v>
      </c>
      <c r="O5" s="32" t="n">
        <v>12000</v>
      </c>
      <c r="P5" s="32" t="n">
        <v>12000</v>
      </c>
      <c r="Q5" s="32" t="n">
        <v>12000</v>
      </c>
      <c r="R5" s="32" t="n">
        <v>12000</v>
      </c>
      <c r="S5" s="32" t="n">
        <v>12000</v>
      </c>
      <c r="T5" s="32" t="n">
        <v>12000</v>
      </c>
      <c r="U5" s="32" t="n">
        <v>0</v>
      </c>
      <c r="V5" s="32" t="n">
        <v>0</v>
      </c>
      <c r="W5" s="32" t="n">
        <v>12000</v>
      </c>
      <c r="X5" s="13" t="n">
        <f aca="false">IFERROR(AVERAGEIF(D5:H5,"&lt;&gt;0"),"")</f>
        <v>12000</v>
      </c>
      <c r="Y5" s="13" t="n">
        <f aca="false">IFERROR(AVERAGEIF(I5:M5,"&lt;&gt;0"),"")</f>
        <v>12000</v>
      </c>
      <c r="Z5" s="13" t="n">
        <f aca="false">IFERROR(AVERAGEIF(N5:R5,"&lt;&gt;0"),"")</f>
        <v>12000</v>
      </c>
      <c r="AA5" s="13" t="n">
        <f aca="false">IFERROR(AVERAGEIF(S5:W5,"&lt;&gt;0"),"")</f>
        <v>12000</v>
      </c>
      <c r="AB5" s="13" t="n">
        <f aca="false">IFERROR(AVERAGEIF(D5:W5,"&lt;&gt;0"),"")</f>
        <v>12000</v>
      </c>
    </row>
    <row r="6" customFormat="false" ht="15" hidden="false" customHeight="false" outlineLevel="0" collapsed="false">
      <c r="A6" s="3" t="n">
        <v>2</v>
      </c>
      <c r="B6" s="3" t="s">
        <v>408</v>
      </c>
      <c r="C6" s="3" t="s">
        <v>471</v>
      </c>
      <c r="D6" s="32" t="n">
        <v>13000</v>
      </c>
      <c r="E6" s="32" t="n">
        <v>13000</v>
      </c>
      <c r="F6" s="32" t="n">
        <v>13000</v>
      </c>
      <c r="G6" s="32" t="n">
        <v>13000</v>
      </c>
      <c r="H6" s="32" t="n">
        <v>13000</v>
      </c>
      <c r="I6" s="32" t="n">
        <v>13000</v>
      </c>
      <c r="J6" s="32" t="n">
        <v>13000</v>
      </c>
      <c r="K6" s="32" t="n">
        <v>13000</v>
      </c>
      <c r="L6" s="32" t="n">
        <v>13000</v>
      </c>
      <c r="M6" s="32" t="n">
        <v>13000</v>
      </c>
      <c r="N6" s="32" t="n">
        <v>13000</v>
      </c>
      <c r="O6" s="32" t="n">
        <v>13000</v>
      </c>
      <c r="P6" s="32" t="n">
        <v>13000</v>
      </c>
      <c r="Q6" s="32" t="n">
        <v>13000</v>
      </c>
      <c r="R6" s="32" t="n">
        <v>13000</v>
      </c>
      <c r="S6" s="32" t="n">
        <v>13000</v>
      </c>
      <c r="T6" s="32" t="n">
        <v>13000</v>
      </c>
      <c r="U6" s="32" t="n">
        <v>0</v>
      </c>
      <c r="V6" s="32" t="n">
        <v>0</v>
      </c>
      <c r="W6" s="32" t="n">
        <v>13000</v>
      </c>
      <c r="X6" s="13" t="n">
        <f aca="false">IFERROR(AVERAGEIF(D6:H6,"&lt;&gt;0"),"")</f>
        <v>13000</v>
      </c>
      <c r="Y6" s="13" t="n">
        <f aca="false">IFERROR(AVERAGEIF(I6:M6,"&lt;&gt;0"),"")</f>
        <v>13000</v>
      </c>
      <c r="Z6" s="13" t="n">
        <f aca="false">IFERROR(AVERAGEIF(N6:R6,"&lt;&gt;0"),"")</f>
        <v>13000</v>
      </c>
      <c r="AA6" s="13" t="n">
        <f aca="false">IFERROR(AVERAGEIF(S6:W6,"&lt;&gt;0"),"")</f>
        <v>13000</v>
      </c>
      <c r="AB6" s="13" t="n">
        <f aca="false">IFERROR(AVERAGEIF(D6:W6,"&lt;&gt;0"),"")</f>
        <v>13000</v>
      </c>
    </row>
    <row r="7" customFormat="false" ht="15" hidden="false" customHeight="false" outlineLevel="0" collapsed="false">
      <c r="A7" s="3" t="n">
        <v>3</v>
      </c>
      <c r="B7" s="3" t="s">
        <v>409</v>
      </c>
      <c r="C7" s="3" t="s">
        <v>471</v>
      </c>
      <c r="D7" s="32" t="n">
        <v>12500</v>
      </c>
      <c r="E7" s="32" t="n">
        <v>12500</v>
      </c>
      <c r="F7" s="32" t="n">
        <v>12500</v>
      </c>
      <c r="G7" s="32" t="n">
        <v>12500</v>
      </c>
      <c r="H7" s="32" t="n">
        <v>12500</v>
      </c>
      <c r="I7" s="32" t="n">
        <v>12500</v>
      </c>
      <c r="J7" s="32" t="n">
        <v>12500</v>
      </c>
      <c r="K7" s="32" t="n">
        <v>12500</v>
      </c>
      <c r="L7" s="32" t="n">
        <v>12500</v>
      </c>
      <c r="M7" s="32" t="n">
        <v>12500</v>
      </c>
      <c r="N7" s="32" t="n">
        <v>12500</v>
      </c>
      <c r="O7" s="32" t="n">
        <v>12500</v>
      </c>
      <c r="P7" s="32" t="n">
        <v>12500</v>
      </c>
      <c r="Q7" s="32" t="n">
        <v>12500</v>
      </c>
      <c r="R7" s="32" t="n">
        <v>12500</v>
      </c>
      <c r="S7" s="32" t="n">
        <v>12500</v>
      </c>
      <c r="T7" s="32" t="n">
        <v>12500</v>
      </c>
      <c r="U7" s="32" t="n">
        <v>0</v>
      </c>
      <c r="V7" s="32" t="n">
        <v>0</v>
      </c>
      <c r="W7" s="32" t="n">
        <v>12500</v>
      </c>
      <c r="X7" s="13" t="n">
        <f aca="false">IFERROR(AVERAGEIF(D7:H7,"&lt;&gt;0"),"")</f>
        <v>12500</v>
      </c>
      <c r="Y7" s="13" t="n">
        <f aca="false">IFERROR(AVERAGEIF(I7:M7,"&lt;&gt;0"),"")</f>
        <v>12500</v>
      </c>
      <c r="Z7" s="13" t="n">
        <f aca="false">IFERROR(AVERAGEIF(N7:R7,"&lt;&gt;0"),"")</f>
        <v>12500</v>
      </c>
      <c r="AA7" s="13" t="n">
        <f aca="false">IFERROR(AVERAGEIF(S7:W7,"&lt;&gt;0"),"")</f>
        <v>12500</v>
      </c>
      <c r="AB7" s="13" t="n">
        <f aca="false">IFERROR(AVERAGEIF(D7:W7,"&lt;&gt;0"),"")</f>
        <v>12500</v>
      </c>
    </row>
    <row r="8" customFormat="false" ht="15" hidden="false" customHeight="false" outlineLevel="0" collapsed="false">
      <c r="A8" s="3" t="n">
        <v>4</v>
      </c>
      <c r="B8" s="3" t="s">
        <v>472</v>
      </c>
      <c r="C8" s="3" t="s">
        <v>471</v>
      </c>
      <c r="D8" s="32" t="n">
        <v>11000</v>
      </c>
      <c r="E8" s="32" t="n">
        <v>11000</v>
      </c>
      <c r="F8" s="32" t="n">
        <v>11000</v>
      </c>
      <c r="G8" s="32" t="n">
        <v>11000</v>
      </c>
      <c r="H8" s="32" t="n">
        <v>11000</v>
      </c>
      <c r="I8" s="32" t="n">
        <v>11000</v>
      </c>
      <c r="J8" s="32" t="n">
        <v>11000</v>
      </c>
      <c r="K8" s="32" t="n">
        <v>11000</v>
      </c>
      <c r="L8" s="32" t="n">
        <v>11000</v>
      </c>
      <c r="M8" s="32" t="n">
        <v>11000</v>
      </c>
      <c r="N8" s="32" t="n">
        <v>11000</v>
      </c>
      <c r="O8" s="32" t="n">
        <v>11000</v>
      </c>
      <c r="P8" s="32" t="n">
        <v>11000</v>
      </c>
      <c r="Q8" s="32" t="n">
        <v>11000</v>
      </c>
      <c r="R8" s="32" t="n">
        <v>11000</v>
      </c>
      <c r="S8" s="32" t="n">
        <v>11000</v>
      </c>
      <c r="T8" s="32" t="n">
        <v>11000</v>
      </c>
      <c r="U8" s="32" t="n">
        <v>0</v>
      </c>
      <c r="V8" s="32" t="n">
        <v>0</v>
      </c>
      <c r="W8" s="32" t="n">
        <v>11000</v>
      </c>
      <c r="X8" s="13" t="n">
        <f aca="false">IFERROR(AVERAGEIF(D8:H8,"&lt;&gt;0"),"")</f>
        <v>11000</v>
      </c>
      <c r="Y8" s="13" t="n">
        <f aca="false">IFERROR(AVERAGEIF(I8:M8,"&lt;&gt;0"),"")</f>
        <v>11000</v>
      </c>
      <c r="Z8" s="13" t="n">
        <f aca="false">IFERROR(AVERAGEIF(N8:R8,"&lt;&gt;0"),"")</f>
        <v>11000</v>
      </c>
      <c r="AA8" s="13" t="n">
        <f aca="false">IFERROR(AVERAGEIF(S8:W8,"&lt;&gt;0"),"")</f>
        <v>11000</v>
      </c>
      <c r="AB8" s="13" t="n">
        <f aca="false">IFERROR(AVERAGEIF(D8:W8,"&lt;&gt;0"),"")</f>
        <v>11000</v>
      </c>
    </row>
    <row r="9" customFormat="false" ht="15" hidden="false" customHeight="false" outlineLevel="0" collapsed="false">
      <c r="A9" s="3" t="n">
        <v>5</v>
      </c>
      <c r="B9" s="3" t="s">
        <v>428</v>
      </c>
      <c r="C9" s="3" t="s">
        <v>471</v>
      </c>
      <c r="D9" s="32" t="n">
        <v>15000</v>
      </c>
      <c r="E9" s="32" t="n">
        <v>15000</v>
      </c>
      <c r="F9" s="32" t="n">
        <v>15000</v>
      </c>
      <c r="G9" s="32" t="n">
        <v>15000</v>
      </c>
      <c r="H9" s="32" t="n">
        <v>15000</v>
      </c>
      <c r="I9" s="32" t="n">
        <v>15000</v>
      </c>
      <c r="J9" s="32" t="n">
        <v>17000</v>
      </c>
      <c r="K9" s="32" t="n">
        <v>18000</v>
      </c>
      <c r="L9" s="32" t="n">
        <v>18000</v>
      </c>
      <c r="M9" s="32" t="n">
        <v>24000</v>
      </c>
      <c r="N9" s="32" t="n">
        <v>25000</v>
      </c>
      <c r="O9" s="32" t="n">
        <v>25000</v>
      </c>
      <c r="P9" s="32" t="n">
        <v>25000</v>
      </c>
      <c r="Q9" s="32" t="n">
        <v>25000</v>
      </c>
      <c r="R9" s="32" t="n">
        <v>25000</v>
      </c>
      <c r="S9" s="32" t="n">
        <v>34000</v>
      </c>
      <c r="T9" s="32" t="n">
        <v>34000</v>
      </c>
      <c r="U9" s="32" t="n">
        <v>0</v>
      </c>
      <c r="V9" s="32" t="n">
        <v>0</v>
      </c>
      <c r="W9" s="32" t="n">
        <v>34000</v>
      </c>
      <c r="X9" s="13" t="n">
        <f aca="false">IFERROR(AVERAGEIF(D9:H9,"&lt;&gt;0"),"")</f>
        <v>15000</v>
      </c>
      <c r="Y9" s="13" t="n">
        <f aca="false">IFERROR(AVERAGEIF(I9:M9,"&lt;&gt;0"),"")</f>
        <v>18400</v>
      </c>
      <c r="Z9" s="13" t="n">
        <f aca="false">IFERROR(AVERAGEIF(N9:R9,"&lt;&gt;0"),"")</f>
        <v>25000</v>
      </c>
      <c r="AA9" s="13" t="n">
        <f aca="false">IFERROR(AVERAGEIF(S9:W9,"&lt;&gt;0"),"")</f>
        <v>34000</v>
      </c>
      <c r="AB9" s="13" t="n">
        <f aca="false">IFERROR(AVERAGEIF(D9:W9,"&lt;&gt;0"),"")</f>
        <v>21888.8888888889</v>
      </c>
    </row>
    <row r="10" customFormat="false" ht="15" hidden="false" customHeight="false" outlineLevel="0" collapsed="false">
      <c r="A10" s="3" t="n">
        <v>6</v>
      </c>
      <c r="B10" s="3" t="s">
        <v>429</v>
      </c>
      <c r="C10" s="3" t="s">
        <v>471</v>
      </c>
      <c r="D10" s="32" t="n">
        <v>20000</v>
      </c>
      <c r="E10" s="32" t="n">
        <v>20000</v>
      </c>
      <c r="F10" s="32" t="n">
        <v>20000</v>
      </c>
      <c r="G10" s="32" t="n">
        <v>20000</v>
      </c>
      <c r="H10" s="32" t="n">
        <v>20000</v>
      </c>
      <c r="I10" s="32" t="n">
        <v>20000</v>
      </c>
      <c r="J10" s="32" t="n">
        <v>24000</v>
      </c>
      <c r="K10" s="32" t="n">
        <v>24000</v>
      </c>
      <c r="L10" s="32" t="n">
        <v>24000</v>
      </c>
      <c r="M10" s="32" t="n">
        <v>28000</v>
      </c>
      <c r="N10" s="32" t="n">
        <v>29000</v>
      </c>
      <c r="O10" s="32" t="n">
        <v>28000</v>
      </c>
      <c r="P10" s="32" t="n">
        <v>28000</v>
      </c>
      <c r="Q10" s="32" t="n">
        <v>28000</v>
      </c>
      <c r="R10" s="32" t="n">
        <v>28000</v>
      </c>
      <c r="S10" s="32" t="n">
        <v>34000</v>
      </c>
      <c r="T10" s="32" t="n">
        <v>34000</v>
      </c>
      <c r="U10" s="32" t="n">
        <v>0</v>
      </c>
      <c r="V10" s="32" t="n">
        <v>0</v>
      </c>
      <c r="W10" s="32" t="n">
        <v>34000</v>
      </c>
      <c r="X10" s="13" t="n">
        <f aca="false">IFERROR(AVERAGEIF(D10:H10,"&lt;&gt;0"),"")</f>
        <v>20000</v>
      </c>
      <c r="Y10" s="13" t="n">
        <f aca="false">IFERROR(AVERAGEIF(I10:M10,"&lt;&gt;0"),"")</f>
        <v>24000</v>
      </c>
      <c r="Z10" s="13" t="n">
        <f aca="false">IFERROR(AVERAGEIF(N10:R10,"&lt;&gt;0"),"")</f>
        <v>28200</v>
      </c>
      <c r="AA10" s="13" t="n">
        <f aca="false">IFERROR(AVERAGEIF(S10:W10,"&lt;&gt;0"),"")</f>
        <v>34000</v>
      </c>
      <c r="AB10" s="13" t="n">
        <f aca="false">IFERROR(AVERAGEIF(D10:W10,"&lt;&gt;0"),"")</f>
        <v>25722.2222222222</v>
      </c>
    </row>
    <row r="11" customFormat="false" ht="15" hidden="false" customHeight="false" outlineLevel="0" collapsed="false">
      <c r="A11" s="3" t="n">
        <v>7</v>
      </c>
      <c r="B11" s="3" t="s">
        <v>418</v>
      </c>
      <c r="C11" s="3" t="s">
        <v>471</v>
      </c>
      <c r="D11" s="32" t="n">
        <v>24000</v>
      </c>
      <c r="E11" s="32" t="n">
        <v>24000</v>
      </c>
      <c r="F11" s="32" t="n">
        <v>24000</v>
      </c>
      <c r="G11" s="32" t="n">
        <v>15000</v>
      </c>
      <c r="H11" s="32" t="n">
        <v>15000</v>
      </c>
      <c r="I11" s="32" t="n">
        <v>28000</v>
      </c>
      <c r="J11" s="32" t="n">
        <v>30000</v>
      </c>
      <c r="K11" s="32" t="n">
        <v>33000</v>
      </c>
      <c r="L11" s="32" t="n">
        <v>33000</v>
      </c>
      <c r="M11" s="32" t="n">
        <v>33000</v>
      </c>
      <c r="N11" s="32" t="n">
        <v>34000</v>
      </c>
      <c r="O11" s="32" t="n">
        <v>34000</v>
      </c>
      <c r="P11" s="32" t="n">
        <v>34000</v>
      </c>
      <c r="Q11" s="32" t="n">
        <v>34000</v>
      </c>
      <c r="R11" s="32" t="n">
        <v>37000</v>
      </c>
      <c r="S11" s="32" t="n">
        <v>43000</v>
      </c>
      <c r="T11" s="32" t="n">
        <v>43000</v>
      </c>
      <c r="U11" s="32" t="n">
        <v>0</v>
      </c>
      <c r="V11" s="32" t="n">
        <v>0</v>
      </c>
      <c r="W11" s="32" t="n">
        <v>43000</v>
      </c>
      <c r="X11" s="13" t="n">
        <f aca="false">IFERROR(AVERAGEIF(D11:H11,"&lt;&gt;0"),"")</f>
        <v>20400</v>
      </c>
      <c r="Y11" s="13" t="n">
        <f aca="false">IFERROR(AVERAGEIF(I11:M11,"&lt;&gt;0"),"")</f>
        <v>31400</v>
      </c>
      <c r="Z11" s="13" t="n">
        <f aca="false">IFERROR(AVERAGEIF(N11:R11,"&lt;&gt;0"),"")</f>
        <v>34600</v>
      </c>
      <c r="AA11" s="13" t="n">
        <f aca="false">IFERROR(AVERAGEIF(S11:W11,"&lt;&gt;0"),"")</f>
        <v>43000</v>
      </c>
      <c r="AB11" s="13" t="n">
        <f aca="false">IFERROR(AVERAGEIF(D11:W11,"&lt;&gt;0"),"")</f>
        <v>31166.6666666667</v>
      </c>
    </row>
    <row r="12" customFormat="false" ht="15" hidden="false" customHeight="false" outlineLevel="0" collapsed="false">
      <c r="A12" s="3" t="n">
        <v>8</v>
      </c>
      <c r="B12" s="3" t="s">
        <v>423</v>
      </c>
      <c r="C12" s="3" t="s">
        <v>471</v>
      </c>
      <c r="D12" s="32" t="n">
        <v>28000</v>
      </c>
      <c r="E12" s="32" t="n">
        <v>28000</v>
      </c>
      <c r="F12" s="32" t="n">
        <v>28000</v>
      </c>
      <c r="G12" s="32" t="n">
        <v>28000</v>
      </c>
      <c r="H12" s="32" t="n">
        <v>28000</v>
      </c>
      <c r="I12" s="32" t="n">
        <v>28000</v>
      </c>
      <c r="J12" s="32" t="n">
        <v>28000</v>
      </c>
      <c r="K12" s="32" t="n">
        <v>28000</v>
      </c>
      <c r="L12" s="32" t="n">
        <v>28000</v>
      </c>
      <c r="M12" s="32" t="n">
        <v>28000</v>
      </c>
      <c r="N12" s="32" t="n">
        <v>28000</v>
      </c>
      <c r="O12" s="32" t="n">
        <v>28000</v>
      </c>
      <c r="P12" s="32" t="n">
        <v>28000</v>
      </c>
      <c r="Q12" s="32" t="n">
        <v>28000</v>
      </c>
      <c r="R12" s="32" t="n">
        <v>28000</v>
      </c>
      <c r="S12" s="32" t="n">
        <v>25000</v>
      </c>
      <c r="T12" s="32" t="n">
        <v>25000</v>
      </c>
      <c r="U12" s="32" t="n">
        <v>0</v>
      </c>
      <c r="V12" s="32" t="n">
        <v>0</v>
      </c>
      <c r="W12" s="32" t="n">
        <v>25000</v>
      </c>
      <c r="X12" s="13" t="n">
        <f aca="false">IFERROR(AVERAGEIF(D12:H12,"&lt;&gt;0"),"")</f>
        <v>28000</v>
      </c>
      <c r="Y12" s="13" t="n">
        <f aca="false">IFERROR(AVERAGEIF(I12:M12,"&lt;&gt;0"),"")</f>
        <v>28000</v>
      </c>
      <c r="Z12" s="13" t="n">
        <f aca="false">IFERROR(AVERAGEIF(N12:R12,"&lt;&gt;0"),"")</f>
        <v>28000</v>
      </c>
      <c r="AA12" s="13" t="n">
        <f aca="false">IFERROR(AVERAGEIF(S12:W12,"&lt;&gt;0"),"")</f>
        <v>25000</v>
      </c>
      <c r="AB12" s="13" t="n">
        <f aca="false">IFERROR(AVERAGEIF(D12:W12,"&lt;&gt;0"),"")</f>
        <v>27500</v>
      </c>
    </row>
    <row r="13" customFormat="false" ht="15" hidden="false" customHeight="false" outlineLevel="0" collapsed="false">
      <c r="A13" s="3" t="n">
        <v>9</v>
      </c>
      <c r="B13" s="3" t="s">
        <v>420</v>
      </c>
      <c r="C13" s="3" t="s">
        <v>471</v>
      </c>
      <c r="D13" s="32" t="n">
        <v>16500</v>
      </c>
      <c r="E13" s="32" t="n">
        <v>16500</v>
      </c>
      <c r="F13" s="32" t="n">
        <v>16500</v>
      </c>
      <c r="G13" s="32" t="n">
        <v>16500</v>
      </c>
      <c r="H13" s="32" t="n">
        <v>16500</v>
      </c>
      <c r="I13" s="32" t="n">
        <v>16500</v>
      </c>
      <c r="J13" s="32" t="n">
        <v>16500</v>
      </c>
      <c r="K13" s="32" t="n">
        <v>16500</v>
      </c>
      <c r="L13" s="32" t="n">
        <v>16500</v>
      </c>
      <c r="M13" s="32" t="n">
        <v>16500</v>
      </c>
      <c r="N13" s="32" t="n">
        <v>16500</v>
      </c>
      <c r="O13" s="32" t="n">
        <v>16500</v>
      </c>
      <c r="P13" s="32" t="n">
        <v>16500</v>
      </c>
      <c r="Q13" s="32" t="n">
        <v>16500</v>
      </c>
      <c r="R13" s="32" t="n">
        <v>16500</v>
      </c>
      <c r="S13" s="32" t="n">
        <v>16500</v>
      </c>
      <c r="T13" s="32" t="n">
        <v>16500</v>
      </c>
      <c r="U13" s="32" t="n">
        <v>0</v>
      </c>
      <c r="V13" s="32" t="n">
        <v>0</v>
      </c>
      <c r="W13" s="32" t="n">
        <v>16500</v>
      </c>
      <c r="X13" s="13" t="n">
        <f aca="false">IFERROR(AVERAGEIF(D13:H13,"&lt;&gt;0"),"")</f>
        <v>16500</v>
      </c>
      <c r="Y13" s="13" t="n">
        <f aca="false">IFERROR(AVERAGEIF(I13:M13,"&lt;&gt;0"),"")</f>
        <v>16500</v>
      </c>
      <c r="Z13" s="13" t="n">
        <f aca="false">IFERROR(AVERAGEIF(N13:R13,"&lt;&gt;0"),"")</f>
        <v>16500</v>
      </c>
      <c r="AA13" s="13" t="n">
        <f aca="false">IFERROR(AVERAGEIF(S13:W13,"&lt;&gt;0"),"")</f>
        <v>16500</v>
      </c>
      <c r="AB13" s="13" t="n">
        <f aca="false">IFERROR(AVERAGEIF(D13:W13,"&lt;&gt;0"),"")</f>
        <v>16500</v>
      </c>
    </row>
    <row r="14" customFormat="false" ht="15" hidden="false" customHeight="false" outlineLevel="0" collapsed="false">
      <c r="A14" s="3" t="n">
        <v>10</v>
      </c>
      <c r="B14" s="3" t="s">
        <v>413</v>
      </c>
      <c r="C14" s="3" t="s">
        <v>471</v>
      </c>
      <c r="D14" s="32" t="n">
        <v>15750</v>
      </c>
      <c r="E14" s="32" t="n">
        <v>15750</v>
      </c>
      <c r="F14" s="32" t="n">
        <v>15750</v>
      </c>
      <c r="G14" s="32" t="n">
        <v>15750</v>
      </c>
      <c r="H14" s="32" t="n">
        <v>15750</v>
      </c>
      <c r="I14" s="32" t="n">
        <v>15750</v>
      </c>
      <c r="J14" s="32" t="n">
        <v>15750</v>
      </c>
      <c r="K14" s="32" t="n">
        <v>15750</v>
      </c>
      <c r="L14" s="32" t="n">
        <v>15750</v>
      </c>
      <c r="M14" s="32" t="n">
        <v>15750</v>
      </c>
      <c r="N14" s="32" t="n">
        <v>15750</v>
      </c>
      <c r="O14" s="32" t="n">
        <v>15750</v>
      </c>
      <c r="P14" s="32" t="n">
        <v>15750</v>
      </c>
      <c r="Q14" s="32" t="n">
        <v>15750</v>
      </c>
      <c r="R14" s="32" t="n">
        <v>15750</v>
      </c>
      <c r="S14" s="32" t="n">
        <v>15750</v>
      </c>
      <c r="T14" s="32" t="n">
        <v>15750</v>
      </c>
      <c r="U14" s="32" t="n">
        <v>0</v>
      </c>
      <c r="V14" s="32" t="n">
        <v>0</v>
      </c>
      <c r="W14" s="32" t="n">
        <v>15750</v>
      </c>
      <c r="X14" s="13" t="n">
        <f aca="false">IFERROR(AVERAGEIF(D14:H14,"&lt;&gt;0"),"")</f>
        <v>15750</v>
      </c>
      <c r="Y14" s="13" t="n">
        <f aca="false">IFERROR(AVERAGEIF(I14:M14,"&lt;&gt;0"),"")</f>
        <v>15750</v>
      </c>
      <c r="Z14" s="13" t="n">
        <f aca="false">IFERROR(AVERAGEIF(N14:R14,"&lt;&gt;0"),"")</f>
        <v>15750</v>
      </c>
      <c r="AA14" s="13" t="n">
        <f aca="false">IFERROR(AVERAGEIF(S14:W14,"&lt;&gt;0"),"")</f>
        <v>15750</v>
      </c>
      <c r="AB14" s="13" t="n">
        <f aca="false">IFERROR(AVERAGEIF(D14:W14,"&lt;&gt;0"),"")</f>
        <v>15750</v>
      </c>
    </row>
    <row r="15" customFormat="false" ht="15" hidden="false" customHeight="false" outlineLevel="0" collapsed="false">
      <c r="A15" s="3" t="n">
        <v>11</v>
      </c>
      <c r="B15" s="3" t="s">
        <v>414</v>
      </c>
      <c r="C15" s="3" t="s">
        <v>471</v>
      </c>
      <c r="D15" s="32" t="n">
        <v>18000</v>
      </c>
      <c r="E15" s="32" t="n">
        <v>18000</v>
      </c>
      <c r="F15" s="32" t="n">
        <v>18000</v>
      </c>
      <c r="G15" s="32" t="n">
        <v>18000</v>
      </c>
      <c r="H15" s="32" t="n">
        <v>18000</v>
      </c>
      <c r="I15" s="32" t="n">
        <v>18000</v>
      </c>
      <c r="J15" s="32" t="n">
        <v>18000</v>
      </c>
      <c r="K15" s="32" t="n">
        <v>18000</v>
      </c>
      <c r="L15" s="32" t="n">
        <v>18000</v>
      </c>
      <c r="M15" s="32" t="n">
        <v>18000</v>
      </c>
      <c r="N15" s="32" t="n">
        <v>18000</v>
      </c>
      <c r="O15" s="32" t="n">
        <v>18000</v>
      </c>
      <c r="P15" s="32" t="n">
        <v>18000</v>
      </c>
      <c r="Q15" s="32" t="n">
        <v>18000</v>
      </c>
      <c r="R15" s="32" t="n">
        <v>18000</v>
      </c>
      <c r="S15" s="32" t="n">
        <v>18000</v>
      </c>
      <c r="T15" s="32" t="n">
        <v>18000</v>
      </c>
      <c r="U15" s="32" t="n">
        <v>0</v>
      </c>
      <c r="V15" s="32" t="n">
        <v>0</v>
      </c>
      <c r="W15" s="32" t="n">
        <v>18000</v>
      </c>
      <c r="X15" s="13" t="n">
        <f aca="false">IFERROR(AVERAGEIF(D15:H15,"&lt;&gt;0"),"")</f>
        <v>18000</v>
      </c>
      <c r="Y15" s="13" t="n">
        <f aca="false">IFERROR(AVERAGEIF(I15:M15,"&lt;&gt;0"),"")</f>
        <v>18000</v>
      </c>
      <c r="Z15" s="13" t="n">
        <f aca="false">IFERROR(AVERAGEIF(N15:R15,"&lt;&gt;0"),"")</f>
        <v>18000</v>
      </c>
      <c r="AA15" s="13" t="n">
        <f aca="false">IFERROR(AVERAGEIF(S15:W15,"&lt;&gt;0"),"")</f>
        <v>18000</v>
      </c>
      <c r="AB15" s="13" t="n">
        <f aca="false">IFERROR(AVERAGEIF(D15:W15,"&lt;&gt;0"),"")</f>
        <v>18000</v>
      </c>
    </row>
    <row r="16" customFormat="false" ht="15" hidden="false" customHeight="false" outlineLevel="0" collapsed="false">
      <c r="A16" s="3" t="n">
        <v>12</v>
      </c>
      <c r="B16" s="3" t="s">
        <v>415</v>
      </c>
      <c r="C16" s="3" t="s">
        <v>471</v>
      </c>
      <c r="D16" s="32" t="n">
        <v>15500</v>
      </c>
      <c r="E16" s="32" t="n">
        <v>15500</v>
      </c>
      <c r="F16" s="32" t="n">
        <v>15500</v>
      </c>
      <c r="G16" s="32" t="n">
        <v>15500</v>
      </c>
      <c r="H16" s="32" t="n">
        <v>15500</v>
      </c>
      <c r="I16" s="32" t="n">
        <v>15500</v>
      </c>
      <c r="J16" s="32" t="n">
        <v>15000</v>
      </c>
      <c r="K16" s="32" t="n">
        <v>15000</v>
      </c>
      <c r="L16" s="32" t="n">
        <v>15000</v>
      </c>
      <c r="M16" s="32" t="n">
        <v>15000</v>
      </c>
      <c r="N16" s="32" t="n">
        <v>15000</v>
      </c>
      <c r="O16" s="32" t="n">
        <v>15000</v>
      </c>
      <c r="P16" s="32" t="n">
        <v>15000</v>
      </c>
      <c r="Q16" s="32" t="n">
        <v>15000</v>
      </c>
      <c r="R16" s="32" t="n">
        <v>15000</v>
      </c>
      <c r="S16" s="32" t="n">
        <v>15000</v>
      </c>
      <c r="T16" s="32" t="n">
        <v>15000</v>
      </c>
      <c r="U16" s="32" t="n">
        <v>0</v>
      </c>
      <c r="V16" s="32" t="n">
        <v>0</v>
      </c>
      <c r="W16" s="32" t="n">
        <v>15000</v>
      </c>
      <c r="X16" s="13" t="n">
        <f aca="false">IFERROR(AVERAGEIF(D16:H16,"&lt;&gt;0"),"")</f>
        <v>15500</v>
      </c>
      <c r="Y16" s="13" t="n">
        <f aca="false">IFERROR(AVERAGEIF(I16:M16,"&lt;&gt;0"),"")</f>
        <v>15100</v>
      </c>
      <c r="Z16" s="13" t="n">
        <f aca="false">IFERROR(AVERAGEIF(N16:R16,"&lt;&gt;0"),"")</f>
        <v>15000</v>
      </c>
      <c r="AA16" s="13" t="n">
        <f aca="false">IFERROR(AVERAGEIF(S16:W16,"&lt;&gt;0"),"")</f>
        <v>15000</v>
      </c>
      <c r="AB16" s="13" t="n">
        <f aca="false">IFERROR(AVERAGEIF(D16:W16,"&lt;&gt;0"),"")</f>
        <v>15166.6666666667</v>
      </c>
    </row>
    <row r="17" customFormat="false" ht="15" hidden="false" customHeight="false" outlineLevel="0" collapsed="false">
      <c r="A17" s="3" t="n">
        <v>13</v>
      </c>
      <c r="B17" s="3" t="s">
        <v>410</v>
      </c>
      <c r="C17" s="3" t="s">
        <v>471</v>
      </c>
      <c r="D17" s="32" t="n">
        <v>9500</v>
      </c>
      <c r="E17" s="32" t="n">
        <v>9500</v>
      </c>
      <c r="F17" s="32" t="n">
        <v>9500</v>
      </c>
      <c r="G17" s="32" t="n">
        <v>9500</v>
      </c>
      <c r="H17" s="32" t="n">
        <v>9500</v>
      </c>
      <c r="I17" s="32" t="n">
        <v>9500</v>
      </c>
      <c r="J17" s="32" t="n">
        <v>9500</v>
      </c>
      <c r="K17" s="32" t="n">
        <v>9500</v>
      </c>
      <c r="L17" s="32" t="n">
        <v>9500</v>
      </c>
      <c r="M17" s="32" t="n">
        <v>9500</v>
      </c>
      <c r="N17" s="32" t="n">
        <v>9500</v>
      </c>
      <c r="O17" s="32" t="n">
        <v>9500</v>
      </c>
      <c r="P17" s="32" t="n">
        <v>9500</v>
      </c>
      <c r="Q17" s="32" t="n">
        <v>9500</v>
      </c>
      <c r="R17" s="32" t="n">
        <v>9500</v>
      </c>
      <c r="S17" s="32" t="n">
        <v>9500</v>
      </c>
      <c r="T17" s="32" t="n">
        <v>9500</v>
      </c>
      <c r="U17" s="32" t="n">
        <v>0</v>
      </c>
      <c r="V17" s="32" t="n">
        <v>0</v>
      </c>
      <c r="W17" s="32" t="n">
        <v>9500</v>
      </c>
      <c r="X17" s="13" t="n">
        <f aca="false">IFERROR(AVERAGEIF(D17:H17,"&lt;&gt;0"),"")</f>
        <v>9500</v>
      </c>
      <c r="Y17" s="13" t="n">
        <f aca="false">IFERROR(AVERAGEIF(I17:M17,"&lt;&gt;0"),"")</f>
        <v>9500</v>
      </c>
      <c r="Z17" s="13" t="n">
        <f aca="false">IFERROR(AVERAGEIF(N17:R17,"&lt;&gt;0"),"")</f>
        <v>9500</v>
      </c>
      <c r="AA17" s="13" t="n">
        <f aca="false">IFERROR(AVERAGEIF(S17:W17,"&lt;&gt;0"),"")</f>
        <v>9500</v>
      </c>
      <c r="AB17" s="13" t="n">
        <f aca="false">IFERROR(AVERAGEIF(D17:W17,"&lt;&gt;0"),"")</f>
        <v>9500</v>
      </c>
    </row>
    <row r="18" customFormat="false" ht="15" hidden="false" customHeight="false" outlineLevel="0" collapsed="false">
      <c r="A18" s="3" t="n">
        <v>14</v>
      </c>
      <c r="B18" s="3" t="s">
        <v>412</v>
      </c>
      <c r="C18" s="3" t="s">
        <v>471</v>
      </c>
      <c r="D18" s="32" t="n">
        <v>32000</v>
      </c>
      <c r="E18" s="32" t="n">
        <v>32000</v>
      </c>
      <c r="F18" s="32" t="n">
        <v>32000</v>
      </c>
      <c r="G18" s="32" t="n">
        <v>32000</v>
      </c>
      <c r="H18" s="32" t="n">
        <v>32000</v>
      </c>
      <c r="I18" s="32" t="n">
        <v>32000</v>
      </c>
      <c r="J18" s="32" t="n">
        <v>32000</v>
      </c>
      <c r="K18" s="32" t="n">
        <v>32000</v>
      </c>
      <c r="L18" s="32" t="n">
        <v>32000</v>
      </c>
      <c r="M18" s="32" t="n">
        <v>32000</v>
      </c>
      <c r="N18" s="32" t="n">
        <v>32000</v>
      </c>
      <c r="O18" s="32" t="n">
        <v>31000</v>
      </c>
      <c r="P18" s="32" t="n">
        <v>31000</v>
      </c>
      <c r="Q18" s="32" t="n">
        <v>31000</v>
      </c>
      <c r="R18" s="32" t="n">
        <v>31000</v>
      </c>
      <c r="S18" s="32" t="n">
        <v>33000</v>
      </c>
      <c r="T18" s="32" t="n">
        <v>33000</v>
      </c>
      <c r="U18" s="32" t="n">
        <v>0</v>
      </c>
      <c r="V18" s="32" t="n">
        <v>0</v>
      </c>
      <c r="W18" s="32" t="n">
        <v>33000</v>
      </c>
      <c r="X18" s="13" t="n">
        <f aca="false">IFERROR(AVERAGEIF(D18:H18,"&lt;&gt;0"),"")</f>
        <v>32000</v>
      </c>
      <c r="Y18" s="13" t="n">
        <f aca="false">IFERROR(AVERAGEIF(I18:M18,"&lt;&gt;0"),"")</f>
        <v>32000</v>
      </c>
      <c r="Z18" s="13" t="n">
        <f aca="false">IFERROR(AVERAGEIF(N18:R18,"&lt;&gt;0"),"")</f>
        <v>31200</v>
      </c>
      <c r="AA18" s="13" t="n">
        <f aca="false">IFERROR(AVERAGEIF(S18:W18,"&lt;&gt;0"),"")</f>
        <v>33000</v>
      </c>
      <c r="AB18" s="13" t="n">
        <f aca="false">IFERROR(AVERAGEIF(D18:W18,"&lt;&gt;0"),"")</f>
        <v>31944.4444444444</v>
      </c>
    </row>
    <row r="19" customFormat="false" ht="15" hidden="false" customHeight="false" outlineLevel="0" collapsed="false">
      <c r="A19" s="3" t="n">
        <v>15</v>
      </c>
      <c r="B19" s="3" t="s">
        <v>419</v>
      </c>
      <c r="C19" s="3" t="s">
        <v>471</v>
      </c>
      <c r="D19" s="32" t="n">
        <v>24000</v>
      </c>
      <c r="E19" s="32" t="n">
        <v>24000</v>
      </c>
      <c r="F19" s="32" t="n">
        <v>24000</v>
      </c>
      <c r="G19" s="32" t="n">
        <v>24000</v>
      </c>
      <c r="H19" s="32" t="n">
        <v>24000</v>
      </c>
      <c r="I19" s="32" t="n">
        <v>24000</v>
      </c>
      <c r="J19" s="32" t="n">
        <v>24000</v>
      </c>
      <c r="K19" s="32" t="n">
        <v>28500</v>
      </c>
      <c r="L19" s="32" t="n">
        <v>28500</v>
      </c>
      <c r="M19" s="32" t="n">
        <v>28500</v>
      </c>
      <c r="N19" s="32" t="n">
        <v>28500</v>
      </c>
      <c r="O19" s="32" t="n">
        <v>28500</v>
      </c>
      <c r="P19" s="32" t="n">
        <v>28500</v>
      </c>
      <c r="Q19" s="32" t="n">
        <v>28500</v>
      </c>
      <c r="R19" s="32" t="n">
        <v>28500</v>
      </c>
      <c r="S19" s="32" t="n">
        <v>28500</v>
      </c>
      <c r="T19" s="32" t="n">
        <v>28500</v>
      </c>
      <c r="U19" s="32" t="n">
        <v>0</v>
      </c>
      <c r="V19" s="32" t="n">
        <v>0</v>
      </c>
      <c r="W19" s="32" t="n">
        <v>28500</v>
      </c>
      <c r="X19" s="13" t="n">
        <f aca="false">IFERROR(AVERAGEIF(D19:H19,"&lt;&gt;0"),"")</f>
        <v>24000</v>
      </c>
      <c r="Y19" s="13" t="n">
        <f aca="false">IFERROR(AVERAGEIF(I19:M19,"&lt;&gt;0"),"")</f>
        <v>26700</v>
      </c>
      <c r="Z19" s="13" t="n">
        <f aca="false">IFERROR(AVERAGEIF(N19:R19,"&lt;&gt;0"),"")</f>
        <v>28500</v>
      </c>
      <c r="AA19" s="13" t="n">
        <f aca="false">IFERROR(AVERAGEIF(S19:W19,"&lt;&gt;0"),"")</f>
        <v>28500</v>
      </c>
      <c r="AB19" s="13" t="n">
        <f aca="false">IFERROR(AVERAGEIF(D19:W19,"&lt;&gt;0"),"")</f>
        <v>26750</v>
      </c>
    </row>
    <row r="20" customFormat="false" ht="15" hidden="false" customHeight="false" outlineLevel="0" collapsed="false">
      <c r="A20" s="3" t="n">
        <v>16</v>
      </c>
      <c r="B20" s="3" t="s">
        <v>430</v>
      </c>
      <c r="C20" s="3" t="s">
        <v>471</v>
      </c>
      <c r="D20" s="32" t="n">
        <v>103000</v>
      </c>
      <c r="E20" s="32" t="n">
        <v>103000</v>
      </c>
      <c r="F20" s="32" t="n">
        <v>103000</v>
      </c>
      <c r="G20" s="32" t="n">
        <v>103000</v>
      </c>
      <c r="H20" s="32" t="n">
        <v>103000</v>
      </c>
      <c r="I20" s="32" t="n">
        <v>103000</v>
      </c>
      <c r="J20" s="32" t="n">
        <v>103000</v>
      </c>
      <c r="K20" s="32" t="n">
        <v>103000</v>
      </c>
      <c r="L20" s="32" t="n">
        <v>103000</v>
      </c>
      <c r="M20" s="32" t="n">
        <v>103000</v>
      </c>
      <c r="N20" s="32" t="n">
        <v>103000</v>
      </c>
      <c r="O20" s="32" t="n">
        <v>103000</v>
      </c>
      <c r="P20" s="32" t="n">
        <v>103000</v>
      </c>
      <c r="Q20" s="32" t="n">
        <v>103000</v>
      </c>
      <c r="R20" s="32" t="n">
        <v>103000</v>
      </c>
      <c r="S20" s="32" t="n">
        <v>103000</v>
      </c>
      <c r="T20" s="32" t="n">
        <v>103000</v>
      </c>
      <c r="U20" s="32" t="n">
        <v>0</v>
      </c>
      <c r="V20" s="32" t="n">
        <v>0</v>
      </c>
      <c r="W20" s="32" t="n">
        <v>103000</v>
      </c>
      <c r="X20" s="13" t="n">
        <f aca="false">IFERROR(AVERAGEIF(D20:H20,"&lt;&gt;0"),"")</f>
        <v>103000</v>
      </c>
      <c r="Y20" s="13" t="n">
        <f aca="false">IFERROR(AVERAGEIF(I20:M20,"&lt;&gt;0"),"")</f>
        <v>103000</v>
      </c>
      <c r="Z20" s="13" t="n">
        <f aca="false">IFERROR(AVERAGEIF(N20:R20,"&lt;&gt;0"),"")</f>
        <v>103000</v>
      </c>
      <c r="AA20" s="13" t="n">
        <f aca="false">IFERROR(AVERAGEIF(S20:W20,"&lt;&gt;0"),"")</f>
        <v>103000</v>
      </c>
      <c r="AB20" s="13" t="n">
        <f aca="false">IFERROR(AVERAGEIF(D20:W20,"&lt;&gt;0"),"")</f>
        <v>103000</v>
      </c>
    </row>
    <row r="21" customFormat="false" ht="15" hidden="false" customHeight="false" outlineLevel="0" collapsed="false">
      <c r="A21" s="3" t="n">
        <v>17</v>
      </c>
      <c r="B21" s="3" t="s">
        <v>431</v>
      </c>
      <c r="C21" s="3" t="s">
        <v>471</v>
      </c>
      <c r="D21" s="32" t="n">
        <v>70000</v>
      </c>
      <c r="E21" s="32" t="n">
        <v>70000</v>
      </c>
      <c r="F21" s="32" t="n">
        <v>70000</v>
      </c>
      <c r="G21" s="32" t="n">
        <v>70000</v>
      </c>
      <c r="H21" s="32" t="n">
        <v>70000</v>
      </c>
      <c r="I21" s="32" t="n">
        <v>70000</v>
      </c>
      <c r="J21" s="32" t="n">
        <v>70000</v>
      </c>
      <c r="K21" s="32" t="n">
        <v>70000</v>
      </c>
      <c r="L21" s="32" t="n">
        <v>70000</v>
      </c>
      <c r="M21" s="32" t="n">
        <v>70000</v>
      </c>
      <c r="N21" s="32" t="n">
        <v>70000</v>
      </c>
      <c r="O21" s="32" t="n">
        <v>70000</v>
      </c>
      <c r="P21" s="32" t="n">
        <v>70000</v>
      </c>
      <c r="Q21" s="32" t="n">
        <v>70000</v>
      </c>
      <c r="R21" s="32" t="n">
        <v>70000</v>
      </c>
      <c r="S21" s="32" t="n">
        <v>70000</v>
      </c>
      <c r="T21" s="32" t="n">
        <v>70000</v>
      </c>
      <c r="U21" s="32" t="n">
        <v>0</v>
      </c>
      <c r="V21" s="32" t="n">
        <v>0</v>
      </c>
      <c r="W21" s="32" t="n">
        <v>70000</v>
      </c>
      <c r="X21" s="13" t="n">
        <f aca="false">IFERROR(AVERAGEIF(D21:H21,"&lt;&gt;0"),"")</f>
        <v>70000</v>
      </c>
      <c r="Y21" s="13" t="n">
        <f aca="false">IFERROR(AVERAGEIF(I21:M21,"&lt;&gt;0"),"")</f>
        <v>70000</v>
      </c>
      <c r="Z21" s="13" t="n">
        <f aca="false">IFERROR(AVERAGEIF(N21:R21,"&lt;&gt;0"),"")</f>
        <v>70000</v>
      </c>
      <c r="AA21" s="13" t="n">
        <f aca="false">IFERROR(AVERAGEIF(S21:W21,"&lt;&gt;0"),"")</f>
        <v>70000</v>
      </c>
      <c r="AB21" s="13" t="n">
        <f aca="false">IFERROR(AVERAGEIF(D21:W21,"&lt;&gt;0"),"")</f>
        <v>70000</v>
      </c>
    </row>
    <row r="22" customFormat="false" ht="15" hidden="false" customHeight="false" outlineLevel="0" collapsed="false">
      <c r="A22" s="3" t="n">
        <v>18</v>
      </c>
      <c r="B22" s="3" t="s">
        <v>432</v>
      </c>
      <c r="C22" s="3" t="s">
        <v>471</v>
      </c>
      <c r="D22" s="32" t="n">
        <v>80000</v>
      </c>
      <c r="E22" s="32" t="n">
        <v>80000</v>
      </c>
      <c r="F22" s="32" t="n">
        <v>80000</v>
      </c>
      <c r="G22" s="32" t="n">
        <v>80000</v>
      </c>
      <c r="H22" s="32" t="n">
        <v>80000</v>
      </c>
      <c r="I22" s="32" t="n">
        <v>80000</v>
      </c>
      <c r="J22" s="32" t="n">
        <v>80000</v>
      </c>
      <c r="K22" s="32" t="n">
        <v>80000</v>
      </c>
      <c r="L22" s="32" t="n">
        <v>80000</v>
      </c>
      <c r="M22" s="32" t="n">
        <v>80000</v>
      </c>
      <c r="N22" s="32" t="n">
        <v>80000</v>
      </c>
      <c r="O22" s="32" t="n">
        <v>80000</v>
      </c>
      <c r="P22" s="32" t="n">
        <v>80000</v>
      </c>
      <c r="Q22" s="32" t="n">
        <v>80000</v>
      </c>
      <c r="R22" s="32" t="n">
        <v>80000</v>
      </c>
      <c r="S22" s="32" t="n">
        <v>80000</v>
      </c>
      <c r="T22" s="32" t="n">
        <v>80000</v>
      </c>
      <c r="U22" s="32" t="n">
        <v>0</v>
      </c>
      <c r="V22" s="32" t="n">
        <v>0</v>
      </c>
      <c r="W22" s="32" t="n">
        <v>80000</v>
      </c>
      <c r="X22" s="13" t="n">
        <f aca="false">IFERROR(AVERAGEIF(D22:H22,"&lt;&gt;0"),"")</f>
        <v>80000</v>
      </c>
      <c r="Y22" s="13" t="n">
        <f aca="false">IFERROR(AVERAGEIF(I22:M22,"&lt;&gt;0"),"")</f>
        <v>80000</v>
      </c>
      <c r="Z22" s="13" t="n">
        <f aca="false">IFERROR(AVERAGEIF(N22:R22,"&lt;&gt;0"),"")</f>
        <v>80000</v>
      </c>
      <c r="AA22" s="13" t="n">
        <f aca="false">IFERROR(AVERAGEIF(S22:W22,"&lt;&gt;0"),"")</f>
        <v>80000</v>
      </c>
      <c r="AB22" s="13" t="n">
        <f aca="false">IFERROR(AVERAGEIF(D22:W22,"&lt;&gt;0"),"")</f>
        <v>80000</v>
      </c>
    </row>
    <row r="23" customFormat="false" ht="15" hidden="false" customHeight="false" outlineLevel="0" collapsed="false">
      <c r="A23" s="3" t="n">
        <v>19</v>
      </c>
      <c r="B23" s="3" t="s">
        <v>473</v>
      </c>
      <c r="C23" s="3" t="s">
        <v>471</v>
      </c>
      <c r="D23" s="32" t="n">
        <v>32000</v>
      </c>
      <c r="E23" s="32" t="n">
        <v>32000</v>
      </c>
      <c r="F23" s="32" t="n">
        <v>32000</v>
      </c>
      <c r="G23" s="32" t="n">
        <v>32000</v>
      </c>
      <c r="H23" s="32" t="n">
        <v>32000</v>
      </c>
      <c r="I23" s="32" t="n">
        <v>32000</v>
      </c>
      <c r="J23" s="32" t="n">
        <v>32000</v>
      </c>
      <c r="K23" s="32" t="n">
        <v>32000</v>
      </c>
      <c r="L23" s="32" t="n">
        <v>32000</v>
      </c>
      <c r="M23" s="32" t="n">
        <v>32000</v>
      </c>
      <c r="N23" s="32" t="n">
        <v>32000</v>
      </c>
      <c r="O23" s="32" t="n">
        <v>32000</v>
      </c>
      <c r="P23" s="32" t="n">
        <v>32000</v>
      </c>
      <c r="Q23" s="32" t="n">
        <v>32000</v>
      </c>
      <c r="R23" s="32" t="n">
        <v>32000</v>
      </c>
      <c r="S23" s="32" t="n">
        <v>32000</v>
      </c>
      <c r="T23" s="32" t="n">
        <v>32000</v>
      </c>
      <c r="U23" s="32" t="n">
        <v>0</v>
      </c>
      <c r="V23" s="32" t="n">
        <v>0</v>
      </c>
      <c r="W23" s="32" t="n">
        <v>32000</v>
      </c>
      <c r="X23" s="13" t="n">
        <f aca="false">IFERROR(AVERAGEIF(D23:H23,"&lt;&gt;0"),"")</f>
        <v>32000</v>
      </c>
      <c r="Y23" s="13" t="n">
        <f aca="false">IFERROR(AVERAGEIF(I23:M23,"&lt;&gt;0"),"")</f>
        <v>32000</v>
      </c>
      <c r="Z23" s="13" t="n">
        <f aca="false">IFERROR(AVERAGEIF(N23:R23,"&lt;&gt;0"),"")</f>
        <v>32000</v>
      </c>
      <c r="AA23" s="13" t="n">
        <f aca="false">IFERROR(AVERAGEIF(S23:W23,"&lt;&gt;0"),"")</f>
        <v>32000</v>
      </c>
      <c r="AB23" s="13" t="n">
        <f aca="false">IFERROR(AVERAGEIF(D23:W23,"&lt;&gt;0"),"")</f>
        <v>32000</v>
      </c>
    </row>
    <row r="24" customFormat="false" ht="15" hidden="false" customHeight="false" outlineLevel="0" collapsed="false">
      <c r="A24" s="3" t="n">
        <v>20</v>
      </c>
      <c r="B24" s="3" t="s">
        <v>421</v>
      </c>
      <c r="C24" s="3" t="s">
        <v>471</v>
      </c>
      <c r="D24" s="32" t="n">
        <v>35000</v>
      </c>
      <c r="E24" s="32" t="n">
        <v>35000</v>
      </c>
      <c r="F24" s="32" t="n">
        <v>35000</v>
      </c>
      <c r="G24" s="32" t="n">
        <v>35000</v>
      </c>
      <c r="H24" s="32" t="n">
        <v>35000</v>
      </c>
      <c r="I24" s="32" t="n">
        <v>35000</v>
      </c>
      <c r="J24" s="32" t="n">
        <v>35000</v>
      </c>
      <c r="K24" s="32" t="n">
        <v>35000</v>
      </c>
      <c r="L24" s="32" t="n">
        <v>35000</v>
      </c>
      <c r="M24" s="32" t="n">
        <v>35000</v>
      </c>
      <c r="N24" s="32" t="n">
        <v>35000</v>
      </c>
      <c r="O24" s="32" t="n">
        <v>35000</v>
      </c>
      <c r="P24" s="32" t="n">
        <v>35000</v>
      </c>
      <c r="Q24" s="32" t="n">
        <v>35000</v>
      </c>
      <c r="R24" s="32" t="n">
        <v>35000</v>
      </c>
      <c r="S24" s="32" t="n">
        <v>35000</v>
      </c>
      <c r="T24" s="32" t="n">
        <v>35000</v>
      </c>
      <c r="U24" s="32" t="n">
        <v>0</v>
      </c>
      <c r="V24" s="32" t="n">
        <v>0</v>
      </c>
      <c r="W24" s="32" t="n">
        <v>35000</v>
      </c>
      <c r="X24" s="13" t="n">
        <f aca="false">IFERROR(AVERAGEIF(D24:H24,"&lt;&gt;0"),"")</f>
        <v>35000</v>
      </c>
      <c r="Y24" s="13" t="n">
        <f aca="false">IFERROR(AVERAGEIF(I24:M24,"&lt;&gt;0"),"")</f>
        <v>35000</v>
      </c>
      <c r="Z24" s="13" t="n">
        <f aca="false">IFERROR(AVERAGEIF(N24:R24,"&lt;&gt;0"),"")</f>
        <v>35000</v>
      </c>
      <c r="AA24" s="13" t="n">
        <f aca="false">IFERROR(AVERAGEIF(S24:W24,"&lt;&gt;0"),"")</f>
        <v>35000</v>
      </c>
      <c r="AB24" s="13" t="n">
        <f aca="false">IFERROR(AVERAGEIF(D24:W24,"&lt;&gt;0"),"")</f>
        <v>35000</v>
      </c>
    </row>
    <row r="25" customFormat="false" ht="15" hidden="false" customHeight="false" outlineLevel="0" collapsed="false">
      <c r="A25" s="3" t="n">
        <v>21</v>
      </c>
      <c r="B25" s="3" t="s">
        <v>474</v>
      </c>
      <c r="C25" s="3" t="s">
        <v>471</v>
      </c>
      <c r="D25" s="32" t="n">
        <v>75000</v>
      </c>
      <c r="E25" s="32" t="n">
        <v>75000</v>
      </c>
      <c r="F25" s="32" t="n">
        <v>75000</v>
      </c>
      <c r="G25" s="32" t="n">
        <v>75000</v>
      </c>
      <c r="H25" s="32" t="n">
        <v>75000</v>
      </c>
      <c r="I25" s="32" t="n">
        <v>75000</v>
      </c>
      <c r="J25" s="32" t="n">
        <v>75000</v>
      </c>
      <c r="K25" s="32" t="n">
        <v>75000</v>
      </c>
      <c r="L25" s="32" t="n">
        <v>75000</v>
      </c>
      <c r="M25" s="32" t="n">
        <v>75000</v>
      </c>
      <c r="N25" s="32" t="n">
        <v>75000</v>
      </c>
      <c r="O25" s="32" t="n">
        <v>75000</v>
      </c>
      <c r="P25" s="32" t="n">
        <v>75000</v>
      </c>
      <c r="Q25" s="32" t="n">
        <v>75000</v>
      </c>
      <c r="R25" s="32" t="n">
        <v>75000</v>
      </c>
      <c r="S25" s="32" t="n">
        <v>75000</v>
      </c>
      <c r="T25" s="32" t="n">
        <v>75000</v>
      </c>
      <c r="U25" s="32" t="n">
        <v>0</v>
      </c>
      <c r="V25" s="32" t="n">
        <v>0</v>
      </c>
      <c r="W25" s="32" t="n">
        <v>75000</v>
      </c>
      <c r="X25" s="13" t="n">
        <f aca="false">IFERROR(AVERAGEIF(D25:H25,"&lt;&gt;0"),"")</f>
        <v>75000</v>
      </c>
      <c r="Y25" s="13" t="n">
        <f aca="false">IFERROR(AVERAGEIF(I25:M25,"&lt;&gt;0"),"")</f>
        <v>75000</v>
      </c>
      <c r="Z25" s="13" t="n">
        <f aca="false">IFERROR(AVERAGEIF(N25:R25,"&lt;&gt;0"),"")</f>
        <v>75000</v>
      </c>
      <c r="AA25" s="13" t="n">
        <f aca="false">IFERROR(AVERAGEIF(S25:W25,"&lt;&gt;0"),"")</f>
        <v>75000</v>
      </c>
      <c r="AB25" s="13" t="n">
        <f aca="false">IFERROR(AVERAGEIF(D25:W25,"&lt;&gt;0"),"")</f>
        <v>75000</v>
      </c>
    </row>
    <row r="26" customFormat="false" ht="15" hidden="false" customHeight="false" outlineLevel="0" collapsed="false">
      <c r="A26" s="3" t="n">
        <v>22</v>
      </c>
      <c r="B26" s="3" t="s">
        <v>426</v>
      </c>
      <c r="C26" s="3" t="s">
        <v>471</v>
      </c>
      <c r="D26" s="32" t="n">
        <v>2800</v>
      </c>
      <c r="E26" s="32" t="n">
        <v>2800</v>
      </c>
      <c r="F26" s="32" t="n">
        <v>2800</v>
      </c>
      <c r="G26" s="32" t="n">
        <v>2800</v>
      </c>
      <c r="H26" s="32" t="n">
        <v>2800</v>
      </c>
      <c r="I26" s="32" t="n">
        <v>2800</v>
      </c>
      <c r="J26" s="32" t="n">
        <v>2800</v>
      </c>
      <c r="K26" s="32" t="n">
        <v>2800</v>
      </c>
      <c r="L26" s="32" t="n">
        <v>2800</v>
      </c>
      <c r="M26" s="32" t="n">
        <v>2800</v>
      </c>
      <c r="N26" s="32" t="n">
        <v>2800</v>
      </c>
      <c r="O26" s="32" t="n">
        <v>2800</v>
      </c>
      <c r="P26" s="32" t="n">
        <v>2800</v>
      </c>
      <c r="Q26" s="32" t="n">
        <v>2800</v>
      </c>
      <c r="R26" s="32" t="n">
        <v>2800</v>
      </c>
      <c r="S26" s="32" t="n">
        <v>2800</v>
      </c>
      <c r="T26" s="32" t="n">
        <v>2800</v>
      </c>
      <c r="U26" s="32" t="n">
        <v>0</v>
      </c>
      <c r="V26" s="32" t="n">
        <v>0</v>
      </c>
      <c r="W26" s="32" t="n">
        <v>2800</v>
      </c>
      <c r="X26" s="13" t="n">
        <f aca="false">IFERROR(AVERAGEIF(D26:H26,"&lt;&gt;0"),"")</f>
        <v>2800</v>
      </c>
      <c r="Y26" s="13" t="n">
        <f aca="false">IFERROR(AVERAGEIF(I26:M26,"&lt;&gt;0"),"")</f>
        <v>2800</v>
      </c>
      <c r="Z26" s="13" t="n">
        <f aca="false">IFERROR(AVERAGEIF(N26:R26,"&lt;&gt;0"),"")</f>
        <v>2800</v>
      </c>
      <c r="AA26" s="13" t="n">
        <f aca="false">IFERROR(AVERAGEIF(S26:W26,"&lt;&gt;0"),"")</f>
        <v>2800</v>
      </c>
      <c r="AB26" s="13" t="n">
        <f aca="false">IFERROR(AVERAGEIF(D26:W26,"&lt;&gt;0"),"")</f>
        <v>2800</v>
      </c>
    </row>
    <row r="27" customFormat="false" ht="15" hidden="false" customHeight="false" outlineLevel="0" collapsed="false">
      <c r="A27" s="3" t="n">
        <v>23</v>
      </c>
      <c r="B27" s="3" t="s">
        <v>424</v>
      </c>
      <c r="C27" s="3" t="s">
        <v>471</v>
      </c>
      <c r="D27" s="32" t="n">
        <v>35000</v>
      </c>
      <c r="E27" s="32" t="n">
        <v>35000</v>
      </c>
      <c r="F27" s="32" t="n">
        <v>35000</v>
      </c>
      <c r="G27" s="32" t="n">
        <v>36000</v>
      </c>
      <c r="H27" s="32" t="n">
        <v>36000</v>
      </c>
      <c r="I27" s="32" t="n">
        <v>36000</v>
      </c>
      <c r="J27" s="32" t="n">
        <v>36000</v>
      </c>
      <c r="K27" s="32" t="n">
        <v>36000</v>
      </c>
      <c r="L27" s="32" t="n">
        <v>36000</v>
      </c>
      <c r="M27" s="32" t="n">
        <v>36000</v>
      </c>
      <c r="N27" s="32" t="n">
        <v>36000</v>
      </c>
      <c r="O27" s="32" t="n">
        <v>35000</v>
      </c>
      <c r="P27" s="32" t="n">
        <v>35000</v>
      </c>
      <c r="Q27" s="32" t="n">
        <v>35000</v>
      </c>
      <c r="R27" s="32" t="n">
        <v>35000</v>
      </c>
      <c r="S27" s="32" t="n">
        <v>35000</v>
      </c>
      <c r="T27" s="32" t="n">
        <v>35000</v>
      </c>
      <c r="U27" s="32" t="n">
        <v>0</v>
      </c>
      <c r="V27" s="32" t="n">
        <v>0</v>
      </c>
      <c r="W27" s="32" t="n">
        <v>35000</v>
      </c>
      <c r="X27" s="13" t="n">
        <f aca="false">IFERROR(AVERAGEIF(D27:H27,"&lt;&gt;0"),"")</f>
        <v>35400</v>
      </c>
      <c r="Y27" s="13" t="n">
        <f aca="false">IFERROR(AVERAGEIF(I27:M27,"&lt;&gt;0"),"")</f>
        <v>36000</v>
      </c>
      <c r="Z27" s="13" t="n">
        <f aca="false">IFERROR(AVERAGEIF(N27:R27,"&lt;&gt;0"),"")</f>
        <v>35200</v>
      </c>
      <c r="AA27" s="13" t="n">
        <f aca="false">IFERROR(AVERAGEIF(S27:W27,"&lt;&gt;0"),"")</f>
        <v>35000</v>
      </c>
      <c r="AB27" s="13" t="n">
        <f aca="false">IFERROR(AVERAGEIF(D27:W27,"&lt;&gt;0"),"")</f>
        <v>35444.4444444444</v>
      </c>
    </row>
    <row r="28" customFormat="false" ht="15" hidden="false" customHeight="false" outlineLevel="0" collapsed="false">
      <c r="A28" s="3" t="n">
        <v>24</v>
      </c>
      <c r="B28" s="3" t="s">
        <v>425</v>
      </c>
      <c r="C28" s="3" t="s">
        <v>471</v>
      </c>
      <c r="D28" s="32" t="n">
        <v>40000</v>
      </c>
      <c r="E28" s="32" t="n">
        <v>40000</v>
      </c>
      <c r="F28" s="32" t="n">
        <v>40000</v>
      </c>
      <c r="G28" s="32" t="n">
        <v>36000</v>
      </c>
      <c r="H28" s="32" t="n">
        <v>37000</v>
      </c>
      <c r="I28" s="32" t="n">
        <v>38000</v>
      </c>
      <c r="J28" s="32" t="n">
        <v>38000</v>
      </c>
      <c r="K28" s="32" t="n">
        <v>38000</v>
      </c>
      <c r="L28" s="32" t="n">
        <v>38000</v>
      </c>
      <c r="M28" s="32" t="n">
        <v>38000</v>
      </c>
      <c r="N28" s="32" t="n">
        <v>38000</v>
      </c>
      <c r="O28" s="32" t="n">
        <v>38000</v>
      </c>
      <c r="P28" s="32" t="n">
        <v>38000</v>
      </c>
      <c r="Q28" s="32" t="n">
        <v>38000</v>
      </c>
      <c r="R28" s="32" t="n">
        <v>38000</v>
      </c>
      <c r="S28" s="32" t="n">
        <v>38000</v>
      </c>
      <c r="T28" s="32" t="n">
        <v>38000</v>
      </c>
      <c r="U28" s="32" t="n">
        <v>0</v>
      </c>
      <c r="V28" s="32" t="n">
        <v>0</v>
      </c>
      <c r="W28" s="32" t="n">
        <v>38000</v>
      </c>
      <c r="X28" s="13" t="n">
        <f aca="false">IFERROR(AVERAGEIF(D28:H28,"&lt;&gt;0"),"")</f>
        <v>38600</v>
      </c>
      <c r="Y28" s="13" t="n">
        <f aca="false">IFERROR(AVERAGEIF(I28:M28,"&lt;&gt;0"),"")</f>
        <v>38000</v>
      </c>
      <c r="Z28" s="13" t="n">
        <f aca="false">IFERROR(AVERAGEIF(N28:R28,"&lt;&gt;0"),"")</f>
        <v>38000</v>
      </c>
      <c r="AA28" s="13" t="n">
        <f aca="false">IFERROR(AVERAGEIF(S28:W28,"&lt;&gt;0"),"")</f>
        <v>38000</v>
      </c>
      <c r="AB28" s="13" t="n">
        <f aca="false">IFERROR(AVERAGEIF(D28:W28,"&lt;&gt;0"),"")</f>
        <v>38166.6666666667</v>
      </c>
    </row>
    <row r="29" customFormat="false" ht="15" hidden="false" customHeight="false" outlineLevel="0" collapsed="false">
      <c r="A29" s="3" t="n">
        <v>25</v>
      </c>
      <c r="B29" s="3" t="s">
        <v>475</v>
      </c>
      <c r="C29" s="3" t="s">
        <v>471</v>
      </c>
      <c r="D29" s="32" t="n">
        <v>27000</v>
      </c>
      <c r="E29" s="32" t="n">
        <v>27000</v>
      </c>
      <c r="F29" s="32" t="n">
        <v>27000</v>
      </c>
      <c r="G29" s="32" t="n">
        <v>27000</v>
      </c>
      <c r="H29" s="32" t="n">
        <v>27000</v>
      </c>
      <c r="I29" s="32" t="n">
        <v>27000</v>
      </c>
      <c r="J29" s="32" t="n">
        <v>27000</v>
      </c>
      <c r="K29" s="32" t="n">
        <v>27000</v>
      </c>
      <c r="L29" s="32" t="n">
        <v>27000</v>
      </c>
      <c r="M29" s="32" t="n">
        <v>27000</v>
      </c>
      <c r="N29" s="32" t="n">
        <v>27000</v>
      </c>
      <c r="O29" s="32" t="n">
        <v>27000</v>
      </c>
      <c r="P29" s="32" t="n">
        <v>27000</v>
      </c>
      <c r="Q29" s="32" t="n">
        <v>27000</v>
      </c>
      <c r="R29" s="32" t="n">
        <v>27000</v>
      </c>
      <c r="S29" s="32" t="n">
        <v>27000</v>
      </c>
      <c r="T29" s="32" t="n">
        <v>27000</v>
      </c>
      <c r="U29" s="32" t="n">
        <v>0</v>
      </c>
      <c r="V29" s="32" t="n">
        <v>0</v>
      </c>
      <c r="W29" s="32" t="n">
        <v>27000</v>
      </c>
      <c r="X29" s="13" t="n">
        <f aca="false">IFERROR(AVERAGEIF(D29:H29,"&lt;&gt;0"),"")</f>
        <v>27000</v>
      </c>
      <c r="Y29" s="13" t="n">
        <f aca="false">IFERROR(AVERAGEIF(I29:M29,"&lt;&gt;0"),"")</f>
        <v>27000</v>
      </c>
      <c r="Z29" s="13" t="n">
        <f aca="false">IFERROR(AVERAGEIF(N29:R29,"&lt;&gt;0"),"")</f>
        <v>27000</v>
      </c>
      <c r="AA29" s="13" t="n">
        <f aca="false">IFERROR(AVERAGEIF(S29:W29,"&lt;&gt;0"),"")</f>
        <v>27000</v>
      </c>
      <c r="AB29" s="13" t="n">
        <f aca="false">IFERROR(AVERAGEIF(D29:W29,"&lt;&gt;0"),"")</f>
        <v>27000</v>
      </c>
    </row>
    <row r="30" customFormat="false" ht="15" hidden="false" customHeight="false" outlineLevel="0" collapsed="false">
      <c r="A30" s="3" t="n">
        <v>26</v>
      </c>
      <c r="B30" s="3" t="s">
        <v>476</v>
      </c>
      <c r="C30" s="3" t="s">
        <v>471</v>
      </c>
      <c r="D30" s="32" t="n">
        <v>8000</v>
      </c>
      <c r="E30" s="32" t="n">
        <v>8000</v>
      </c>
      <c r="F30" s="32" t="n">
        <v>8000</v>
      </c>
      <c r="G30" s="32" t="n">
        <v>8000</v>
      </c>
      <c r="H30" s="32" t="n">
        <v>8000</v>
      </c>
      <c r="I30" s="32" t="n">
        <v>8000</v>
      </c>
      <c r="J30" s="32" t="n">
        <v>8000</v>
      </c>
      <c r="K30" s="32" t="n">
        <v>8000</v>
      </c>
      <c r="L30" s="32" t="n">
        <v>8000</v>
      </c>
      <c r="M30" s="32" t="n">
        <v>8000</v>
      </c>
      <c r="N30" s="32" t="n">
        <v>8000</v>
      </c>
      <c r="O30" s="32" t="n">
        <v>8000</v>
      </c>
      <c r="P30" s="32" t="n">
        <v>8000</v>
      </c>
      <c r="Q30" s="32" t="n">
        <v>8000</v>
      </c>
      <c r="R30" s="32" t="n">
        <v>8000</v>
      </c>
      <c r="S30" s="32" t="n">
        <v>8000</v>
      </c>
      <c r="T30" s="32" t="n">
        <v>8000</v>
      </c>
      <c r="U30" s="32" t="n">
        <v>0</v>
      </c>
      <c r="V30" s="32" t="n">
        <v>0</v>
      </c>
      <c r="W30" s="32" t="n">
        <v>8000</v>
      </c>
      <c r="X30" s="13" t="n">
        <f aca="false">IFERROR(AVERAGEIF(D30:H30,"&lt;&gt;0"),"")</f>
        <v>8000</v>
      </c>
      <c r="Y30" s="13" t="n">
        <f aca="false">IFERROR(AVERAGEIF(I30:M30,"&lt;&gt;0"),"")</f>
        <v>8000</v>
      </c>
      <c r="Z30" s="13" t="n">
        <f aca="false">IFERROR(AVERAGEIF(N30:R30,"&lt;&gt;0"),"")</f>
        <v>8000</v>
      </c>
      <c r="AA30" s="13" t="n">
        <f aca="false">IFERROR(AVERAGEIF(S30:W30,"&lt;&gt;0"),"")</f>
        <v>8000</v>
      </c>
      <c r="AB30" s="13" t="n">
        <f aca="false">IFERROR(AVERAGEIF(D30:W30,"&lt;&gt;0"),"")</f>
        <v>8000</v>
      </c>
    </row>
    <row r="31" customFormat="false" ht="15" hidden="false" customHeight="false" outlineLevel="0" collapsed="false">
      <c r="A31" s="3" t="n">
        <v>27</v>
      </c>
      <c r="B31" s="3" t="s">
        <v>427</v>
      </c>
      <c r="C31" s="3" t="s">
        <v>471</v>
      </c>
      <c r="D31" s="32" t="n">
        <v>10500</v>
      </c>
      <c r="E31" s="32" t="n">
        <v>10500</v>
      </c>
      <c r="F31" s="32" t="n">
        <v>10500</v>
      </c>
      <c r="G31" s="32" t="n">
        <v>10500</v>
      </c>
      <c r="H31" s="32" t="n">
        <v>10500</v>
      </c>
      <c r="I31" s="32" t="n">
        <v>10500</v>
      </c>
      <c r="J31" s="32" t="n">
        <v>10500</v>
      </c>
      <c r="K31" s="32" t="n">
        <v>10500</v>
      </c>
      <c r="L31" s="32" t="n">
        <v>10500</v>
      </c>
      <c r="M31" s="32" t="n">
        <v>10500</v>
      </c>
      <c r="N31" s="32" t="n">
        <v>10500</v>
      </c>
      <c r="O31" s="32" t="n">
        <v>10500</v>
      </c>
      <c r="P31" s="32" t="n">
        <v>10500</v>
      </c>
      <c r="Q31" s="32" t="n">
        <v>10500</v>
      </c>
      <c r="R31" s="32" t="n">
        <v>10500</v>
      </c>
      <c r="S31" s="32" t="n">
        <v>10500</v>
      </c>
      <c r="T31" s="32" t="n">
        <v>10500</v>
      </c>
      <c r="U31" s="32" t="n">
        <v>0</v>
      </c>
      <c r="V31" s="32" t="n">
        <v>0</v>
      </c>
      <c r="W31" s="32" t="n">
        <v>10500</v>
      </c>
      <c r="X31" s="13" t="n">
        <f aca="false">IFERROR(AVERAGEIF(D31:H31,"&lt;&gt;0"),"")</f>
        <v>10500</v>
      </c>
      <c r="Y31" s="13" t="n">
        <f aca="false">IFERROR(AVERAGEIF(I31:M31,"&lt;&gt;0"),"")</f>
        <v>10500</v>
      </c>
      <c r="Z31" s="13" t="n">
        <f aca="false">IFERROR(AVERAGEIF(N31:R31,"&lt;&gt;0"),"")</f>
        <v>10500</v>
      </c>
      <c r="AA31" s="13" t="n">
        <f aca="false">IFERROR(AVERAGEIF(S31:W31,"&lt;&gt;0"),"")</f>
        <v>10500</v>
      </c>
      <c r="AB31" s="13" t="n">
        <f aca="false">IFERROR(AVERAGEIF(D31:W31,"&lt;&gt;0"),"")</f>
        <v>10500</v>
      </c>
    </row>
    <row r="32" customFormat="false" ht="15" hidden="false" customHeight="false" outlineLevel="0" collapsed="false">
      <c r="A32" s="3" t="n">
        <v>28</v>
      </c>
      <c r="B32" s="3" t="s">
        <v>422</v>
      </c>
      <c r="C32" s="3" t="s">
        <v>471</v>
      </c>
      <c r="D32" s="32" t="n">
        <v>42000</v>
      </c>
      <c r="E32" s="32" t="n">
        <v>42000</v>
      </c>
      <c r="F32" s="32" t="n">
        <v>42000</v>
      </c>
      <c r="G32" s="32" t="n">
        <v>42000</v>
      </c>
      <c r="H32" s="32" t="n">
        <v>42000</v>
      </c>
      <c r="I32" s="32" t="n">
        <v>42000</v>
      </c>
      <c r="J32" s="32" t="n">
        <v>42000</v>
      </c>
      <c r="K32" s="32" t="n">
        <v>42000</v>
      </c>
      <c r="L32" s="32" t="n">
        <v>42000</v>
      </c>
      <c r="M32" s="32" t="n">
        <v>42000</v>
      </c>
      <c r="N32" s="32" t="n">
        <v>42000</v>
      </c>
      <c r="O32" s="32" t="n">
        <v>42000</v>
      </c>
      <c r="P32" s="32" t="n">
        <v>42000</v>
      </c>
      <c r="Q32" s="32" t="n">
        <v>42000</v>
      </c>
      <c r="R32" s="32" t="n">
        <v>42000</v>
      </c>
      <c r="S32" s="32" t="n">
        <v>42000</v>
      </c>
      <c r="T32" s="32" t="n">
        <v>42000</v>
      </c>
      <c r="U32" s="32" t="n">
        <v>0</v>
      </c>
      <c r="V32" s="32" t="n">
        <v>0</v>
      </c>
      <c r="W32" s="32" t="n">
        <v>42000</v>
      </c>
      <c r="X32" s="13" t="n">
        <f aca="false">IFERROR(AVERAGEIF(D32:H32,"&lt;&gt;0"),"")</f>
        <v>42000</v>
      </c>
      <c r="Y32" s="13" t="n">
        <f aca="false">IFERROR(AVERAGEIF(I32:M32,"&lt;&gt;0"),"")</f>
        <v>42000</v>
      </c>
      <c r="Z32" s="13" t="n">
        <f aca="false">IFERROR(AVERAGEIF(N32:R32,"&lt;&gt;0"),"")</f>
        <v>42000</v>
      </c>
      <c r="AA32" s="13" t="n">
        <f aca="false">IFERROR(AVERAGEIF(S32:W32,"&lt;&gt;0"),"")</f>
        <v>42000</v>
      </c>
      <c r="AB32" s="13" t="n">
        <f aca="false">IFERROR(AVERAGEIF(D32:W32,"&lt;&gt;0"),"")</f>
        <v>42000</v>
      </c>
    </row>
    <row r="33" customFormat="false" ht="15" hidden="false" customHeight="false" outlineLevel="0" collapsed="false">
      <c r="A33" s="3" t="n">
        <v>29</v>
      </c>
      <c r="B33" s="3" t="s">
        <v>433</v>
      </c>
      <c r="C33" s="3" t="s">
        <v>471</v>
      </c>
      <c r="D33" s="32" t="n">
        <v>9000</v>
      </c>
      <c r="E33" s="32" t="n">
        <v>9000</v>
      </c>
      <c r="F33" s="32" t="n">
        <v>9000</v>
      </c>
      <c r="G33" s="32" t="n">
        <v>9000</v>
      </c>
      <c r="H33" s="32" t="n">
        <v>9000</v>
      </c>
      <c r="I33" s="32" t="n">
        <v>9000</v>
      </c>
      <c r="J33" s="32" t="n">
        <v>9000</v>
      </c>
      <c r="K33" s="32" t="n">
        <v>9000</v>
      </c>
      <c r="L33" s="32" t="n">
        <v>9000</v>
      </c>
      <c r="M33" s="32" t="n">
        <v>9000</v>
      </c>
      <c r="N33" s="32" t="n">
        <v>9000</v>
      </c>
      <c r="O33" s="32" t="n">
        <v>9000</v>
      </c>
      <c r="P33" s="32" t="n">
        <v>9000</v>
      </c>
      <c r="Q33" s="32" t="n">
        <v>9000</v>
      </c>
      <c r="R33" s="32" t="n">
        <v>9000</v>
      </c>
      <c r="S33" s="32" t="n">
        <v>9000</v>
      </c>
      <c r="T33" s="32" t="n">
        <v>9000</v>
      </c>
      <c r="U33" s="32" t="n">
        <v>0</v>
      </c>
      <c r="V33" s="32" t="n">
        <v>0</v>
      </c>
      <c r="W33" s="32" t="n">
        <v>9000</v>
      </c>
      <c r="X33" s="13" t="n">
        <f aca="false">IFERROR(AVERAGEIF(D33:H33,"&lt;&gt;0"),"")</f>
        <v>9000</v>
      </c>
      <c r="Y33" s="13" t="n">
        <f aca="false">IFERROR(AVERAGEIF(I33:M33,"&lt;&gt;0"),"")</f>
        <v>9000</v>
      </c>
      <c r="Z33" s="13" t="n">
        <f aca="false">IFERROR(AVERAGEIF(N33:R33,"&lt;&gt;0"),"")</f>
        <v>9000</v>
      </c>
      <c r="AA33" s="13" t="n">
        <f aca="false">IFERROR(AVERAGEIF(S33:W33,"&lt;&gt;0"),"")</f>
        <v>9000</v>
      </c>
      <c r="AB33" s="13" t="n">
        <f aca="false">IFERROR(AVERAGEIF(D33:W33,"&lt;&gt;0"),"")</f>
        <v>9000</v>
      </c>
    </row>
    <row r="34" customFormat="false" ht="15" hidden="false" customHeight="false" outlineLevel="0" collapsed="false">
      <c r="A34" s="3" t="n">
        <v>30</v>
      </c>
      <c r="B34" s="3" t="s">
        <v>411</v>
      </c>
      <c r="C34" s="3" t="s">
        <v>471</v>
      </c>
      <c r="D34" s="32" t="n">
        <v>4750</v>
      </c>
      <c r="E34" s="32" t="n">
        <v>4750</v>
      </c>
      <c r="F34" s="32" t="n">
        <v>4750</v>
      </c>
      <c r="G34" s="32" t="n">
        <v>4750</v>
      </c>
      <c r="H34" s="32" t="n">
        <v>4750</v>
      </c>
      <c r="I34" s="32" t="n">
        <v>4750</v>
      </c>
      <c r="J34" s="32" t="n">
        <v>4750</v>
      </c>
      <c r="K34" s="32" t="n">
        <v>4750</v>
      </c>
      <c r="L34" s="32" t="n">
        <v>4750</v>
      </c>
      <c r="M34" s="32" t="n">
        <v>4750</v>
      </c>
      <c r="N34" s="32" t="n">
        <v>4750</v>
      </c>
      <c r="O34" s="32" t="n">
        <v>4750</v>
      </c>
      <c r="P34" s="32" t="n">
        <v>4750</v>
      </c>
      <c r="Q34" s="32" t="n">
        <v>4750</v>
      </c>
      <c r="R34" s="32" t="n">
        <v>4750</v>
      </c>
      <c r="S34" s="32" t="n">
        <v>4750</v>
      </c>
      <c r="T34" s="32" t="n">
        <v>4750</v>
      </c>
      <c r="U34" s="32" t="n">
        <v>0</v>
      </c>
      <c r="V34" s="32" t="n">
        <v>0</v>
      </c>
      <c r="W34" s="32" t="n">
        <v>4750</v>
      </c>
      <c r="X34" s="13" t="n">
        <f aca="false">IFERROR(AVERAGEIF(D34:H34,"&lt;&gt;0"),"")</f>
        <v>4750</v>
      </c>
      <c r="Y34" s="13" t="n">
        <f aca="false">IFERROR(AVERAGEIF(I34:M34,"&lt;&gt;0"),"")</f>
        <v>4750</v>
      </c>
      <c r="Z34" s="13" t="n">
        <f aca="false">IFERROR(AVERAGEIF(N34:R34,"&lt;&gt;0"),"")</f>
        <v>4750</v>
      </c>
      <c r="AA34" s="13" t="n">
        <f aca="false">IFERROR(AVERAGEIF(S34:W34,"&lt;&gt;0"),"")</f>
        <v>4750</v>
      </c>
      <c r="AB34" s="13" t="n">
        <f aca="false">IFERROR(AVERAGEIF(D34:W34,"&lt;&gt;0"),"")</f>
        <v>4750</v>
      </c>
    </row>
    <row r="35" customFormat="false" ht="15" hidden="false" customHeight="false" outlineLevel="0" collapsed="false">
      <c r="A35" s="3" t="n">
        <v>31</v>
      </c>
      <c r="B35" s="3" t="s">
        <v>416</v>
      </c>
      <c r="C35" s="3" t="s">
        <v>471</v>
      </c>
      <c r="D35" s="32" t="n">
        <v>68000</v>
      </c>
      <c r="E35" s="32" t="n">
        <v>68000</v>
      </c>
      <c r="F35" s="32" t="n">
        <v>68000</v>
      </c>
      <c r="G35" s="32" t="n">
        <v>68000</v>
      </c>
      <c r="H35" s="32" t="n">
        <v>68000</v>
      </c>
      <c r="I35" s="32" t="n">
        <v>68000</v>
      </c>
      <c r="J35" s="32" t="n">
        <v>68000</v>
      </c>
      <c r="K35" s="32" t="n">
        <v>68000</v>
      </c>
      <c r="L35" s="32" t="n">
        <v>68000</v>
      </c>
      <c r="M35" s="32" t="n">
        <v>68000</v>
      </c>
      <c r="N35" s="32" t="n">
        <v>68000</v>
      </c>
      <c r="O35" s="32" t="n">
        <v>68000</v>
      </c>
      <c r="P35" s="32" t="n">
        <v>68000</v>
      </c>
      <c r="Q35" s="32" t="n">
        <v>68000</v>
      </c>
      <c r="R35" s="32" t="n">
        <v>68000</v>
      </c>
      <c r="S35" s="32" t="n">
        <v>68000</v>
      </c>
      <c r="T35" s="32" t="n">
        <v>68000</v>
      </c>
      <c r="U35" s="32" t="n">
        <v>0</v>
      </c>
      <c r="V35" s="32" t="n">
        <v>0</v>
      </c>
      <c r="W35" s="32" t="n">
        <v>68000</v>
      </c>
      <c r="X35" s="13" t="n">
        <f aca="false">IFERROR(AVERAGEIF(D35:H35,"&lt;&gt;0"),"")</f>
        <v>68000</v>
      </c>
      <c r="Y35" s="13" t="n">
        <f aca="false">IFERROR(AVERAGEIF(I35:M35,"&lt;&gt;0"),"")</f>
        <v>68000</v>
      </c>
      <c r="Z35" s="13" t="n">
        <f aca="false">IFERROR(AVERAGEIF(N35:R35,"&lt;&gt;0"),"")</f>
        <v>68000</v>
      </c>
      <c r="AA35" s="13" t="n">
        <f aca="false">IFERROR(AVERAGEIF(S35:W35,"&lt;&gt;0"),"")</f>
        <v>68000</v>
      </c>
      <c r="AB35" s="13" t="n">
        <f aca="false">IFERROR(AVERAGEIF(D35:W35,"&lt;&gt;0"),"")</f>
        <v>68000</v>
      </c>
    </row>
    <row r="36" customFormat="false" ht="15" hidden="false" customHeight="false" outlineLevel="0" collapsed="false">
      <c r="A36" s="3" t="n">
        <v>32</v>
      </c>
      <c r="B36" s="3" t="s">
        <v>417</v>
      </c>
      <c r="C36" s="3" t="s">
        <v>471</v>
      </c>
      <c r="D36" s="32" t="n">
        <v>13000</v>
      </c>
      <c r="E36" s="32" t="n">
        <v>13000</v>
      </c>
      <c r="F36" s="32" t="n">
        <v>13000</v>
      </c>
      <c r="G36" s="32" t="n">
        <v>13000</v>
      </c>
      <c r="H36" s="32" t="n">
        <v>13000</v>
      </c>
      <c r="I36" s="32" t="n">
        <v>13000</v>
      </c>
      <c r="J36" s="32" t="n">
        <v>13000</v>
      </c>
      <c r="K36" s="32" t="n">
        <v>13000</v>
      </c>
      <c r="L36" s="32" t="n">
        <v>13000</v>
      </c>
      <c r="M36" s="32" t="n">
        <v>13000</v>
      </c>
      <c r="N36" s="32" t="n">
        <v>13000</v>
      </c>
      <c r="O36" s="32" t="n">
        <v>13000</v>
      </c>
      <c r="P36" s="32" t="n">
        <v>13000</v>
      </c>
      <c r="Q36" s="32" t="n">
        <v>13000</v>
      </c>
      <c r="R36" s="32" t="n">
        <v>13000</v>
      </c>
      <c r="S36" s="32" t="n">
        <v>13000</v>
      </c>
      <c r="T36" s="32" t="n">
        <v>13000</v>
      </c>
      <c r="U36" s="32" t="n">
        <v>0</v>
      </c>
      <c r="V36" s="32" t="n">
        <v>0</v>
      </c>
      <c r="W36" s="32" t="n">
        <v>13000</v>
      </c>
      <c r="X36" s="13" t="n">
        <f aca="false">IFERROR(AVERAGEIF(D36:H36,"&lt;&gt;0"),"")</f>
        <v>13000</v>
      </c>
      <c r="Y36" s="13" t="n">
        <f aca="false">IFERROR(AVERAGEIF(I36:M36,"&lt;&gt;0"),"")</f>
        <v>13000</v>
      </c>
      <c r="Z36" s="13" t="n">
        <f aca="false">IFERROR(AVERAGEIF(N36:R36,"&lt;&gt;0"),"")</f>
        <v>13000</v>
      </c>
      <c r="AA36" s="13" t="n">
        <f aca="false">IFERROR(AVERAGEIF(S36:W36,"&lt;&gt;0"),"")</f>
        <v>13000</v>
      </c>
      <c r="AB36" s="13" t="n">
        <f aca="false">IFERROR(AVERAGEIF(D36:W36,"&lt;&gt;0"),"")</f>
        <v>13000</v>
      </c>
    </row>
    <row r="37" customFormat="false" ht="15" hidden="false" customHeight="false" outlineLevel="0" collapsed="false">
      <c r="A37" s="3" t="n">
        <v>33</v>
      </c>
      <c r="B37" s="3" t="s">
        <v>434</v>
      </c>
      <c r="C37" s="3" t="s">
        <v>471</v>
      </c>
      <c r="D37" s="32" t="n">
        <v>9000</v>
      </c>
      <c r="E37" s="32" t="n">
        <v>9000</v>
      </c>
      <c r="F37" s="32" t="n">
        <v>9000</v>
      </c>
      <c r="G37" s="32" t="n">
        <v>9000</v>
      </c>
      <c r="H37" s="32" t="n">
        <v>9000</v>
      </c>
      <c r="I37" s="32" t="n">
        <v>9000</v>
      </c>
      <c r="J37" s="32" t="n">
        <v>9000</v>
      </c>
      <c r="K37" s="32" t="n">
        <v>9000</v>
      </c>
      <c r="L37" s="32" t="n">
        <v>9000</v>
      </c>
      <c r="M37" s="32" t="n">
        <v>9000</v>
      </c>
      <c r="N37" s="32" t="n">
        <v>9000</v>
      </c>
      <c r="O37" s="32" t="n">
        <v>9000</v>
      </c>
      <c r="P37" s="32" t="n">
        <v>9000</v>
      </c>
      <c r="Q37" s="32" t="n">
        <v>9000</v>
      </c>
      <c r="R37" s="32" t="n">
        <v>9000</v>
      </c>
      <c r="S37" s="32" t="n">
        <v>9000</v>
      </c>
      <c r="T37" s="32" t="n">
        <v>9000</v>
      </c>
      <c r="U37" s="32" t="n">
        <v>0</v>
      </c>
      <c r="V37" s="32" t="n">
        <v>0</v>
      </c>
      <c r="W37" s="32" t="n">
        <v>9000</v>
      </c>
      <c r="X37" s="13" t="n">
        <f aca="false">IFERROR(AVERAGEIF(D37:H37,"&lt;&gt;0"),"")</f>
        <v>9000</v>
      </c>
      <c r="Y37" s="13" t="n">
        <f aca="false">IFERROR(AVERAGEIF(I37:M37,"&lt;&gt;0"),"")</f>
        <v>9000</v>
      </c>
      <c r="Z37" s="13" t="n">
        <f aca="false">IFERROR(AVERAGEIF(N37:R37,"&lt;&gt;0"),"")</f>
        <v>9000</v>
      </c>
      <c r="AA37" s="13" t="n">
        <f aca="false">IFERROR(AVERAGEIF(S37:W37,"&lt;&gt;0"),"")</f>
        <v>9000</v>
      </c>
      <c r="AB37" s="13" t="n">
        <f aca="false">IFERROR(AVERAGEIF(D37:W37,"&lt;&gt;0"),"")</f>
        <v>9000</v>
      </c>
    </row>
    <row r="38" customFormat="false" ht="15" hidden="false" customHeight="false" outlineLevel="0" collapsed="false">
      <c r="A38" s="3" t="n">
        <v>34</v>
      </c>
      <c r="B38" s="3" t="s">
        <v>477</v>
      </c>
      <c r="C38" s="3" t="s">
        <v>471</v>
      </c>
      <c r="D38" s="32" t="n">
        <v>6000</v>
      </c>
      <c r="E38" s="32" t="n">
        <v>6000</v>
      </c>
      <c r="F38" s="32" t="n">
        <v>6000</v>
      </c>
      <c r="G38" s="32" t="n">
        <v>6000</v>
      </c>
      <c r="H38" s="32" t="n">
        <v>6000</v>
      </c>
      <c r="I38" s="32" t="n">
        <v>6000</v>
      </c>
      <c r="J38" s="32" t="n">
        <v>6000</v>
      </c>
      <c r="K38" s="32" t="n">
        <v>6000</v>
      </c>
      <c r="L38" s="32" t="n">
        <v>6000</v>
      </c>
      <c r="M38" s="32" t="n">
        <v>6000</v>
      </c>
      <c r="N38" s="32" t="n">
        <v>6000</v>
      </c>
      <c r="O38" s="32" t="n">
        <v>6000</v>
      </c>
      <c r="P38" s="32" t="n">
        <v>6000</v>
      </c>
      <c r="Q38" s="32" t="n">
        <v>6000</v>
      </c>
      <c r="R38" s="32" t="n">
        <v>6000</v>
      </c>
      <c r="S38" s="32" t="n">
        <v>6000</v>
      </c>
      <c r="T38" s="32" t="n">
        <v>6000</v>
      </c>
      <c r="U38" s="32" t="n">
        <v>0</v>
      </c>
      <c r="V38" s="32" t="n">
        <v>0</v>
      </c>
      <c r="W38" s="32" t="n">
        <v>6000</v>
      </c>
      <c r="X38" s="13" t="n">
        <f aca="false">IFERROR(AVERAGEIF(D38:H38,"&lt;&gt;0"),"")</f>
        <v>6000</v>
      </c>
      <c r="Y38" s="13" t="n">
        <f aca="false">IFERROR(AVERAGEIF(I38:M38,"&lt;&gt;0"),"")</f>
        <v>6000</v>
      </c>
      <c r="Z38" s="13" t="n">
        <f aca="false">IFERROR(AVERAGEIF(N38:R38,"&lt;&gt;0"),"")</f>
        <v>6000</v>
      </c>
      <c r="AA38" s="13" t="n">
        <f aca="false">IFERROR(AVERAGEIF(S38:W38,"&lt;&gt;0"),"")</f>
        <v>6000</v>
      </c>
      <c r="AB38" s="13" t="n">
        <f aca="false">IFERROR(AVERAGEIF(D38:W38,"&lt;&gt;0"),"")</f>
        <v>6000</v>
      </c>
    </row>
    <row r="39" customFormat="false" ht="15" hidden="false" customHeight="false" outlineLevel="0" collapsed="false">
      <c r="A39" s="3" t="n">
        <v>35</v>
      </c>
      <c r="B39" s="3" t="s">
        <v>478</v>
      </c>
      <c r="C39" s="3" t="s">
        <v>471</v>
      </c>
      <c r="D39" s="32" t="n">
        <v>16000</v>
      </c>
      <c r="E39" s="32" t="n">
        <v>16000</v>
      </c>
      <c r="F39" s="32" t="n">
        <v>16000</v>
      </c>
      <c r="G39" s="32" t="n">
        <v>16000</v>
      </c>
      <c r="H39" s="32" t="n">
        <v>16000</v>
      </c>
      <c r="I39" s="32" t="n">
        <v>16000</v>
      </c>
      <c r="J39" s="32" t="n">
        <v>16000</v>
      </c>
      <c r="K39" s="32" t="n">
        <v>16000</v>
      </c>
      <c r="L39" s="32" t="n">
        <v>16000</v>
      </c>
      <c r="M39" s="32" t="n">
        <v>16000</v>
      </c>
      <c r="N39" s="32" t="n">
        <v>16000</v>
      </c>
      <c r="O39" s="32" t="n">
        <v>16000</v>
      </c>
      <c r="P39" s="32" t="n">
        <v>16000</v>
      </c>
      <c r="Q39" s="32" t="n">
        <v>16000</v>
      </c>
      <c r="R39" s="32" t="n">
        <v>16000</v>
      </c>
      <c r="S39" s="32" t="n">
        <v>16000</v>
      </c>
      <c r="T39" s="32" t="n">
        <v>16000</v>
      </c>
      <c r="U39" s="32" t="n">
        <v>0</v>
      </c>
      <c r="V39" s="32" t="n">
        <v>0</v>
      </c>
      <c r="W39" s="32" t="n">
        <v>16000</v>
      </c>
      <c r="X39" s="13" t="n">
        <f aca="false">IFERROR(AVERAGEIF(D39:H39,"&lt;&gt;0"),"")</f>
        <v>16000</v>
      </c>
      <c r="Y39" s="13" t="n">
        <f aca="false">IFERROR(AVERAGEIF(I39:M39,"&lt;&gt;0"),"")</f>
        <v>16000</v>
      </c>
      <c r="Z39" s="13" t="n">
        <f aca="false">IFERROR(AVERAGEIF(N39:R39,"&lt;&gt;0"),"")</f>
        <v>16000</v>
      </c>
      <c r="AA39" s="13" t="n">
        <f aca="false">IFERROR(AVERAGEIF(S39:W39,"&lt;&gt;0"),"")</f>
        <v>16000</v>
      </c>
      <c r="AB39" s="13" t="n">
        <f aca="false">IFERROR(AVERAGEIF(D39:W39,"&lt;&gt;0"),"")</f>
        <v>16000</v>
      </c>
    </row>
    <row r="40" customFormat="false" ht="15" hidden="false" customHeight="false" outlineLevel="0" collapsed="false">
      <c r="A40" s="3" t="n">
        <v>36</v>
      </c>
      <c r="B40" s="3" t="s">
        <v>479</v>
      </c>
      <c r="C40" s="3" t="s">
        <v>471</v>
      </c>
      <c r="D40" s="32" t="n">
        <v>4000</v>
      </c>
      <c r="E40" s="32" t="n">
        <v>4000</v>
      </c>
      <c r="F40" s="32" t="n">
        <v>4000</v>
      </c>
      <c r="G40" s="32" t="n">
        <v>4000</v>
      </c>
      <c r="H40" s="32" t="n">
        <v>4000</v>
      </c>
      <c r="I40" s="32" t="n">
        <v>4000</v>
      </c>
      <c r="J40" s="32" t="n">
        <v>4000</v>
      </c>
      <c r="K40" s="32" t="n">
        <v>4000</v>
      </c>
      <c r="L40" s="32" t="n">
        <v>4000</v>
      </c>
      <c r="M40" s="32" t="n">
        <v>4000</v>
      </c>
      <c r="N40" s="32" t="n">
        <v>4000</v>
      </c>
      <c r="O40" s="32" t="n">
        <v>4000</v>
      </c>
      <c r="P40" s="32" t="n">
        <v>4000</v>
      </c>
      <c r="Q40" s="32" t="n">
        <v>4000</v>
      </c>
      <c r="R40" s="32" t="n">
        <v>4000</v>
      </c>
      <c r="S40" s="32" t="n">
        <v>4000</v>
      </c>
      <c r="T40" s="32" t="n">
        <v>4000</v>
      </c>
      <c r="U40" s="32" t="n">
        <v>0</v>
      </c>
      <c r="V40" s="32" t="n">
        <v>0</v>
      </c>
      <c r="W40" s="32" t="n">
        <v>4000</v>
      </c>
      <c r="X40" s="13" t="n">
        <f aca="false">IFERROR(AVERAGEIF(D40:H40,"&lt;&gt;0"),"")</f>
        <v>4000</v>
      </c>
      <c r="Y40" s="13" t="n">
        <f aca="false">IFERROR(AVERAGEIF(I40:M40,"&lt;&gt;0"),"")</f>
        <v>4000</v>
      </c>
      <c r="Z40" s="13" t="n">
        <f aca="false">IFERROR(AVERAGEIF(N40:R40,"&lt;&gt;0"),"")</f>
        <v>4000</v>
      </c>
      <c r="AA40" s="13" t="n">
        <f aca="false">IFERROR(AVERAGEIF(S40:W40,"&lt;&gt;0"),"")</f>
        <v>4000</v>
      </c>
      <c r="AB40" s="13" t="n">
        <f aca="false">IFERROR(AVERAGEIF(D40:W40,"&lt;&gt;0"),"")</f>
        <v>4000</v>
      </c>
    </row>
    <row r="41" customFormat="false" ht="15" hidden="false" customHeight="false" outlineLevel="0" collapsed="false">
      <c r="A41" s="3" t="n">
        <v>37</v>
      </c>
      <c r="B41" s="3" t="s">
        <v>480</v>
      </c>
      <c r="C41" s="3" t="s">
        <v>471</v>
      </c>
      <c r="D41" s="32" t="n">
        <v>2000</v>
      </c>
      <c r="E41" s="32" t="n">
        <v>2000</v>
      </c>
      <c r="F41" s="32" t="n">
        <v>2000</v>
      </c>
      <c r="G41" s="32" t="n">
        <v>2000</v>
      </c>
      <c r="H41" s="32" t="n">
        <v>2000</v>
      </c>
      <c r="I41" s="32" t="n">
        <v>2000</v>
      </c>
      <c r="J41" s="32" t="n">
        <v>2000</v>
      </c>
      <c r="K41" s="32" t="n">
        <v>2000</v>
      </c>
      <c r="L41" s="32" t="n">
        <v>2000</v>
      </c>
      <c r="M41" s="32" t="n">
        <v>2000</v>
      </c>
      <c r="N41" s="32" t="n">
        <v>2000</v>
      </c>
      <c r="O41" s="32" t="n">
        <v>2000</v>
      </c>
      <c r="P41" s="32" t="n">
        <v>2000</v>
      </c>
      <c r="Q41" s="32" t="n">
        <v>2000</v>
      </c>
      <c r="R41" s="32" t="n">
        <v>2000</v>
      </c>
      <c r="S41" s="32" t="n">
        <v>2000</v>
      </c>
      <c r="T41" s="32" t="n">
        <v>2000</v>
      </c>
      <c r="U41" s="32" t="n">
        <v>0</v>
      </c>
      <c r="V41" s="32" t="n">
        <v>0</v>
      </c>
      <c r="W41" s="32" t="n">
        <v>2000</v>
      </c>
      <c r="X41" s="13" t="n">
        <f aca="false">IFERROR(AVERAGEIF(D41:H41,"&lt;&gt;0"),"")</f>
        <v>2000</v>
      </c>
      <c r="Y41" s="13" t="n">
        <f aca="false">IFERROR(AVERAGEIF(I41:M41,"&lt;&gt;0"),"")</f>
        <v>2000</v>
      </c>
      <c r="Z41" s="13" t="n">
        <f aca="false">IFERROR(AVERAGEIF(N41:R41,"&lt;&gt;0"),"")</f>
        <v>2000</v>
      </c>
      <c r="AA41" s="13" t="n">
        <f aca="false">IFERROR(AVERAGEIF(S41:W41,"&lt;&gt;0"),"")</f>
        <v>2000</v>
      </c>
      <c r="AB41" s="13" t="n">
        <f aca="false">IFERROR(AVERAGEIF(D41:W41,"&lt;&gt;0"),"")</f>
        <v>2000</v>
      </c>
    </row>
    <row r="42" customFormat="false" ht="15" hidden="false" customHeight="false" outlineLevel="0" collapsed="false">
      <c r="A42" s="3" t="n">
        <v>38</v>
      </c>
      <c r="B42" s="3" t="s">
        <v>481</v>
      </c>
      <c r="C42" s="3" t="s">
        <v>471</v>
      </c>
      <c r="D42" s="32" t="n">
        <v>5000</v>
      </c>
      <c r="E42" s="32" t="n">
        <v>5000</v>
      </c>
      <c r="F42" s="32" t="n">
        <v>5000</v>
      </c>
      <c r="G42" s="32" t="n">
        <v>5000</v>
      </c>
      <c r="H42" s="32" t="n">
        <v>5000</v>
      </c>
      <c r="I42" s="32" t="n">
        <v>5000</v>
      </c>
      <c r="J42" s="32" t="n">
        <v>5000</v>
      </c>
      <c r="K42" s="32" t="n">
        <v>5000</v>
      </c>
      <c r="L42" s="32" t="n">
        <v>5000</v>
      </c>
      <c r="M42" s="32" t="n">
        <v>5000</v>
      </c>
      <c r="N42" s="32" t="n">
        <v>5000</v>
      </c>
      <c r="O42" s="32" t="n">
        <v>5000</v>
      </c>
      <c r="P42" s="32" t="n">
        <v>5000</v>
      </c>
      <c r="Q42" s="32" t="n">
        <v>5000</v>
      </c>
      <c r="R42" s="32" t="n">
        <v>5000</v>
      </c>
      <c r="S42" s="32" t="n">
        <v>5000</v>
      </c>
      <c r="T42" s="32" t="n">
        <v>5000</v>
      </c>
      <c r="U42" s="32" t="n">
        <v>0</v>
      </c>
      <c r="V42" s="32" t="n">
        <v>0</v>
      </c>
      <c r="W42" s="32" t="n">
        <v>5000</v>
      </c>
      <c r="X42" s="13" t="n">
        <f aca="false">IFERROR(AVERAGEIF(D42:H42,"&lt;&gt;0"),"")</f>
        <v>5000</v>
      </c>
      <c r="Y42" s="13" t="n">
        <f aca="false">IFERROR(AVERAGEIF(I42:M42,"&lt;&gt;0"),"")</f>
        <v>5000</v>
      </c>
      <c r="Z42" s="13" t="n">
        <f aca="false">IFERROR(AVERAGEIF(N42:R42,"&lt;&gt;0"),"")</f>
        <v>5000</v>
      </c>
      <c r="AA42" s="13" t="n">
        <f aca="false">IFERROR(AVERAGEIF(S42:W42,"&lt;&gt;0"),"")</f>
        <v>5000</v>
      </c>
      <c r="AB42" s="13" t="n">
        <f aca="false">IFERROR(AVERAGEIF(D42:W42,"&lt;&gt;0"),"")</f>
        <v>5000</v>
      </c>
    </row>
    <row r="43" customFormat="false" ht="15" hidden="false" customHeight="false" outlineLevel="0" collapsed="false">
      <c r="A43" s="3" t="n">
        <v>39</v>
      </c>
      <c r="B43" s="3" t="s">
        <v>482</v>
      </c>
      <c r="C43" s="3" t="s">
        <v>471</v>
      </c>
      <c r="D43" s="32" t="n">
        <v>7000</v>
      </c>
      <c r="E43" s="32" t="n">
        <v>7000</v>
      </c>
      <c r="F43" s="32" t="n">
        <v>7000</v>
      </c>
      <c r="G43" s="32" t="n">
        <v>7000</v>
      </c>
      <c r="H43" s="32" t="n">
        <v>7000</v>
      </c>
      <c r="I43" s="32" t="n">
        <v>7000</v>
      </c>
      <c r="J43" s="32" t="n">
        <v>7000</v>
      </c>
      <c r="K43" s="32" t="n">
        <v>7000</v>
      </c>
      <c r="L43" s="32" t="n">
        <v>7000</v>
      </c>
      <c r="M43" s="32" t="n">
        <v>7000</v>
      </c>
      <c r="N43" s="32" t="n">
        <v>7000</v>
      </c>
      <c r="O43" s="32" t="n">
        <v>7000</v>
      </c>
      <c r="P43" s="32" t="n">
        <v>7000</v>
      </c>
      <c r="Q43" s="32" t="n">
        <v>7000</v>
      </c>
      <c r="R43" s="32" t="n">
        <v>7000</v>
      </c>
      <c r="S43" s="32" t="n">
        <v>7000</v>
      </c>
      <c r="T43" s="32" t="n">
        <v>7000</v>
      </c>
      <c r="U43" s="32" t="n">
        <v>0</v>
      </c>
      <c r="V43" s="32" t="n">
        <v>0</v>
      </c>
      <c r="W43" s="32" t="n">
        <v>7000</v>
      </c>
      <c r="X43" s="13" t="n">
        <f aca="false">IFERROR(AVERAGEIF(D43:H43,"&lt;&gt;0"),"")</f>
        <v>7000</v>
      </c>
      <c r="Y43" s="13" t="n">
        <f aca="false">IFERROR(AVERAGEIF(I43:M43,"&lt;&gt;0"),"")</f>
        <v>7000</v>
      </c>
      <c r="Z43" s="13" t="n">
        <f aca="false">IFERROR(AVERAGEIF(N43:R43,"&lt;&gt;0"),"")</f>
        <v>7000</v>
      </c>
      <c r="AA43" s="13" t="n">
        <f aca="false">IFERROR(AVERAGEIF(S43:W43,"&lt;&gt;0"),"")</f>
        <v>7000</v>
      </c>
      <c r="AB43" s="13" t="n">
        <f aca="false">IFERROR(AVERAGEIF(D43:W43,"&lt;&gt;0"),"")</f>
        <v>7000</v>
      </c>
    </row>
    <row r="44" customFormat="false" ht="15" hidden="false" customHeight="false" outlineLevel="0" collapsed="false">
      <c r="A44" s="3" t="n">
        <v>40</v>
      </c>
      <c r="B44" s="3" t="s">
        <v>483</v>
      </c>
      <c r="C44" s="3" t="s">
        <v>471</v>
      </c>
      <c r="D44" s="32" t="n">
        <v>5000</v>
      </c>
      <c r="E44" s="32" t="n">
        <v>5000</v>
      </c>
      <c r="F44" s="32" t="n">
        <v>5000</v>
      </c>
      <c r="G44" s="32" t="n">
        <v>5000</v>
      </c>
      <c r="H44" s="32" t="n">
        <v>5000</v>
      </c>
      <c r="I44" s="32" t="n">
        <v>5000</v>
      </c>
      <c r="J44" s="32" t="n">
        <v>5000</v>
      </c>
      <c r="K44" s="32" t="n">
        <v>5000</v>
      </c>
      <c r="L44" s="32" t="n">
        <v>5000</v>
      </c>
      <c r="M44" s="32" t="n">
        <v>5000</v>
      </c>
      <c r="N44" s="32" t="n">
        <v>5000</v>
      </c>
      <c r="O44" s="32" t="n">
        <v>5000</v>
      </c>
      <c r="P44" s="32" t="n">
        <v>5000</v>
      </c>
      <c r="Q44" s="32" t="n">
        <v>5000</v>
      </c>
      <c r="R44" s="32" t="n">
        <v>5000</v>
      </c>
      <c r="S44" s="32" t="n">
        <v>5000</v>
      </c>
      <c r="T44" s="32" t="n">
        <v>5000</v>
      </c>
      <c r="U44" s="32" t="n">
        <v>0</v>
      </c>
      <c r="V44" s="32" t="n">
        <v>0</v>
      </c>
      <c r="W44" s="32" t="n">
        <v>5000</v>
      </c>
      <c r="X44" s="13" t="n">
        <f aca="false">IFERROR(AVERAGEIF(D44:H44,"&lt;&gt;0"),"")</f>
        <v>5000</v>
      </c>
      <c r="Y44" s="13" t="n">
        <f aca="false">IFERROR(AVERAGEIF(I44:M44,"&lt;&gt;0"),"")</f>
        <v>5000</v>
      </c>
      <c r="Z44" s="13" t="n">
        <f aca="false">IFERROR(AVERAGEIF(N44:R44,"&lt;&gt;0"),"")</f>
        <v>5000</v>
      </c>
      <c r="AA44" s="13" t="n">
        <f aca="false">IFERROR(AVERAGEIF(S44:W44,"&lt;&gt;0"),"")</f>
        <v>5000</v>
      </c>
      <c r="AB44" s="13" t="n">
        <f aca="false">IFERROR(AVERAGEIF(D44:W44,"&lt;&gt;0"),"")</f>
        <v>5000</v>
      </c>
    </row>
    <row r="45" customFormat="false" ht="15" hidden="false" customHeight="false" outlineLevel="0" collapsed="false">
      <c r="A45" s="3" t="n">
        <v>41</v>
      </c>
      <c r="B45" s="3" t="s">
        <v>484</v>
      </c>
      <c r="C45" s="3" t="s">
        <v>471</v>
      </c>
      <c r="D45" s="32" t="n">
        <v>78000</v>
      </c>
      <c r="E45" s="32" t="n">
        <v>78000</v>
      </c>
      <c r="F45" s="32" t="n">
        <v>78000</v>
      </c>
      <c r="G45" s="32" t="n">
        <v>78000</v>
      </c>
      <c r="H45" s="32" t="n">
        <v>78000</v>
      </c>
      <c r="I45" s="32" t="n">
        <v>78000</v>
      </c>
      <c r="J45" s="32" t="n">
        <v>78000</v>
      </c>
      <c r="K45" s="32" t="n">
        <v>78000</v>
      </c>
      <c r="L45" s="32" t="n">
        <v>78000</v>
      </c>
      <c r="M45" s="32" t="n">
        <v>78000</v>
      </c>
      <c r="N45" s="32" t="n">
        <v>78000</v>
      </c>
      <c r="O45" s="32" t="n">
        <v>78000</v>
      </c>
      <c r="P45" s="32" t="n">
        <v>78000</v>
      </c>
      <c r="Q45" s="32" t="n">
        <v>78000</v>
      </c>
      <c r="R45" s="32" t="n">
        <v>78000</v>
      </c>
      <c r="S45" s="32" t="n">
        <v>78000</v>
      </c>
      <c r="T45" s="32" t="n">
        <v>78000</v>
      </c>
      <c r="U45" s="32" t="n">
        <v>0</v>
      </c>
      <c r="V45" s="32" t="n">
        <v>0</v>
      </c>
      <c r="W45" s="32" t="n">
        <v>78000</v>
      </c>
      <c r="X45" s="13" t="n">
        <f aca="false">IFERROR(AVERAGEIF(D45:H45,"&lt;&gt;0"),"")</f>
        <v>78000</v>
      </c>
      <c r="Y45" s="13" t="n">
        <f aca="false">IFERROR(AVERAGEIF(I45:M45,"&lt;&gt;0"),"")</f>
        <v>78000</v>
      </c>
      <c r="Z45" s="13" t="n">
        <f aca="false">IFERROR(AVERAGEIF(N45:R45,"&lt;&gt;0"),"")</f>
        <v>78000</v>
      </c>
      <c r="AA45" s="13" t="n">
        <f aca="false">IFERROR(AVERAGEIF(S45:W45,"&lt;&gt;0"),"")</f>
        <v>78000</v>
      </c>
      <c r="AB45" s="13" t="n">
        <f aca="false">IFERROR(AVERAGEIF(D45:W45,"&lt;&gt;0"),"")</f>
        <v>78000</v>
      </c>
    </row>
    <row r="46" customFormat="false" ht="15" hidden="false" customHeight="false" outlineLevel="0" collapsed="false">
      <c r="A46" s="3" t="n">
        <v>42</v>
      </c>
      <c r="B46" s="3" t="s">
        <v>485</v>
      </c>
      <c r="C46" s="3" t="s">
        <v>471</v>
      </c>
      <c r="D46" s="32" t="n">
        <v>40000</v>
      </c>
      <c r="E46" s="32" t="n">
        <v>40000</v>
      </c>
      <c r="F46" s="32" t="n">
        <v>40000</v>
      </c>
      <c r="G46" s="32" t="n">
        <v>40000</v>
      </c>
      <c r="H46" s="32" t="n">
        <v>40000</v>
      </c>
      <c r="I46" s="32" t="n">
        <v>40000</v>
      </c>
      <c r="J46" s="32" t="n">
        <v>40000</v>
      </c>
      <c r="K46" s="32" t="n">
        <v>40000</v>
      </c>
      <c r="L46" s="32" t="n">
        <v>40000</v>
      </c>
      <c r="M46" s="32" t="n">
        <v>40000</v>
      </c>
      <c r="N46" s="32" t="n">
        <v>40000</v>
      </c>
      <c r="O46" s="32" t="n">
        <v>40000</v>
      </c>
      <c r="P46" s="32" t="n">
        <v>40000</v>
      </c>
      <c r="Q46" s="32" t="n">
        <v>40000</v>
      </c>
      <c r="R46" s="32" t="n">
        <v>40000</v>
      </c>
      <c r="S46" s="32" t="n">
        <v>40000</v>
      </c>
      <c r="T46" s="32" t="n">
        <v>40000</v>
      </c>
      <c r="U46" s="32" t="n">
        <v>0</v>
      </c>
      <c r="V46" s="32" t="n">
        <v>0</v>
      </c>
      <c r="W46" s="32" t="n">
        <v>40000</v>
      </c>
      <c r="X46" s="13" t="n">
        <f aca="false">IFERROR(AVERAGEIF(D46:H46,"&lt;&gt;0"),"")</f>
        <v>40000</v>
      </c>
      <c r="Y46" s="13" t="n">
        <f aca="false">IFERROR(AVERAGEIF(I46:M46,"&lt;&gt;0"),"")</f>
        <v>40000</v>
      </c>
      <c r="Z46" s="13" t="n">
        <f aca="false">IFERROR(AVERAGEIF(N46:R46,"&lt;&gt;0"),"")</f>
        <v>40000</v>
      </c>
      <c r="AA46" s="13" t="n">
        <f aca="false">IFERROR(AVERAGEIF(S46:W46,"&lt;&gt;0"),"")</f>
        <v>40000</v>
      </c>
      <c r="AB46" s="13" t="n">
        <f aca="false">IFERROR(AVERAGEIF(D46:W46,"&lt;&gt;0"),"")</f>
        <v>40000</v>
      </c>
    </row>
    <row r="47" customFormat="false" ht="15" hidden="false" customHeight="false" outlineLevel="0" collapsed="false">
      <c r="A47" s="3" t="n">
        <v>43</v>
      </c>
      <c r="B47" s="3" t="s">
        <v>486</v>
      </c>
      <c r="C47" s="3" t="s">
        <v>471</v>
      </c>
      <c r="D47" s="32" t="n">
        <v>27000</v>
      </c>
      <c r="E47" s="32" t="n">
        <v>27000</v>
      </c>
      <c r="F47" s="32" t="n">
        <v>27000</v>
      </c>
      <c r="G47" s="32" t="n">
        <v>27000</v>
      </c>
      <c r="H47" s="32" t="n">
        <v>27000</v>
      </c>
      <c r="I47" s="32" t="n">
        <v>27000</v>
      </c>
      <c r="J47" s="32" t="n">
        <v>27000</v>
      </c>
      <c r="K47" s="32" t="n">
        <v>27000</v>
      </c>
      <c r="L47" s="32" t="n">
        <v>27000</v>
      </c>
      <c r="M47" s="32" t="n">
        <v>27000</v>
      </c>
      <c r="N47" s="32" t="n">
        <v>27000</v>
      </c>
      <c r="O47" s="32" t="n">
        <v>27000</v>
      </c>
      <c r="P47" s="32" t="n">
        <v>27000</v>
      </c>
      <c r="Q47" s="32" t="n">
        <v>27000</v>
      </c>
      <c r="R47" s="32" t="n">
        <v>27000</v>
      </c>
      <c r="S47" s="32" t="n">
        <v>27000</v>
      </c>
      <c r="T47" s="32" t="n">
        <v>27000</v>
      </c>
      <c r="U47" s="32" t="n">
        <v>0</v>
      </c>
      <c r="V47" s="32" t="n">
        <v>0</v>
      </c>
      <c r="W47" s="32" t="n">
        <v>27000</v>
      </c>
      <c r="X47" s="13" t="n">
        <f aca="false">IFERROR(AVERAGEIF(D47:H47,"&lt;&gt;0"),"")</f>
        <v>27000</v>
      </c>
      <c r="Y47" s="13" t="n">
        <f aca="false">IFERROR(AVERAGEIF(I47:M47,"&lt;&gt;0"),"")</f>
        <v>27000</v>
      </c>
      <c r="Z47" s="13" t="n">
        <f aca="false">IFERROR(AVERAGEIF(N47:R47,"&lt;&gt;0"),"")</f>
        <v>27000</v>
      </c>
      <c r="AA47" s="13" t="n">
        <f aca="false">IFERROR(AVERAGEIF(S47:W47,"&lt;&gt;0"),"")</f>
        <v>27000</v>
      </c>
      <c r="AB47" s="13" t="n">
        <f aca="false">IFERROR(AVERAGEIF(D47:W47,"&lt;&gt;0"),"")</f>
        <v>27000</v>
      </c>
    </row>
    <row r="48" customFormat="false" ht="15" hidden="false" customHeight="false" outlineLevel="0" collapsed="false">
      <c r="A48" s="3" t="n">
        <v>44</v>
      </c>
      <c r="B48" s="3" t="s">
        <v>487</v>
      </c>
      <c r="C48" s="3" t="s">
        <v>471</v>
      </c>
      <c r="D48" s="32" t="n">
        <v>17000</v>
      </c>
      <c r="E48" s="32" t="n">
        <v>17000</v>
      </c>
      <c r="F48" s="32" t="n">
        <v>17000</v>
      </c>
      <c r="G48" s="32" t="n">
        <v>17000</v>
      </c>
      <c r="H48" s="32" t="n">
        <v>17000</v>
      </c>
      <c r="I48" s="32" t="n">
        <v>17000</v>
      </c>
      <c r="J48" s="32" t="n">
        <v>17000</v>
      </c>
      <c r="K48" s="32" t="n">
        <v>17000</v>
      </c>
      <c r="L48" s="32" t="n">
        <v>17000</v>
      </c>
      <c r="M48" s="32" t="n">
        <v>17000</v>
      </c>
      <c r="N48" s="32" t="n">
        <v>17000</v>
      </c>
      <c r="O48" s="32" t="n">
        <v>17000</v>
      </c>
      <c r="P48" s="32" t="n">
        <v>17000</v>
      </c>
      <c r="Q48" s="32" t="n">
        <v>17000</v>
      </c>
      <c r="R48" s="32" t="n">
        <v>17000</v>
      </c>
      <c r="S48" s="32" t="n">
        <v>17000</v>
      </c>
      <c r="T48" s="32" t="n">
        <v>17000</v>
      </c>
      <c r="U48" s="32" t="n">
        <v>0</v>
      </c>
      <c r="V48" s="32" t="n">
        <v>0</v>
      </c>
      <c r="W48" s="32" t="n">
        <v>17000</v>
      </c>
      <c r="X48" s="13" t="n">
        <f aca="false">IFERROR(AVERAGEIF(D48:H48,"&lt;&gt;0"),"")</f>
        <v>17000</v>
      </c>
      <c r="Y48" s="13" t="n">
        <f aca="false">IFERROR(AVERAGEIF(I48:M48,"&lt;&gt;0"),"")</f>
        <v>17000</v>
      </c>
      <c r="Z48" s="13" t="n">
        <f aca="false">IFERROR(AVERAGEIF(N48:R48,"&lt;&gt;0"),"")</f>
        <v>17000</v>
      </c>
      <c r="AA48" s="13" t="n">
        <f aca="false">IFERROR(AVERAGEIF(S48:W48,"&lt;&gt;0"),"")</f>
        <v>17000</v>
      </c>
      <c r="AB48" s="13" t="n">
        <f aca="false">IFERROR(AVERAGEIF(D48:W48,"&lt;&gt;0"),"")</f>
        <v>17000</v>
      </c>
    </row>
  </sheetData>
  <mergeCells count="1">
    <mergeCell ref="A1:A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4"/>
    <col collapsed="false" customWidth="true" hidden="false" outlineLevel="0" max="26" min="4" style="0" width="9"/>
    <col collapsed="false" customWidth="true" hidden="false" outlineLevel="0" max="32" min="27" style="0" width="14"/>
  </cols>
  <sheetData>
    <row r="1" customFormat="false" ht="16.15" hidden="false" customHeight="false" outlineLevel="0" collapsed="false">
      <c r="A1" s="1" t="s">
        <v>488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customFormat="false" ht="15" hidden="false" customHeight="false" outlineLevel="0" collapsed="false">
      <c r="A2" s="7" t="s">
        <v>443</v>
      </c>
    </row>
    <row r="4" customFormat="false" ht="19.4" hidden="false" customHeight="false" outlineLevel="0" collapsed="false">
      <c r="A4" s="10" t="s">
        <v>1</v>
      </c>
      <c r="B4" s="10" t="s">
        <v>444</v>
      </c>
      <c r="C4" s="10" t="s">
        <v>445</v>
      </c>
      <c r="D4" s="10" t="s">
        <v>489</v>
      </c>
      <c r="E4" s="10" t="s">
        <v>490</v>
      </c>
      <c r="F4" s="10" t="s">
        <v>491</v>
      </c>
      <c r="G4" s="10" t="s">
        <v>492</v>
      </c>
      <c r="H4" s="10" t="s">
        <v>493</v>
      </c>
      <c r="I4" s="10" t="s">
        <v>494</v>
      </c>
      <c r="J4" s="10" t="s">
        <v>495</v>
      </c>
      <c r="K4" s="10" t="s">
        <v>496</v>
      </c>
      <c r="L4" s="10" t="s">
        <v>497</v>
      </c>
      <c r="M4" s="10" t="s">
        <v>498</v>
      </c>
      <c r="N4" s="10" t="s">
        <v>499</v>
      </c>
      <c r="O4" s="10" t="s">
        <v>500</v>
      </c>
      <c r="P4" s="10" t="s">
        <v>501</v>
      </c>
      <c r="Q4" s="10" t="s">
        <v>502</v>
      </c>
      <c r="R4" s="10" t="s">
        <v>503</v>
      </c>
      <c r="S4" s="10" t="s">
        <v>504</v>
      </c>
      <c r="T4" s="10" t="s">
        <v>505</v>
      </c>
      <c r="U4" s="10" t="s">
        <v>506</v>
      </c>
      <c r="V4" s="10" t="s">
        <v>507</v>
      </c>
      <c r="W4" s="10" t="s">
        <v>508</v>
      </c>
      <c r="X4" s="10" t="s">
        <v>509</v>
      </c>
      <c r="Y4" s="10" t="s">
        <v>510</v>
      </c>
      <c r="Z4" s="10" t="s">
        <v>511</v>
      </c>
      <c r="AA4" s="10" t="s">
        <v>512</v>
      </c>
      <c r="AB4" s="10" t="s">
        <v>513</v>
      </c>
      <c r="AC4" s="10" t="s">
        <v>514</v>
      </c>
      <c r="AD4" s="10" t="s">
        <v>515</v>
      </c>
      <c r="AE4" s="10" t="s">
        <v>516</v>
      </c>
      <c r="AF4" s="10" t="s">
        <v>517</v>
      </c>
    </row>
    <row r="5" customFormat="false" ht="15" hidden="false" customHeight="false" outlineLevel="0" collapsed="false">
      <c r="A5" s="3" t="n">
        <v>1</v>
      </c>
      <c r="B5" s="3" t="s">
        <v>407</v>
      </c>
      <c r="C5" s="3" t="s">
        <v>471</v>
      </c>
      <c r="D5" s="32" t="n">
        <v>0</v>
      </c>
      <c r="E5" s="32" t="n">
        <v>12000</v>
      </c>
      <c r="F5" s="32" t="n">
        <v>12000</v>
      </c>
      <c r="G5" s="32" t="n">
        <v>12000</v>
      </c>
      <c r="H5" s="32" t="n">
        <v>12000</v>
      </c>
      <c r="I5" s="32" t="n">
        <v>12000</v>
      </c>
      <c r="J5" s="32" t="n">
        <v>12000</v>
      </c>
      <c r="K5" s="32" t="n">
        <v>12000</v>
      </c>
      <c r="L5" s="32" t="n">
        <v>12000</v>
      </c>
      <c r="M5" s="32" t="n">
        <v>12000</v>
      </c>
      <c r="N5" s="32" t="n">
        <v>12000</v>
      </c>
      <c r="O5" s="32" t="n">
        <v>12000</v>
      </c>
      <c r="P5" s="32" t="n">
        <v>12000</v>
      </c>
      <c r="Q5" s="32" t="n">
        <v>12000</v>
      </c>
      <c r="R5" s="32" t="n">
        <v>12000</v>
      </c>
      <c r="S5" s="32" t="n">
        <v>12000</v>
      </c>
      <c r="T5" s="32" t="n">
        <v>12000</v>
      </c>
      <c r="U5" s="32" t="n">
        <v>12000</v>
      </c>
      <c r="V5" s="32" t="n">
        <v>0</v>
      </c>
      <c r="W5" s="32" t="n">
        <v>0</v>
      </c>
      <c r="X5" s="32" t="n">
        <v>0</v>
      </c>
      <c r="Y5" s="32" t="n">
        <v>12000</v>
      </c>
      <c r="Z5" s="32" t="n">
        <v>12000</v>
      </c>
      <c r="AA5" s="13" t="n">
        <f aca="false">IFERROR(AVERAGEIF(D5:F5,"&lt;&gt;0"),"")</f>
        <v>12000</v>
      </c>
      <c r="AB5" s="13" t="n">
        <f aca="false">IFERROR(AVERAGEIF(G5:K5,"&lt;&gt;0"),"")</f>
        <v>12000</v>
      </c>
      <c r="AC5" s="13" t="n">
        <f aca="false">IFERROR(AVERAGEIF(L5:P5,"&lt;&gt;0"),"")</f>
        <v>12000</v>
      </c>
      <c r="AD5" s="13" t="n">
        <f aca="false">IFERROR(AVERAGEIF(Q5:U5,"&lt;&gt;0"),"")</f>
        <v>12000</v>
      </c>
      <c r="AE5" s="13" t="n">
        <f aca="false">IFERROR(AVERAGEIF(V5:Z5,"&lt;&gt;0"),"")</f>
        <v>12000</v>
      </c>
      <c r="AF5" s="13" t="n">
        <f aca="false">IFERROR(AVERAGEIF(D5:Z5,"&lt;&gt;0"),"")</f>
        <v>12000</v>
      </c>
    </row>
    <row r="6" customFormat="false" ht="15" hidden="false" customHeight="false" outlineLevel="0" collapsed="false">
      <c r="A6" s="3" t="n">
        <v>2</v>
      </c>
      <c r="B6" s="3" t="s">
        <v>408</v>
      </c>
      <c r="C6" s="3" t="s">
        <v>471</v>
      </c>
      <c r="D6" s="32" t="n">
        <v>0</v>
      </c>
      <c r="E6" s="32" t="n">
        <v>13000</v>
      </c>
      <c r="F6" s="32" t="n">
        <v>13000</v>
      </c>
      <c r="G6" s="32" t="n">
        <v>13000</v>
      </c>
      <c r="H6" s="32" t="n">
        <v>13000</v>
      </c>
      <c r="I6" s="32" t="n">
        <v>13000</v>
      </c>
      <c r="J6" s="32" t="n">
        <v>13000</v>
      </c>
      <c r="K6" s="32" t="n">
        <v>13000</v>
      </c>
      <c r="L6" s="32" t="n">
        <v>13000</v>
      </c>
      <c r="M6" s="32" t="n">
        <v>13000</v>
      </c>
      <c r="N6" s="32" t="n">
        <v>13000</v>
      </c>
      <c r="O6" s="32" t="n">
        <v>13000</v>
      </c>
      <c r="P6" s="32" t="n">
        <v>13000</v>
      </c>
      <c r="Q6" s="32" t="n">
        <v>13000</v>
      </c>
      <c r="R6" s="32" t="n">
        <v>13000</v>
      </c>
      <c r="S6" s="32" t="n">
        <v>13000</v>
      </c>
      <c r="T6" s="32" t="n">
        <v>13000</v>
      </c>
      <c r="U6" s="32" t="n">
        <v>13000</v>
      </c>
      <c r="V6" s="32" t="n">
        <v>0</v>
      </c>
      <c r="W6" s="32" t="n">
        <v>0</v>
      </c>
      <c r="X6" s="32" t="n">
        <v>0</v>
      </c>
      <c r="Y6" s="32" t="n">
        <v>13000</v>
      </c>
      <c r="Z6" s="32" t="n">
        <v>13000</v>
      </c>
      <c r="AA6" s="13" t="n">
        <f aca="false">IFERROR(AVERAGEIF(D6:F6,"&lt;&gt;0"),"")</f>
        <v>13000</v>
      </c>
      <c r="AB6" s="13" t="n">
        <f aca="false">IFERROR(AVERAGEIF(G6:K6,"&lt;&gt;0"),"")</f>
        <v>13000</v>
      </c>
      <c r="AC6" s="13" t="n">
        <f aca="false">IFERROR(AVERAGEIF(L6:P6,"&lt;&gt;0"),"")</f>
        <v>13000</v>
      </c>
      <c r="AD6" s="13" t="n">
        <f aca="false">IFERROR(AVERAGEIF(Q6:U6,"&lt;&gt;0"),"")</f>
        <v>13000</v>
      </c>
      <c r="AE6" s="13" t="n">
        <f aca="false">IFERROR(AVERAGEIF(V6:Z6,"&lt;&gt;0"),"")</f>
        <v>13000</v>
      </c>
      <c r="AF6" s="13" t="n">
        <f aca="false">IFERROR(AVERAGEIF(D6:Z6,"&lt;&gt;0"),"")</f>
        <v>13000</v>
      </c>
    </row>
    <row r="7" customFormat="false" ht="15" hidden="false" customHeight="false" outlineLevel="0" collapsed="false">
      <c r="A7" s="3" t="n">
        <v>3</v>
      </c>
      <c r="B7" s="3" t="s">
        <v>409</v>
      </c>
      <c r="C7" s="3" t="s">
        <v>471</v>
      </c>
      <c r="D7" s="32" t="n">
        <v>0</v>
      </c>
      <c r="E7" s="32" t="n">
        <v>12500</v>
      </c>
      <c r="F7" s="32" t="n">
        <v>12500</v>
      </c>
      <c r="G7" s="32" t="n">
        <v>12500</v>
      </c>
      <c r="H7" s="32" t="n">
        <v>12500</v>
      </c>
      <c r="I7" s="32" t="n">
        <v>12500</v>
      </c>
      <c r="J7" s="32" t="n">
        <v>12500</v>
      </c>
      <c r="K7" s="32" t="n">
        <v>12500</v>
      </c>
      <c r="L7" s="32" t="n">
        <v>12500</v>
      </c>
      <c r="M7" s="32" t="n">
        <v>12500</v>
      </c>
      <c r="N7" s="32" t="n">
        <v>12500</v>
      </c>
      <c r="O7" s="32" t="n">
        <v>12500</v>
      </c>
      <c r="P7" s="32" t="n">
        <v>12500</v>
      </c>
      <c r="Q7" s="32" t="n">
        <v>12500</v>
      </c>
      <c r="R7" s="32" t="n">
        <v>12500</v>
      </c>
      <c r="S7" s="32" t="n">
        <v>12500</v>
      </c>
      <c r="T7" s="32" t="n">
        <v>12500</v>
      </c>
      <c r="U7" s="32" t="n">
        <v>12500</v>
      </c>
      <c r="V7" s="32" t="n">
        <v>0</v>
      </c>
      <c r="W7" s="32" t="n">
        <v>0</v>
      </c>
      <c r="X7" s="32" t="n">
        <v>0</v>
      </c>
      <c r="Y7" s="32" t="n">
        <v>12500</v>
      </c>
      <c r="Z7" s="32" t="n">
        <v>12500</v>
      </c>
      <c r="AA7" s="13" t="n">
        <f aca="false">IFERROR(AVERAGEIF(D7:F7,"&lt;&gt;0"),"")</f>
        <v>12500</v>
      </c>
      <c r="AB7" s="13" t="n">
        <f aca="false">IFERROR(AVERAGEIF(G7:K7,"&lt;&gt;0"),"")</f>
        <v>12500</v>
      </c>
      <c r="AC7" s="13" t="n">
        <f aca="false">IFERROR(AVERAGEIF(L7:P7,"&lt;&gt;0"),"")</f>
        <v>12500</v>
      </c>
      <c r="AD7" s="13" t="n">
        <f aca="false">IFERROR(AVERAGEIF(Q7:U7,"&lt;&gt;0"),"")</f>
        <v>12500</v>
      </c>
      <c r="AE7" s="13" t="n">
        <f aca="false">IFERROR(AVERAGEIF(V7:Z7,"&lt;&gt;0"),"")</f>
        <v>12500</v>
      </c>
      <c r="AF7" s="13" t="n">
        <f aca="false">IFERROR(AVERAGEIF(D7:Z7,"&lt;&gt;0"),"")</f>
        <v>12500</v>
      </c>
    </row>
    <row r="8" customFormat="false" ht="15" hidden="false" customHeight="false" outlineLevel="0" collapsed="false">
      <c r="A8" s="3" t="n">
        <v>4</v>
      </c>
      <c r="B8" s="3" t="s">
        <v>472</v>
      </c>
      <c r="C8" s="3" t="s">
        <v>471</v>
      </c>
      <c r="D8" s="32" t="n">
        <v>0</v>
      </c>
      <c r="E8" s="32" t="n">
        <v>11000</v>
      </c>
      <c r="F8" s="32" t="n">
        <v>11000</v>
      </c>
      <c r="G8" s="32" t="n">
        <v>11000</v>
      </c>
      <c r="H8" s="32" t="n">
        <v>11000</v>
      </c>
      <c r="I8" s="32" t="n">
        <v>11000</v>
      </c>
      <c r="J8" s="32" t="n">
        <v>11000</v>
      </c>
      <c r="K8" s="32" t="n">
        <v>11000</v>
      </c>
      <c r="L8" s="32" t="n">
        <v>11000</v>
      </c>
      <c r="M8" s="32" t="n">
        <v>11000</v>
      </c>
      <c r="N8" s="32" t="n">
        <v>11000</v>
      </c>
      <c r="O8" s="32" t="n">
        <v>11000</v>
      </c>
      <c r="P8" s="32" t="n">
        <v>11000</v>
      </c>
      <c r="Q8" s="32" t="n">
        <v>11000</v>
      </c>
      <c r="R8" s="32" t="n">
        <v>11000</v>
      </c>
      <c r="S8" s="32" t="n">
        <v>11000</v>
      </c>
      <c r="T8" s="32" t="n">
        <v>11000</v>
      </c>
      <c r="U8" s="32" t="n">
        <v>11000</v>
      </c>
      <c r="V8" s="32" t="n">
        <v>0</v>
      </c>
      <c r="W8" s="32" t="n">
        <v>0</v>
      </c>
      <c r="X8" s="32" t="n">
        <v>0</v>
      </c>
      <c r="Y8" s="32" t="n">
        <v>11000</v>
      </c>
      <c r="Z8" s="32" t="n">
        <v>11000</v>
      </c>
      <c r="AA8" s="13" t="n">
        <f aca="false">IFERROR(AVERAGEIF(D8:F8,"&lt;&gt;0"),"")</f>
        <v>11000</v>
      </c>
      <c r="AB8" s="13" t="n">
        <f aca="false">IFERROR(AVERAGEIF(G8:K8,"&lt;&gt;0"),"")</f>
        <v>11000</v>
      </c>
      <c r="AC8" s="13" t="n">
        <f aca="false">IFERROR(AVERAGEIF(L8:P8,"&lt;&gt;0"),"")</f>
        <v>11000</v>
      </c>
      <c r="AD8" s="13" t="n">
        <f aca="false">IFERROR(AVERAGEIF(Q8:U8,"&lt;&gt;0"),"")</f>
        <v>11000</v>
      </c>
      <c r="AE8" s="13" t="n">
        <f aca="false">IFERROR(AVERAGEIF(V8:Z8,"&lt;&gt;0"),"")</f>
        <v>11000</v>
      </c>
      <c r="AF8" s="13" t="n">
        <f aca="false">IFERROR(AVERAGEIF(D8:Z8,"&lt;&gt;0"),"")</f>
        <v>11000</v>
      </c>
    </row>
    <row r="9" customFormat="false" ht="15" hidden="false" customHeight="false" outlineLevel="0" collapsed="false">
      <c r="A9" s="3" t="n">
        <v>5</v>
      </c>
      <c r="B9" s="3" t="s">
        <v>428</v>
      </c>
      <c r="C9" s="3" t="s">
        <v>471</v>
      </c>
      <c r="D9" s="32" t="n">
        <v>0</v>
      </c>
      <c r="E9" s="32" t="n">
        <v>34000</v>
      </c>
      <c r="F9" s="32" t="n">
        <v>34000</v>
      </c>
      <c r="G9" s="32" t="n">
        <v>34000</v>
      </c>
      <c r="H9" s="32" t="n">
        <v>34000</v>
      </c>
      <c r="I9" s="32" t="n">
        <v>34000</v>
      </c>
      <c r="J9" s="32" t="n">
        <v>34000</v>
      </c>
      <c r="K9" s="32" t="n">
        <v>34000</v>
      </c>
      <c r="L9" s="32" t="n">
        <v>34000</v>
      </c>
      <c r="M9" s="32" t="n">
        <v>34000</v>
      </c>
      <c r="N9" s="32" t="n">
        <v>34000</v>
      </c>
      <c r="O9" s="32" t="n">
        <v>34000</v>
      </c>
      <c r="P9" s="32" t="n">
        <v>34000</v>
      </c>
      <c r="Q9" s="32" t="n">
        <v>34000</v>
      </c>
      <c r="R9" s="32" t="n">
        <v>34000</v>
      </c>
      <c r="S9" s="32" t="n">
        <v>34000</v>
      </c>
      <c r="T9" s="32" t="n">
        <v>34000</v>
      </c>
      <c r="U9" s="32" t="n">
        <v>34500</v>
      </c>
      <c r="V9" s="32" t="n">
        <v>0</v>
      </c>
      <c r="W9" s="32" t="n">
        <v>0</v>
      </c>
      <c r="X9" s="32" t="n">
        <v>0</v>
      </c>
      <c r="Y9" s="32" t="n">
        <v>36000</v>
      </c>
      <c r="Z9" s="32" t="n">
        <v>36000</v>
      </c>
      <c r="AA9" s="13" t="n">
        <f aca="false">IFERROR(AVERAGEIF(D9:F9,"&lt;&gt;0"),"")</f>
        <v>34000</v>
      </c>
      <c r="AB9" s="13" t="n">
        <f aca="false">IFERROR(AVERAGEIF(G9:K9,"&lt;&gt;0"),"")</f>
        <v>34000</v>
      </c>
      <c r="AC9" s="13" t="n">
        <f aca="false">IFERROR(AVERAGEIF(L9:P9,"&lt;&gt;0"),"")</f>
        <v>34000</v>
      </c>
      <c r="AD9" s="13" t="n">
        <f aca="false">IFERROR(AVERAGEIF(Q9:U9,"&lt;&gt;0"),"")</f>
        <v>34100</v>
      </c>
      <c r="AE9" s="13" t="n">
        <f aca="false">IFERROR(AVERAGEIF(V9:Z9,"&lt;&gt;0"),"")</f>
        <v>36000</v>
      </c>
      <c r="AF9" s="13" t="n">
        <f aca="false">IFERROR(AVERAGEIF(D9:Z9,"&lt;&gt;0"),"")</f>
        <v>34236.8421052632</v>
      </c>
    </row>
    <row r="10" customFormat="false" ht="15" hidden="false" customHeight="false" outlineLevel="0" collapsed="false">
      <c r="A10" s="3" t="n">
        <v>6</v>
      </c>
      <c r="B10" s="3" t="s">
        <v>429</v>
      </c>
      <c r="C10" s="3" t="s">
        <v>471</v>
      </c>
      <c r="D10" s="32" t="n">
        <v>0</v>
      </c>
      <c r="E10" s="32" t="n">
        <v>34000</v>
      </c>
      <c r="F10" s="32" t="n">
        <v>34000</v>
      </c>
      <c r="G10" s="32" t="n">
        <v>34000</v>
      </c>
      <c r="H10" s="32" t="n">
        <v>34000</v>
      </c>
      <c r="I10" s="32" t="n">
        <v>34000</v>
      </c>
      <c r="J10" s="32" t="n">
        <v>34000</v>
      </c>
      <c r="K10" s="32" t="n">
        <v>34000</v>
      </c>
      <c r="L10" s="32" t="n">
        <v>34000</v>
      </c>
      <c r="M10" s="32" t="n">
        <v>34000</v>
      </c>
      <c r="N10" s="32" t="n">
        <v>34000</v>
      </c>
      <c r="O10" s="32" t="n">
        <v>34000</v>
      </c>
      <c r="P10" s="32" t="n">
        <v>34000</v>
      </c>
      <c r="Q10" s="32" t="n">
        <v>34000</v>
      </c>
      <c r="R10" s="32" t="n">
        <v>34000</v>
      </c>
      <c r="S10" s="32" t="n">
        <v>34000</v>
      </c>
      <c r="T10" s="32" t="n">
        <v>34000</v>
      </c>
      <c r="U10" s="32" t="n">
        <v>34500</v>
      </c>
      <c r="V10" s="32" t="n">
        <v>0</v>
      </c>
      <c r="W10" s="32" t="n">
        <v>0</v>
      </c>
      <c r="X10" s="32" t="n">
        <v>0</v>
      </c>
      <c r="Y10" s="32" t="n">
        <v>36000</v>
      </c>
      <c r="Z10" s="32" t="n">
        <v>36000</v>
      </c>
      <c r="AA10" s="13" t="n">
        <f aca="false">IFERROR(AVERAGEIF(D10:F10,"&lt;&gt;0"),"")</f>
        <v>34000</v>
      </c>
      <c r="AB10" s="13" t="n">
        <f aca="false">IFERROR(AVERAGEIF(G10:K10,"&lt;&gt;0"),"")</f>
        <v>34000</v>
      </c>
      <c r="AC10" s="13" t="n">
        <f aca="false">IFERROR(AVERAGEIF(L10:P10,"&lt;&gt;0"),"")</f>
        <v>34000</v>
      </c>
      <c r="AD10" s="13" t="n">
        <f aca="false">IFERROR(AVERAGEIF(Q10:U10,"&lt;&gt;0"),"")</f>
        <v>34100</v>
      </c>
      <c r="AE10" s="13" t="n">
        <f aca="false">IFERROR(AVERAGEIF(V10:Z10,"&lt;&gt;0"),"")</f>
        <v>36000</v>
      </c>
      <c r="AF10" s="13" t="n">
        <f aca="false">IFERROR(AVERAGEIF(D10:Z10,"&lt;&gt;0"),"")</f>
        <v>34236.8421052632</v>
      </c>
    </row>
    <row r="11" customFormat="false" ht="15" hidden="false" customHeight="false" outlineLevel="0" collapsed="false">
      <c r="A11" s="3" t="n">
        <v>7</v>
      </c>
      <c r="B11" s="3" t="s">
        <v>418</v>
      </c>
      <c r="C11" s="3" t="s">
        <v>471</v>
      </c>
      <c r="D11" s="32" t="n">
        <v>0</v>
      </c>
      <c r="E11" s="32" t="n">
        <v>45000</v>
      </c>
      <c r="F11" s="32" t="n">
        <v>45000</v>
      </c>
      <c r="G11" s="32" t="n">
        <v>47000</v>
      </c>
      <c r="H11" s="32" t="n">
        <v>47000</v>
      </c>
      <c r="I11" s="32" t="n">
        <v>47000</v>
      </c>
      <c r="J11" s="32" t="n">
        <v>47000</v>
      </c>
      <c r="K11" s="32" t="n">
        <v>47000</v>
      </c>
      <c r="L11" s="32" t="n">
        <v>47000</v>
      </c>
      <c r="M11" s="32" t="n">
        <v>47000</v>
      </c>
      <c r="N11" s="32" t="n">
        <v>47000</v>
      </c>
      <c r="O11" s="32" t="n">
        <v>46000</v>
      </c>
      <c r="P11" s="32" t="n">
        <v>46000</v>
      </c>
      <c r="Q11" s="32" t="n">
        <v>45000</v>
      </c>
      <c r="R11" s="32" t="n">
        <v>45000</v>
      </c>
      <c r="S11" s="32" t="n">
        <v>45000</v>
      </c>
      <c r="T11" s="32" t="n">
        <v>45000</v>
      </c>
      <c r="U11" s="32" t="n">
        <v>45500</v>
      </c>
      <c r="V11" s="32" t="n">
        <v>0</v>
      </c>
      <c r="W11" s="32" t="n">
        <v>0</v>
      </c>
      <c r="X11" s="32" t="n">
        <v>0</v>
      </c>
      <c r="Y11" s="32" t="n">
        <v>47000</v>
      </c>
      <c r="Z11" s="32" t="n">
        <v>47000</v>
      </c>
      <c r="AA11" s="13" t="n">
        <f aca="false">IFERROR(AVERAGEIF(D11:F11,"&lt;&gt;0"),"")</f>
        <v>45000</v>
      </c>
      <c r="AB11" s="13" t="n">
        <f aca="false">IFERROR(AVERAGEIF(G11:K11,"&lt;&gt;0"),"")</f>
        <v>47000</v>
      </c>
      <c r="AC11" s="13" t="n">
        <f aca="false">IFERROR(AVERAGEIF(L11:P11,"&lt;&gt;0"),"")</f>
        <v>46600</v>
      </c>
      <c r="AD11" s="13" t="n">
        <f aca="false">IFERROR(AVERAGEIF(Q11:U11,"&lt;&gt;0"),"")</f>
        <v>45100</v>
      </c>
      <c r="AE11" s="13" t="n">
        <f aca="false">IFERROR(AVERAGEIF(V11:Z11,"&lt;&gt;0"),"")</f>
        <v>47000</v>
      </c>
      <c r="AF11" s="13" t="n">
        <f aca="false">IFERROR(AVERAGEIF(D11:Z11,"&lt;&gt;0"),"")</f>
        <v>46184.2105263158</v>
      </c>
    </row>
    <row r="12" customFormat="false" ht="15" hidden="false" customHeight="false" outlineLevel="0" collapsed="false">
      <c r="A12" s="3" t="n">
        <v>8</v>
      </c>
      <c r="B12" s="3" t="s">
        <v>423</v>
      </c>
      <c r="C12" s="3" t="s">
        <v>471</v>
      </c>
      <c r="D12" s="32" t="n">
        <v>0</v>
      </c>
      <c r="E12" s="32" t="n">
        <v>24000</v>
      </c>
      <c r="F12" s="32" t="n">
        <v>24000</v>
      </c>
      <c r="G12" s="32" t="n">
        <v>24000</v>
      </c>
      <c r="H12" s="32" t="n">
        <v>24000</v>
      </c>
      <c r="I12" s="32" t="n">
        <v>24000</v>
      </c>
      <c r="J12" s="32" t="n">
        <v>24000</v>
      </c>
      <c r="K12" s="32" t="n">
        <v>24000</v>
      </c>
      <c r="L12" s="32" t="n">
        <v>24000</v>
      </c>
      <c r="M12" s="32" t="n">
        <v>24000</v>
      </c>
      <c r="N12" s="32" t="n">
        <v>24000</v>
      </c>
      <c r="O12" s="32" t="n">
        <v>24000</v>
      </c>
      <c r="P12" s="32" t="n">
        <v>24000</v>
      </c>
      <c r="Q12" s="32" t="n">
        <v>23000</v>
      </c>
      <c r="R12" s="32" t="n">
        <v>23000</v>
      </c>
      <c r="S12" s="32" t="n">
        <v>23000</v>
      </c>
      <c r="T12" s="32" t="n">
        <v>23000</v>
      </c>
      <c r="U12" s="32" t="n">
        <v>23000</v>
      </c>
      <c r="V12" s="32" t="n">
        <v>0</v>
      </c>
      <c r="W12" s="32" t="n">
        <v>0</v>
      </c>
      <c r="X12" s="32" t="n">
        <v>0</v>
      </c>
      <c r="Y12" s="32" t="n">
        <v>23000</v>
      </c>
      <c r="Z12" s="32" t="n">
        <v>23000</v>
      </c>
      <c r="AA12" s="13" t="n">
        <f aca="false">IFERROR(AVERAGEIF(D12:F12,"&lt;&gt;0"),"")</f>
        <v>24000</v>
      </c>
      <c r="AB12" s="13" t="n">
        <f aca="false">IFERROR(AVERAGEIF(G12:K12,"&lt;&gt;0"),"")</f>
        <v>24000</v>
      </c>
      <c r="AC12" s="13" t="n">
        <f aca="false">IFERROR(AVERAGEIF(L12:P12,"&lt;&gt;0"),"")</f>
        <v>24000</v>
      </c>
      <c r="AD12" s="13" t="n">
        <f aca="false">IFERROR(AVERAGEIF(Q12:U12,"&lt;&gt;0"),"")</f>
        <v>23000</v>
      </c>
      <c r="AE12" s="13" t="n">
        <f aca="false">IFERROR(AVERAGEIF(V12:Z12,"&lt;&gt;0"),"")</f>
        <v>23000</v>
      </c>
      <c r="AF12" s="13" t="n">
        <f aca="false">IFERROR(AVERAGEIF(D12:Z12,"&lt;&gt;0"),"")</f>
        <v>23631.5789473684</v>
      </c>
    </row>
    <row r="13" customFormat="false" ht="15" hidden="false" customHeight="false" outlineLevel="0" collapsed="false">
      <c r="A13" s="3" t="n">
        <v>9</v>
      </c>
      <c r="B13" s="3" t="s">
        <v>420</v>
      </c>
      <c r="C13" s="3" t="s">
        <v>471</v>
      </c>
      <c r="D13" s="32" t="n">
        <v>0</v>
      </c>
      <c r="E13" s="32" t="n">
        <v>16500</v>
      </c>
      <c r="F13" s="32" t="n">
        <v>16500</v>
      </c>
      <c r="G13" s="32" t="n">
        <v>16500</v>
      </c>
      <c r="H13" s="32" t="n">
        <v>16500</v>
      </c>
      <c r="I13" s="32" t="n">
        <v>16500</v>
      </c>
      <c r="J13" s="32" t="n">
        <v>16500</v>
      </c>
      <c r="K13" s="32" t="n">
        <v>16500</v>
      </c>
      <c r="L13" s="32" t="n">
        <v>16500</v>
      </c>
      <c r="M13" s="32" t="n">
        <v>16500</v>
      </c>
      <c r="N13" s="32" t="n">
        <v>16500</v>
      </c>
      <c r="O13" s="32" t="n">
        <v>16500</v>
      </c>
      <c r="P13" s="32" t="n">
        <v>16500</v>
      </c>
      <c r="Q13" s="32" t="n">
        <v>16500</v>
      </c>
      <c r="R13" s="32" t="n">
        <v>16500</v>
      </c>
      <c r="S13" s="32" t="n">
        <v>16500</v>
      </c>
      <c r="T13" s="32" t="n">
        <v>16500</v>
      </c>
      <c r="U13" s="32" t="n">
        <v>16500</v>
      </c>
      <c r="V13" s="32" t="n">
        <v>0</v>
      </c>
      <c r="W13" s="32" t="n">
        <v>0</v>
      </c>
      <c r="X13" s="32" t="n">
        <v>0</v>
      </c>
      <c r="Y13" s="32" t="n">
        <v>16500</v>
      </c>
      <c r="Z13" s="32" t="n">
        <v>16500</v>
      </c>
      <c r="AA13" s="13" t="n">
        <f aca="false">IFERROR(AVERAGEIF(D13:F13,"&lt;&gt;0"),"")</f>
        <v>16500</v>
      </c>
      <c r="AB13" s="13" t="n">
        <f aca="false">IFERROR(AVERAGEIF(G13:K13,"&lt;&gt;0"),"")</f>
        <v>16500</v>
      </c>
      <c r="AC13" s="13" t="n">
        <f aca="false">IFERROR(AVERAGEIF(L13:P13,"&lt;&gt;0"),"")</f>
        <v>16500</v>
      </c>
      <c r="AD13" s="13" t="n">
        <f aca="false">IFERROR(AVERAGEIF(Q13:U13,"&lt;&gt;0"),"")</f>
        <v>16500</v>
      </c>
      <c r="AE13" s="13" t="n">
        <f aca="false">IFERROR(AVERAGEIF(V13:Z13,"&lt;&gt;0"),"")</f>
        <v>16500</v>
      </c>
      <c r="AF13" s="13" t="n">
        <f aca="false">IFERROR(AVERAGEIF(D13:Z13,"&lt;&gt;0"),"")</f>
        <v>16500</v>
      </c>
    </row>
    <row r="14" customFormat="false" ht="15" hidden="false" customHeight="false" outlineLevel="0" collapsed="false">
      <c r="A14" s="3" t="n">
        <v>10</v>
      </c>
      <c r="B14" s="3" t="s">
        <v>413</v>
      </c>
      <c r="C14" s="3" t="s">
        <v>471</v>
      </c>
      <c r="D14" s="32" t="n">
        <v>0</v>
      </c>
      <c r="E14" s="32" t="n">
        <v>15750</v>
      </c>
      <c r="F14" s="32" t="n">
        <v>15750</v>
      </c>
      <c r="G14" s="32" t="n">
        <v>15750</v>
      </c>
      <c r="H14" s="32" t="n">
        <v>15750</v>
      </c>
      <c r="I14" s="32" t="n">
        <v>15750</v>
      </c>
      <c r="J14" s="32" t="n">
        <v>15750</v>
      </c>
      <c r="K14" s="32" t="n">
        <v>15750</v>
      </c>
      <c r="L14" s="32" t="n">
        <v>15750</v>
      </c>
      <c r="M14" s="32" t="n">
        <v>15750</v>
      </c>
      <c r="N14" s="32" t="n">
        <v>15750</v>
      </c>
      <c r="O14" s="32" t="n">
        <v>15750</v>
      </c>
      <c r="P14" s="32" t="n">
        <v>15750</v>
      </c>
      <c r="Q14" s="32" t="n">
        <v>15750</v>
      </c>
      <c r="R14" s="32" t="n">
        <v>15750</v>
      </c>
      <c r="S14" s="32" t="n">
        <v>15750</v>
      </c>
      <c r="T14" s="32" t="n">
        <v>15750</v>
      </c>
      <c r="U14" s="32" t="n">
        <v>15750</v>
      </c>
      <c r="V14" s="32" t="n">
        <v>0</v>
      </c>
      <c r="W14" s="32" t="n">
        <v>0</v>
      </c>
      <c r="X14" s="32" t="n">
        <v>0</v>
      </c>
      <c r="Y14" s="32" t="n">
        <v>15750</v>
      </c>
      <c r="Z14" s="32" t="n">
        <v>15750</v>
      </c>
      <c r="AA14" s="13" t="n">
        <f aca="false">IFERROR(AVERAGEIF(D14:F14,"&lt;&gt;0"),"")</f>
        <v>15750</v>
      </c>
      <c r="AB14" s="13" t="n">
        <f aca="false">IFERROR(AVERAGEIF(G14:K14,"&lt;&gt;0"),"")</f>
        <v>15750</v>
      </c>
      <c r="AC14" s="13" t="n">
        <f aca="false">IFERROR(AVERAGEIF(L14:P14,"&lt;&gt;0"),"")</f>
        <v>15750</v>
      </c>
      <c r="AD14" s="13" t="n">
        <f aca="false">IFERROR(AVERAGEIF(Q14:U14,"&lt;&gt;0"),"")</f>
        <v>15750</v>
      </c>
      <c r="AE14" s="13" t="n">
        <f aca="false">IFERROR(AVERAGEIF(V14:Z14,"&lt;&gt;0"),"")</f>
        <v>15750</v>
      </c>
      <c r="AF14" s="13" t="n">
        <f aca="false">IFERROR(AVERAGEIF(D14:Z14,"&lt;&gt;0"),"")</f>
        <v>15750</v>
      </c>
    </row>
    <row r="15" customFormat="false" ht="15" hidden="false" customHeight="false" outlineLevel="0" collapsed="false">
      <c r="A15" s="3" t="n">
        <v>11</v>
      </c>
      <c r="B15" s="3" t="s">
        <v>414</v>
      </c>
      <c r="C15" s="3" t="s">
        <v>471</v>
      </c>
      <c r="D15" s="32" t="n">
        <v>0</v>
      </c>
      <c r="E15" s="32" t="n">
        <v>18000</v>
      </c>
      <c r="F15" s="32" t="n">
        <v>18000</v>
      </c>
      <c r="G15" s="32" t="n">
        <v>18000</v>
      </c>
      <c r="H15" s="32" t="n">
        <v>18000</v>
      </c>
      <c r="I15" s="32" t="n">
        <v>18000</v>
      </c>
      <c r="J15" s="32" t="n">
        <v>18000</v>
      </c>
      <c r="K15" s="32" t="n">
        <v>18000</v>
      </c>
      <c r="L15" s="32" t="n">
        <v>18000</v>
      </c>
      <c r="M15" s="32" t="n">
        <v>18000</v>
      </c>
      <c r="N15" s="32" t="n">
        <v>18000</v>
      </c>
      <c r="O15" s="32" t="n">
        <v>18000</v>
      </c>
      <c r="P15" s="32" t="n">
        <v>18000</v>
      </c>
      <c r="Q15" s="32" t="n">
        <v>18000</v>
      </c>
      <c r="R15" s="32" t="n">
        <v>18000</v>
      </c>
      <c r="S15" s="32" t="n">
        <v>18000</v>
      </c>
      <c r="T15" s="32" t="n">
        <v>18000</v>
      </c>
      <c r="U15" s="32" t="n">
        <v>18000</v>
      </c>
      <c r="V15" s="32" t="n">
        <v>0</v>
      </c>
      <c r="W15" s="32" t="n">
        <v>0</v>
      </c>
      <c r="X15" s="32" t="n">
        <v>0</v>
      </c>
      <c r="Y15" s="32" t="n">
        <v>18000</v>
      </c>
      <c r="Z15" s="32" t="n">
        <v>18000</v>
      </c>
      <c r="AA15" s="13" t="n">
        <f aca="false">IFERROR(AVERAGEIF(D15:F15,"&lt;&gt;0"),"")</f>
        <v>18000</v>
      </c>
      <c r="AB15" s="13" t="n">
        <f aca="false">IFERROR(AVERAGEIF(G15:K15,"&lt;&gt;0"),"")</f>
        <v>18000</v>
      </c>
      <c r="AC15" s="13" t="n">
        <f aca="false">IFERROR(AVERAGEIF(L15:P15,"&lt;&gt;0"),"")</f>
        <v>18000</v>
      </c>
      <c r="AD15" s="13" t="n">
        <f aca="false">IFERROR(AVERAGEIF(Q15:U15,"&lt;&gt;0"),"")</f>
        <v>18000</v>
      </c>
      <c r="AE15" s="13" t="n">
        <f aca="false">IFERROR(AVERAGEIF(V15:Z15,"&lt;&gt;0"),"")</f>
        <v>18000</v>
      </c>
      <c r="AF15" s="13" t="n">
        <f aca="false">IFERROR(AVERAGEIF(D15:Z15,"&lt;&gt;0"),"")</f>
        <v>18000</v>
      </c>
    </row>
    <row r="16" customFormat="false" ht="15" hidden="false" customHeight="false" outlineLevel="0" collapsed="false">
      <c r="A16" s="3" t="n">
        <v>12</v>
      </c>
      <c r="B16" s="3" t="s">
        <v>415</v>
      </c>
      <c r="C16" s="3" t="s">
        <v>471</v>
      </c>
      <c r="D16" s="32" t="n">
        <v>0</v>
      </c>
      <c r="E16" s="32" t="n">
        <v>15000</v>
      </c>
      <c r="F16" s="32" t="n">
        <v>15000</v>
      </c>
      <c r="G16" s="32" t="n">
        <v>15000</v>
      </c>
      <c r="H16" s="32" t="n">
        <v>15000</v>
      </c>
      <c r="I16" s="32" t="n">
        <v>15000</v>
      </c>
      <c r="J16" s="32" t="n">
        <v>15000</v>
      </c>
      <c r="K16" s="32" t="n">
        <v>15000</v>
      </c>
      <c r="L16" s="32" t="n">
        <v>15000</v>
      </c>
      <c r="M16" s="32" t="n">
        <v>15000</v>
      </c>
      <c r="N16" s="32" t="n">
        <v>15000</v>
      </c>
      <c r="O16" s="32" t="n">
        <v>15000</v>
      </c>
      <c r="P16" s="32" t="n">
        <v>15000</v>
      </c>
      <c r="Q16" s="32" t="n">
        <v>15000</v>
      </c>
      <c r="R16" s="32" t="n">
        <v>15000</v>
      </c>
      <c r="S16" s="32" t="n">
        <v>15000</v>
      </c>
      <c r="T16" s="32" t="n">
        <v>15000</v>
      </c>
      <c r="U16" s="32" t="n">
        <v>15000</v>
      </c>
      <c r="V16" s="32" t="n">
        <v>0</v>
      </c>
      <c r="W16" s="32" t="n">
        <v>0</v>
      </c>
      <c r="X16" s="32" t="n">
        <v>0</v>
      </c>
      <c r="Y16" s="32" t="n">
        <v>15000</v>
      </c>
      <c r="Z16" s="32" t="n">
        <v>15000</v>
      </c>
      <c r="AA16" s="13" t="n">
        <f aca="false">IFERROR(AVERAGEIF(D16:F16,"&lt;&gt;0"),"")</f>
        <v>15000</v>
      </c>
      <c r="AB16" s="13" t="n">
        <f aca="false">IFERROR(AVERAGEIF(G16:K16,"&lt;&gt;0"),"")</f>
        <v>15000</v>
      </c>
      <c r="AC16" s="13" t="n">
        <f aca="false">IFERROR(AVERAGEIF(L16:P16,"&lt;&gt;0"),"")</f>
        <v>15000</v>
      </c>
      <c r="AD16" s="13" t="n">
        <f aca="false">IFERROR(AVERAGEIF(Q16:U16,"&lt;&gt;0"),"")</f>
        <v>15000</v>
      </c>
      <c r="AE16" s="13" t="n">
        <f aca="false">IFERROR(AVERAGEIF(V16:Z16,"&lt;&gt;0"),"")</f>
        <v>15000</v>
      </c>
      <c r="AF16" s="13" t="n">
        <f aca="false">IFERROR(AVERAGEIF(D16:Z16,"&lt;&gt;0"),"")</f>
        <v>15000</v>
      </c>
    </row>
    <row r="17" customFormat="false" ht="15" hidden="false" customHeight="false" outlineLevel="0" collapsed="false">
      <c r="A17" s="3" t="n">
        <v>13</v>
      </c>
      <c r="B17" s="3" t="s">
        <v>410</v>
      </c>
      <c r="C17" s="3" t="s">
        <v>471</v>
      </c>
      <c r="D17" s="32" t="n">
        <v>0</v>
      </c>
      <c r="E17" s="32" t="n">
        <v>9500</v>
      </c>
      <c r="F17" s="32" t="n">
        <v>9500</v>
      </c>
      <c r="G17" s="32" t="n">
        <v>9500</v>
      </c>
      <c r="H17" s="32" t="n">
        <v>9500</v>
      </c>
      <c r="I17" s="32" t="n">
        <v>9500</v>
      </c>
      <c r="J17" s="32" t="n">
        <v>9500</v>
      </c>
      <c r="K17" s="32" t="n">
        <v>9000</v>
      </c>
      <c r="L17" s="32" t="n">
        <v>9000</v>
      </c>
      <c r="M17" s="32" t="n">
        <v>9000</v>
      </c>
      <c r="N17" s="32" t="n">
        <v>9000</v>
      </c>
      <c r="O17" s="32" t="n">
        <v>9000</v>
      </c>
      <c r="P17" s="32" t="n">
        <v>9000</v>
      </c>
      <c r="Q17" s="32" t="n">
        <v>9000</v>
      </c>
      <c r="R17" s="32" t="n">
        <v>9000</v>
      </c>
      <c r="S17" s="32" t="n">
        <v>9000</v>
      </c>
      <c r="T17" s="32" t="n">
        <v>9000</v>
      </c>
      <c r="U17" s="32" t="n">
        <v>9000</v>
      </c>
      <c r="V17" s="32" t="n">
        <v>0</v>
      </c>
      <c r="W17" s="32" t="n">
        <v>0</v>
      </c>
      <c r="X17" s="32" t="n">
        <v>0</v>
      </c>
      <c r="Y17" s="32" t="n">
        <v>9000</v>
      </c>
      <c r="Z17" s="32" t="n">
        <v>9000</v>
      </c>
      <c r="AA17" s="13" t="n">
        <f aca="false">IFERROR(AVERAGEIF(D17:F17,"&lt;&gt;0"),"")</f>
        <v>9500</v>
      </c>
      <c r="AB17" s="13" t="n">
        <f aca="false">IFERROR(AVERAGEIF(G17:K17,"&lt;&gt;0"),"")</f>
        <v>9400</v>
      </c>
      <c r="AC17" s="13" t="n">
        <f aca="false">IFERROR(AVERAGEIF(L17:P17,"&lt;&gt;0"),"")</f>
        <v>9000</v>
      </c>
      <c r="AD17" s="13" t="n">
        <f aca="false">IFERROR(AVERAGEIF(Q17:U17,"&lt;&gt;0"),"")</f>
        <v>9000</v>
      </c>
      <c r="AE17" s="13" t="n">
        <f aca="false">IFERROR(AVERAGEIF(V17:Z17,"&lt;&gt;0"),"")</f>
        <v>9000</v>
      </c>
      <c r="AF17" s="13" t="n">
        <f aca="false">IFERROR(AVERAGEIF(D17:Z17,"&lt;&gt;0"),"")</f>
        <v>9157.89473684211</v>
      </c>
    </row>
    <row r="18" customFormat="false" ht="15" hidden="false" customHeight="false" outlineLevel="0" collapsed="false">
      <c r="A18" s="3" t="n">
        <v>14</v>
      </c>
      <c r="B18" s="3" t="s">
        <v>412</v>
      </c>
      <c r="C18" s="3" t="s">
        <v>471</v>
      </c>
      <c r="D18" s="32" t="n">
        <v>0</v>
      </c>
      <c r="E18" s="32" t="n">
        <v>33000</v>
      </c>
      <c r="F18" s="32" t="n">
        <v>33000</v>
      </c>
      <c r="G18" s="32" t="n">
        <v>30000</v>
      </c>
      <c r="H18" s="32" t="n">
        <v>30000</v>
      </c>
      <c r="I18" s="32" t="n">
        <v>30000</v>
      </c>
      <c r="J18" s="32" t="n">
        <v>30000</v>
      </c>
      <c r="K18" s="32" t="n">
        <v>29000</v>
      </c>
      <c r="L18" s="32" t="n">
        <v>29000</v>
      </c>
      <c r="M18" s="32" t="n">
        <v>29000</v>
      </c>
      <c r="N18" s="32" t="n">
        <v>29000</v>
      </c>
      <c r="O18" s="32" t="n">
        <v>29000</v>
      </c>
      <c r="P18" s="32" t="n">
        <v>29000</v>
      </c>
      <c r="Q18" s="32" t="n">
        <v>29000</v>
      </c>
      <c r="R18" s="32" t="n">
        <v>29000</v>
      </c>
      <c r="S18" s="32" t="n">
        <v>29000</v>
      </c>
      <c r="T18" s="32" t="n">
        <v>29000</v>
      </c>
      <c r="U18" s="32" t="n">
        <v>29000</v>
      </c>
      <c r="V18" s="32" t="n">
        <v>0</v>
      </c>
      <c r="W18" s="32" t="n">
        <v>0</v>
      </c>
      <c r="X18" s="32" t="n">
        <v>0</v>
      </c>
      <c r="Y18" s="32" t="n">
        <v>29000</v>
      </c>
      <c r="Z18" s="32" t="n">
        <v>29000</v>
      </c>
      <c r="AA18" s="13" t="n">
        <f aca="false">IFERROR(AVERAGEIF(D18:F18,"&lt;&gt;0"),"")</f>
        <v>33000</v>
      </c>
      <c r="AB18" s="13" t="n">
        <f aca="false">IFERROR(AVERAGEIF(G18:K18,"&lt;&gt;0"),"")</f>
        <v>29800</v>
      </c>
      <c r="AC18" s="13" t="n">
        <f aca="false">IFERROR(AVERAGEIF(L18:P18,"&lt;&gt;0"),"")</f>
        <v>29000</v>
      </c>
      <c r="AD18" s="13" t="n">
        <f aca="false">IFERROR(AVERAGEIF(Q18:U18,"&lt;&gt;0"),"")</f>
        <v>29000</v>
      </c>
      <c r="AE18" s="13" t="n">
        <f aca="false">IFERROR(AVERAGEIF(V18:Z18,"&lt;&gt;0"),"")</f>
        <v>29000</v>
      </c>
      <c r="AF18" s="13" t="n">
        <f aca="false">IFERROR(AVERAGEIF(D18:Z18,"&lt;&gt;0"),"")</f>
        <v>29631.5789473684</v>
      </c>
    </row>
    <row r="19" customFormat="false" ht="15" hidden="false" customHeight="false" outlineLevel="0" collapsed="false">
      <c r="A19" s="3" t="n">
        <v>15</v>
      </c>
      <c r="B19" s="3" t="s">
        <v>419</v>
      </c>
      <c r="C19" s="3" t="s">
        <v>471</v>
      </c>
      <c r="D19" s="32" t="n">
        <v>0</v>
      </c>
      <c r="E19" s="32" t="n">
        <v>27000</v>
      </c>
      <c r="F19" s="32" t="n">
        <v>27000</v>
      </c>
      <c r="G19" s="32" t="n">
        <v>27000</v>
      </c>
      <c r="H19" s="32" t="n">
        <v>27000</v>
      </c>
      <c r="I19" s="32" t="n">
        <v>28000</v>
      </c>
      <c r="J19" s="32" t="n">
        <v>28000</v>
      </c>
      <c r="K19" s="32" t="n">
        <v>24500</v>
      </c>
      <c r="L19" s="32" t="n">
        <v>24500</v>
      </c>
      <c r="M19" s="32" t="n">
        <v>24500</v>
      </c>
      <c r="N19" s="32" t="n">
        <v>23000</v>
      </c>
      <c r="O19" s="32" t="n">
        <v>23000</v>
      </c>
      <c r="P19" s="32" t="n">
        <v>23000</v>
      </c>
      <c r="Q19" s="32" t="n">
        <v>24500</v>
      </c>
      <c r="R19" s="32" t="n">
        <v>24500</v>
      </c>
      <c r="S19" s="32" t="n">
        <v>24500</v>
      </c>
      <c r="T19" s="32" t="n">
        <v>24500</v>
      </c>
      <c r="U19" s="32" t="n">
        <v>24500</v>
      </c>
      <c r="V19" s="32" t="n">
        <v>0</v>
      </c>
      <c r="W19" s="32" t="n">
        <v>0</v>
      </c>
      <c r="X19" s="32" t="n">
        <v>0</v>
      </c>
      <c r="Y19" s="32" t="n">
        <v>24500</v>
      </c>
      <c r="Z19" s="32" t="n">
        <v>24500</v>
      </c>
      <c r="AA19" s="13" t="n">
        <f aca="false">IFERROR(AVERAGEIF(D19:F19,"&lt;&gt;0"),"")</f>
        <v>27000</v>
      </c>
      <c r="AB19" s="13" t="n">
        <f aca="false">IFERROR(AVERAGEIF(G19:K19,"&lt;&gt;0"),"")</f>
        <v>26900</v>
      </c>
      <c r="AC19" s="13" t="n">
        <f aca="false">IFERROR(AVERAGEIF(L19:P19,"&lt;&gt;0"),"")</f>
        <v>23600</v>
      </c>
      <c r="AD19" s="13" t="n">
        <f aca="false">IFERROR(AVERAGEIF(Q19:U19,"&lt;&gt;0"),"")</f>
        <v>24500</v>
      </c>
      <c r="AE19" s="13" t="n">
        <f aca="false">IFERROR(AVERAGEIF(V19:Z19,"&lt;&gt;0"),"")</f>
        <v>24500</v>
      </c>
      <c r="AF19" s="13" t="n">
        <f aca="false">IFERROR(AVERAGEIF(D19:Z19,"&lt;&gt;0"),"")</f>
        <v>25157.8947368421</v>
      </c>
    </row>
    <row r="20" customFormat="false" ht="15" hidden="false" customHeight="false" outlineLevel="0" collapsed="false">
      <c r="A20" s="3" t="n">
        <v>16</v>
      </c>
      <c r="B20" s="3" t="s">
        <v>430</v>
      </c>
      <c r="C20" s="3" t="s">
        <v>471</v>
      </c>
      <c r="D20" s="32" t="n">
        <v>0</v>
      </c>
      <c r="E20" s="32" t="n">
        <v>103000</v>
      </c>
      <c r="F20" s="32" t="n">
        <v>103000</v>
      </c>
      <c r="G20" s="32" t="n">
        <v>103000</v>
      </c>
      <c r="H20" s="32" t="n">
        <v>103000</v>
      </c>
      <c r="I20" s="32" t="n">
        <v>103000</v>
      </c>
      <c r="J20" s="32" t="n">
        <v>103000</v>
      </c>
      <c r="K20" s="32" t="n">
        <v>103000</v>
      </c>
      <c r="L20" s="32" t="n">
        <v>103000</v>
      </c>
      <c r="M20" s="32" t="n">
        <v>103000</v>
      </c>
      <c r="N20" s="32" t="n">
        <v>103000</v>
      </c>
      <c r="O20" s="32" t="n">
        <v>103000</v>
      </c>
      <c r="P20" s="32" t="n">
        <v>103000</v>
      </c>
      <c r="Q20" s="32" t="n">
        <v>103000</v>
      </c>
      <c r="R20" s="32" t="n">
        <v>103000</v>
      </c>
      <c r="S20" s="32" t="n">
        <v>103000</v>
      </c>
      <c r="T20" s="32" t="n">
        <v>103000</v>
      </c>
      <c r="U20" s="32" t="n">
        <v>103000</v>
      </c>
      <c r="V20" s="32" t="n">
        <v>0</v>
      </c>
      <c r="W20" s="32" t="n">
        <v>0</v>
      </c>
      <c r="X20" s="32" t="n">
        <v>0</v>
      </c>
      <c r="Y20" s="32" t="n">
        <v>103000</v>
      </c>
      <c r="Z20" s="32" t="n">
        <v>103000</v>
      </c>
      <c r="AA20" s="13" t="n">
        <f aca="false">IFERROR(AVERAGEIF(D20:F20,"&lt;&gt;0"),"")</f>
        <v>103000</v>
      </c>
      <c r="AB20" s="13" t="n">
        <f aca="false">IFERROR(AVERAGEIF(G20:K20,"&lt;&gt;0"),"")</f>
        <v>103000</v>
      </c>
      <c r="AC20" s="13" t="n">
        <f aca="false">IFERROR(AVERAGEIF(L20:P20,"&lt;&gt;0"),"")</f>
        <v>103000</v>
      </c>
      <c r="AD20" s="13" t="n">
        <f aca="false">IFERROR(AVERAGEIF(Q20:U20,"&lt;&gt;0"),"")</f>
        <v>103000</v>
      </c>
      <c r="AE20" s="13" t="n">
        <f aca="false">IFERROR(AVERAGEIF(V20:Z20,"&lt;&gt;0"),"")</f>
        <v>103000</v>
      </c>
      <c r="AF20" s="13" t="n">
        <f aca="false">IFERROR(AVERAGEIF(D20:Z20,"&lt;&gt;0"),"")</f>
        <v>103000</v>
      </c>
    </row>
    <row r="21" customFormat="false" ht="15" hidden="false" customHeight="false" outlineLevel="0" collapsed="false">
      <c r="A21" s="3" t="n">
        <v>17</v>
      </c>
      <c r="B21" s="3" t="s">
        <v>431</v>
      </c>
      <c r="C21" s="3" t="s">
        <v>471</v>
      </c>
      <c r="D21" s="32" t="n">
        <v>0</v>
      </c>
      <c r="E21" s="32" t="n">
        <v>70000</v>
      </c>
      <c r="F21" s="32" t="n">
        <v>70000</v>
      </c>
      <c r="G21" s="32" t="n">
        <v>60000</v>
      </c>
      <c r="H21" s="32" t="n">
        <v>60000</v>
      </c>
      <c r="I21" s="32" t="n">
        <v>60000</v>
      </c>
      <c r="J21" s="32" t="n">
        <v>60000</v>
      </c>
      <c r="K21" s="32" t="n">
        <v>60000</v>
      </c>
      <c r="L21" s="32" t="n">
        <v>60000</v>
      </c>
      <c r="M21" s="32" t="n">
        <v>60000</v>
      </c>
      <c r="N21" s="32" t="n">
        <v>60000</v>
      </c>
      <c r="O21" s="32" t="n">
        <v>60000</v>
      </c>
      <c r="P21" s="32" t="n">
        <v>60000</v>
      </c>
      <c r="Q21" s="32" t="n">
        <v>60000</v>
      </c>
      <c r="R21" s="32" t="n">
        <v>60000</v>
      </c>
      <c r="S21" s="32" t="n">
        <v>60000</v>
      </c>
      <c r="T21" s="32" t="n">
        <v>60000</v>
      </c>
      <c r="U21" s="32" t="n">
        <v>60000</v>
      </c>
      <c r="V21" s="32" t="n">
        <v>0</v>
      </c>
      <c r="W21" s="32" t="n">
        <v>0</v>
      </c>
      <c r="X21" s="32" t="n">
        <v>0</v>
      </c>
      <c r="Y21" s="32" t="n">
        <v>60000</v>
      </c>
      <c r="Z21" s="32" t="n">
        <v>60000</v>
      </c>
      <c r="AA21" s="13" t="n">
        <f aca="false">IFERROR(AVERAGEIF(D21:F21,"&lt;&gt;0"),"")</f>
        <v>70000</v>
      </c>
      <c r="AB21" s="13" t="n">
        <f aca="false">IFERROR(AVERAGEIF(G21:K21,"&lt;&gt;0"),"")</f>
        <v>60000</v>
      </c>
      <c r="AC21" s="13" t="n">
        <f aca="false">IFERROR(AVERAGEIF(L21:P21,"&lt;&gt;0"),"")</f>
        <v>60000</v>
      </c>
      <c r="AD21" s="13" t="n">
        <f aca="false">IFERROR(AVERAGEIF(Q21:U21,"&lt;&gt;0"),"")</f>
        <v>60000</v>
      </c>
      <c r="AE21" s="13" t="n">
        <f aca="false">IFERROR(AVERAGEIF(V21:Z21,"&lt;&gt;0"),"")</f>
        <v>60000</v>
      </c>
      <c r="AF21" s="13" t="n">
        <f aca="false">IFERROR(AVERAGEIF(D21:Z21,"&lt;&gt;0"),"")</f>
        <v>61052.6315789474</v>
      </c>
    </row>
    <row r="22" customFormat="false" ht="15" hidden="false" customHeight="false" outlineLevel="0" collapsed="false">
      <c r="A22" s="3" t="n">
        <v>18</v>
      </c>
      <c r="B22" s="3" t="s">
        <v>432</v>
      </c>
      <c r="C22" s="3" t="s">
        <v>471</v>
      </c>
      <c r="D22" s="32" t="n">
        <v>0</v>
      </c>
      <c r="E22" s="32" t="n">
        <v>80000</v>
      </c>
      <c r="F22" s="32" t="n">
        <v>80000</v>
      </c>
      <c r="G22" s="32" t="n">
        <v>70000</v>
      </c>
      <c r="H22" s="32" t="n">
        <v>70000</v>
      </c>
      <c r="I22" s="32" t="n">
        <v>70000</v>
      </c>
      <c r="J22" s="32" t="n">
        <v>70000</v>
      </c>
      <c r="K22" s="32" t="n">
        <v>70000</v>
      </c>
      <c r="L22" s="32" t="n">
        <v>70000</v>
      </c>
      <c r="M22" s="32" t="n">
        <v>70000</v>
      </c>
      <c r="N22" s="32" t="n">
        <v>70000</v>
      </c>
      <c r="O22" s="32" t="n">
        <v>70000</v>
      </c>
      <c r="P22" s="32" t="n">
        <v>70000</v>
      </c>
      <c r="Q22" s="32" t="n">
        <v>70000</v>
      </c>
      <c r="R22" s="32" t="n">
        <v>70000</v>
      </c>
      <c r="S22" s="32" t="n">
        <v>70000</v>
      </c>
      <c r="T22" s="32" t="n">
        <v>70000</v>
      </c>
      <c r="U22" s="32" t="n">
        <v>70000</v>
      </c>
      <c r="V22" s="32" t="n">
        <v>0</v>
      </c>
      <c r="W22" s="32" t="n">
        <v>0</v>
      </c>
      <c r="X22" s="32" t="n">
        <v>0</v>
      </c>
      <c r="Y22" s="32" t="n">
        <v>70000</v>
      </c>
      <c r="Z22" s="32" t="n">
        <v>70000</v>
      </c>
      <c r="AA22" s="13" t="n">
        <f aca="false">IFERROR(AVERAGEIF(D22:F22,"&lt;&gt;0"),"")</f>
        <v>80000</v>
      </c>
      <c r="AB22" s="13" t="n">
        <f aca="false">IFERROR(AVERAGEIF(G22:K22,"&lt;&gt;0"),"")</f>
        <v>70000</v>
      </c>
      <c r="AC22" s="13" t="n">
        <f aca="false">IFERROR(AVERAGEIF(L22:P22,"&lt;&gt;0"),"")</f>
        <v>70000</v>
      </c>
      <c r="AD22" s="13" t="n">
        <f aca="false">IFERROR(AVERAGEIF(Q22:U22,"&lt;&gt;0"),"")</f>
        <v>70000</v>
      </c>
      <c r="AE22" s="13" t="n">
        <f aca="false">IFERROR(AVERAGEIF(V22:Z22,"&lt;&gt;0"),"")</f>
        <v>70000</v>
      </c>
      <c r="AF22" s="13" t="n">
        <f aca="false">IFERROR(AVERAGEIF(D22:Z22,"&lt;&gt;0"),"")</f>
        <v>71052.6315789474</v>
      </c>
    </row>
    <row r="23" customFormat="false" ht="15" hidden="false" customHeight="false" outlineLevel="0" collapsed="false">
      <c r="A23" s="3" t="n">
        <v>19</v>
      </c>
      <c r="B23" s="3" t="s">
        <v>473</v>
      </c>
      <c r="C23" s="3" t="s">
        <v>471</v>
      </c>
      <c r="D23" s="32" t="n">
        <v>0</v>
      </c>
      <c r="E23" s="32" t="n">
        <v>32000</v>
      </c>
      <c r="F23" s="32" t="n">
        <v>32000</v>
      </c>
      <c r="G23" s="32" t="n">
        <v>30000</v>
      </c>
      <c r="H23" s="32" t="n">
        <v>30000</v>
      </c>
      <c r="I23" s="32" t="n">
        <v>30000</v>
      </c>
      <c r="J23" s="32" t="n">
        <v>30000</v>
      </c>
      <c r="K23" s="32" t="n">
        <v>30000</v>
      </c>
      <c r="L23" s="32" t="n">
        <v>30000</v>
      </c>
      <c r="M23" s="32" t="n">
        <v>30000</v>
      </c>
      <c r="N23" s="32" t="n">
        <v>30000</v>
      </c>
      <c r="O23" s="32" t="n">
        <v>30000</v>
      </c>
      <c r="P23" s="32" t="n">
        <v>30000</v>
      </c>
      <c r="Q23" s="32" t="n">
        <v>30000</v>
      </c>
      <c r="R23" s="32" t="n">
        <v>30000</v>
      </c>
      <c r="S23" s="32" t="n">
        <v>30000</v>
      </c>
      <c r="T23" s="32" t="n">
        <v>30000</v>
      </c>
      <c r="U23" s="32" t="n">
        <v>30000</v>
      </c>
      <c r="V23" s="32" t="n">
        <v>0</v>
      </c>
      <c r="W23" s="32" t="n">
        <v>0</v>
      </c>
      <c r="X23" s="32" t="n">
        <v>0</v>
      </c>
      <c r="Y23" s="32" t="n">
        <v>30000</v>
      </c>
      <c r="Z23" s="32" t="n">
        <v>30000</v>
      </c>
      <c r="AA23" s="13" t="n">
        <f aca="false">IFERROR(AVERAGEIF(D23:F23,"&lt;&gt;0"),"")</f>
        <v>32000</v>
      </c>
      <c r="AB23" s="13" t="n">
        <f aca="false">IFERROR(AVERAGEIF(G23:K23,"&lt;&gt;0"),"")</f>
        <v>30000</v>
      </c>
      <c r="AC23" s="13" t="n">
        <f aca="false">IFERROR(AVERAGEIF(L23:P23,"&lt;&gt;0"),"")</f>
        <v>30000</v>
      </c>
      <c r="AD23" s="13" t="n">
        <f aca="false">IFERROR(AVERAGEIF(Q23:U23,"&lt;&gt;0"),"")</f>
        <v>30000</v>
      </c>
      <c r="AE23" s="13" t="n">
        <f aca="false">IFERROR(AVERAGEIF(V23:Z23,"&lt;&gt;0"),"")</f>
        <v>30000</v>
      </c>
      <c r="AF23" s="13" t="n">
        <f aca="false">IFERROR(AVERAGEIF(D23:Z23,"&lt;&gt;0"),"")</f>
        <v>30210.5263157895</v>
      </c>
    </row>
    <row r="24" customFormat="false" ht="15" hidden="false" customHeight="false" outlineLevel="0" collapsed="false">
      <c r="A24" s="3" t="n">
        <v>20</v>
      </c>
      <c r="B24" s="3" t="s">
        <v>421</v>
      </c>
      <c r="C24" s="3" t="s">
        <v>471</v>
      </c>
      <c r="D24" s="32" t="n">
        <v>0</v>
      </c>
      <c r="E24" s="32" t="n">
        <v>35000</v>
      </c>
      <c r="F24" s="32" t="n">
        <v>35000</v>
      </c>
      <c r="G24" s="32" t="n">
        <v>32000</v>
      </c>
      <c r="H24" s="32" t="n">
        <v>32000</v>
      </c>
      <c r="I24" s="32" t="n">
        <v>32000</v>
      </c>
      <c r="J24" s="32" t="n">
        <v>32000</v>
      </c>
      <c r="K24" s="32" t="n">
        <v>35000</v>
      </c>
      <c r="L24" s="32" t="n">
        <v>35000</v>
      </c>
      <c r="M24" s="32" t="n">
        <v>35000</v>
      </c>
      <c r="N24" s="32" t="n">
        <v>35000</v>
      </c>
      <c r="O24" s="32" t="n">
        <v>35000</v>
      </c>
      <c r="P24" s="32" t="n">
        <v>35000</v>
      </c>
      <c r="Q24" s="32" t="n">
        <v>35000</v>
      </c>
      <c r="R24" s="32" t="n">
        <v>35000</v>
      </c>
      <c r="S24" s="32" t="n">
        <v>35000</v>
      </c>
      <c r="T24" s="32" t="n">
        <v>35000</v>
      </c>
      <c r="U24" s="32" t="n">
        <v>35000</v>
      </c>
      <c r="V24" s="32" t="n">
        <v>0</v>
      </c>
      <c r="W24" s="32" t="n">
        <v>0</v>
      </c>
      <c r="X24" s="32" t="n">
        <v>0</v>
      </c>
      <c r="Y24" s="32" t="n">
        <v>35000</v>
      </c>
      <c r="Z24" s="32" t="n">
        <v>35000</v>
      </c>
      <c r="AA24" s="13" t="n">
        <f aca="false">IFERROR(AVERAGEIF(D24:F24,"&lt;&gt;0"),"")</f>
        <v>35000</v>
      </c>
      <c r="AB24" s="13" t="n">
        <f aca="false">IFERROR(AVERAGEIF(G24:K24,"&lt;&gt;0"),"")</f>
        <v>32600</v>
      </c>
      <c r="AC24" s="13" t="n">
        <f aca="false">IFERROR(AVERAGEIF(L24:P24,"&lt;&gt;0"),"")</f>
        <v>35000</v>
      </c>
      <c r="AD24" s="13" t="n">
        <f aca="false">IFERROR(AVERAGEIF(Q24:U24,"&lt;&gt;0"),"")</f>
        <v>35000</v>
      </c>
      <c r="AE24" s="13" t="n">
        <f aca="false">IFERROR(AVERAGEIF(V24:Z24,"&lt;&gt;0"),"")</f>
        <v>35000</v>
      </c>
      <c r="AF24" s="13" t="n">
        <f aca="false">IFERROR(AVERAGEIF(D24:Z24,"&lt;&gt;0"),"")</f>
        <v>34368.4210526316</v>
      </c>
    </row>
    <row r="25" customFormat="false" ht="15" hidden="false" customHeight="false" outlineLevel="0" collapsed="false">
      <c r="A25" s="3" t="n">
        <v>21</v>
      </c>
      <c r="B25" s="3" t="s">
        <v>474</v>
      </c>
      <c r="C25" s="3" t="s">
        <v>471</v>
      </c>
      <c r="D25" s="32" t="n">
        <v>0</v>
      </c>
      <c r="E25" s="32" t="n">
        <v>75000</v>
      </c>
      <c r="F25" s="32" t="n">
        <v>75000</v>
      </c>
      <c r="G25" s="32" t="n">
        <v>70000</v>
      </c>
      <c r="H25" s="32" t="n">
        <v>70000</v>
      </c>
      <c r="I25" s="32" t="n">
        <v>70000</v>
      </c>
      <c r="J25" s="32" t="n">
        <v>70000</v>
      </c>
      <c r="K25" s="32" t="n">
        <v>75000</v>
      </c>
      <c r="L25" s="32" t="n">
        <v>75000</v>
      </c>
      <c r="M25" s="32" t="n">
        <v>75000</v>
      </c>
      <c r="N25" s="32" t="n">
        <v>75000</v>
      </c>
      <c r="O25" s="32" t="n">
        <v>75000</v>
      </c>
      <c r="P25" s="32" t="n">
        <v>75000</v>
      </c>
      <c r="Q25" s="32" t="n">
        <v>75000</v>
      </c>
      <c r="R25" s="32" t="n">
        <v>75000</v>
      </c>
      <c r="S25" s="32" t="n">
        <v>75000</v>
      </c>
      <c r="T25" s="32" t="n">
        <v>75000</v>
      </c>
      <c r="U25" s="32" t="n">
        <v>75000</v>
      </c>
      <c r="V25" s="32" t="n">
        <v>0</v>
      </c>
      <c r="W25" s="32" t="n">
        <v>0</v>
      </c>
      <c r="X25" s="32" t="n">
        <v>0</v>
      </c>
      <c r="Y25" s="32" t="n">
        <v>75000</v>
      </c>
      <c r="Z25" s="32" t="n">
        <v>75000</v>
      </c>
      <c r="AA25" s="13" t="n">
        <f aca="false">IFERROR(AVERAGEIF(D25:F25,"&lt;&gt;0"),"")</f>
        <v>75000</v>
      </c>
      <c r="AB25" s="13" t="n">
        <f aca="false">IFERROR(AVERAGEIF(G25:K25,"&lt;&gt;0"),"")</f>
        <v>71000</v>
      </c>
      <c r="AC25" s="13" t="n">
        <f aca="false">IFERROR(AVERAGEIF(L25:P25,"&lt;&gt;0"),"")</f>
        <v>75000</v>
      </c>
      <c r="AD25" s="13" t="n">
        <f aca="false">IFERROR(AVERAGEIF(Q25:U25,"&lt;&gt;0"),"")</f>
        <v>75000</v>
      </c>
      <c r="AE25" s="13" t="n">
        <f aca="false">IFERROR(AVERAGEIF(V25:Z25,"&lt;&gt;0"),"")</f>
        <v>75000</v>
      </c>
      <c r="AF25" s="13" t="n">
        <f aca="false">IFERROR(AVERAGEIF(D25:Z25,"&lt;&gt;0"),"")</f>
        <v>73947.3684210526</v>
      </c>
    </row>
    <row r="26" customFormat="false" ht="15" hidden="false" customHeight="false" outlineLevel="0" collapsed="false">
      <c r="A26" s="3" t="n">
        <v>22</v>
      </c>
      <c r="B26" s="3" t="s">
        <v>426</v>
      </c>
      <c r="C26" s="3" t="s">
        <v>471</v>
      </c>
      <c r="D26" s="32" t="n">
        <v>0</v>
      </c>
      <c r="E26" s="32" t="n">
        <v>2800</v>
      </c>
      <c r="F26" s="32" t="n">
        <v>2800</v>
      </c>
      <c r="G26" s="32" t="n">
        <v>2800</v>
      </c>
      <c r="H26" s="32" t="n">
        <v>2800</v>
      </c>
      <c r="I26" s="32" t="n">
        <v>2800</v>
      </c>
      <c r="J26" s="32" t="n">
        <v>2800</v>
      </c>
      <c r="K26" s="32" t="n">
        <v>2800</v>
      </c>
      <c r="L26" s="32" t="n">
        <v>2800</v>
      </c>
      <c r="M26" s="32" t="n">
        <v>2800</v>
      </c>
      <c r="N26" s="32" t="n">
        <v>2800</v>
      </c>
      <c r="O26" s="32" t="n">
        <v>2800</v>
      </c>
      <c r="P26" s="32" t="n">
        <v>2800</v>
      </c>
      <c r="Q26" s="32" t="n">
        <v>2800</v>
      </c>
      <c r="R26" s="32" t="n">
        <v>2800</v>
      </c>
      <c r="S26" s="32" t="n">
        <v>2800</v>
      </c>
      <c r="T26" s="32" t="n">
        <v>2800</v>
      </c>
      <c r="U26" s="32" t="n">
        <v>2800</v>
      </c>
      <c r="V26" s="32" t="n">
        <v>0</v>
      </c>
      <c r="W26" s="32" t="n">
        <v>0</v>
      </c>
      <c r="X26" s="32" t="n">
        <v>0</v>
      </c>
      <c r="Y26" s="32" t="n">
        <v>2800</v>
      </c>
      <c r="Z26" s="32" t="n">
        <v>2800</v>
      </c>
      <c r="AA26" s="13" t="n">
        <f aca="false">IFERROR(AVERAGEIF(D26:F26,"&lt;&gt;0"),"")</f>
        <v>2800</v>
      </c>
      <c r="AB26" s="13" t="n">
        <f aca="false">IFERROR(AVERAGEIF(G26:K26,"&lt;&gt;0"),"")</f>
        <v>2800</v>
      </c>
      <c r="AC26" s="13" t="n">
        <f aca="false">IFERROR(AVERAGEIF(L26:P26,"&lt;&gt;0"),"")</f>
        <v>2800</v>
      </c>
      <c r="AD26" s="13" t="n">
        <f aca="false">IFERROR(AVERAGEIF(Q26:U26,"&lt;&gt;0"),"")</f>
        <v>2800</v>
      </c>
      <c r="AE26" s="13" t="n">
        <f aca="false">IFERROR(AVERAGEIF(V26:Z26,"&lt;&gt;0"),"")</f>
        <v>2800</v>
      </c>
      <c r="AF26" s="13" t="n">
        <f aca="false">IFERROR(AVERAGEIF(D26:Z26,"&lt;&gt;0"),"")</f>
        <v>2800</v>
      </c>
    </row>
    <row r="27" customFormat="false" ht="15" hidden="false" customHeight="false" outlineLevel="0" collapsed="false">
      <c r="A27" s="3" t="n">
        <v>23</v>
      </c>
      <c r="B27" s="3" t="s">
        <v>424</v>
      </c>
      <c r="C27" s="3" t="s">
        <v>471</v>
      </c>
      <c r="D27" s="32" t="n">
        <v>0</v>
      </c>
      <c r="E27" s="32" t="n">
        <v>34000</v>
      </c>
      <c r="F27" s="32" t="n">
        <v>34000</v>
      </c>
      <c r="G27" s="32" t="n">
        <v>34000</v>
      </c>
      <c r="H27" s="32" t="n">
        <v>34000</v>
      </c>
      <c r="I27" s="32" t="n">
        <v>34000</v>
      </c>
      <c r="J27" s="32" t="n">
        <v>34000</v>
      </c>
      <c r="K27" s="32" t="n">
        <v>34000</v>
      </c>
      <c r="L27" s="32" t="n">
        <v>34000</v>
      </c>
      <c r="M27" s="32" t="n">
        <v>34000</v>
      </c>
      <c r="N27" s="32" t="n">
        <v>34000</v>
      </c>
      <c r="O27" s="32" t="n">
        <v>34000</v>
      </c>
      <c r="P27" s="32" t="n">
        <v>34000</v>
      </c>
      <c r="Q27" s="32" t="n">
        <v>34000</v>
      </c>
      <c r="R27" s="32" t="n">
        <v>34000</v>
      </c>
      <c r="S27" s="32" t="n">
        <v>34000</v>
      </c>
      <c r="T27" s="32" t="n">
        <v>34000</v>
      </c>
      <c r="U27" s="32" t="n">
        <v>34000</v>
      </c>
      <c r="V27" s="32" t="n">
        <v>0</v>
      </c>
      <c r="W27" s="32" t="n">
        <v>0</v>
      </c>
      <c r="X27" s="32" t="n">
        <v>0</v>
      </c>
      <c r="Y27" s="32" t="n">
        <v>34000</v>
      </c>
      <c r="Z27" s="32" t="n">
        <v>34000</v>
      </c>
      <c r="AA27" s="13" t="n">
        <f aca="false">IFERROR(AVERAGEIF(D27:F27,"&lt;&gt;0"),"")</f>
        <v>34000</v>
      </c>
      <c r="AB27" s="13" t="n">
        <f aca="false">IFERROR(AVERAGEIF(G27:K27,"&lt;&gt;0"),"")</f>
        <v>34000</v>
      </c>
      <c r="AC27" s="13" t="n">
        <f aca="false">IFERROR(AVERAGEIF(L27:P27,"&lt;&gt;0"),"")</f>
        <v>34000</v>
      </c>
      <c r="AD27" s="13" t="n">
        <f aca="false">IFERROR(AVERAGEIF(Q27:U27,"&lt;&gt;0"),"")</f>
        <v>34000</v>
      </c>
      <c r="AE27" s="13" t="n">
        <f aca="false">IFERROR(AVERAGEIF(V27:Z27,"&lt;&gt;0"),"")</f>
        <v>34000</v>
      </c>
      <c r="AF27" s="13" t="n">
        <f aca="false">IFERROR(AVERAGEIF(D27:Z27,"&lt;&gt;0"),"")</f>
        <v>34000</v>
      </c>
    </row>
    <row r="28" customFormat="false" ht="15" hidden="false" customHeight="false" outlineLevel="0" collapsed="false">
      <c r="A28" s="3" t="n">
        <v>24</v>
      </c>
      <c r="B28" s="3" t="s">
        <v>425</v>
      </c>
      <c r="C28" s="3" t="s">
        <v>471</v>
      </c>
      <c r="D28" s="32" t="n">
        <v>0</v>
      </c>
      <c r="E28" s="32" t="n">
        <v>38000</v>
      </c>
      <c r="F28" s="32" t="n">
        <v>38000</v>
      </c>
      <c r="G28" s="32" t="n">
        <v>38000</v>
      </c>
      <c r="H28" s="32" t="n">
        <v>38000</v>
      </c>
      <c r="I28" s="32" t="n">
        <v>38000</v>
      </c>
      <c r="J28" s="32" t="n">
        <v>38000</v>
      </c>
      <c r="K28" s="32" t="n">
        <v>38000</v>
      </c>
      <c r="L28" s="32" t="n">
        <v>38000</v>
      </c>
      <c r="M28" s="32" t="n">
        <v>38000</v>
      </c>
      <c r="N28" s="32" t="n">
        <v>38000</v>
      </c>
      <c r="O28" s="32" t="n">
        <v>38000</v>
      </c>
      <c r="P28" s="32" t="n">
        <v>38000</v>
      </c>
      <c r="Q28" s="32" t="n">
        <v>38000</v>
      </c>
      <c r="R28" s="32" t="n">
        <v>38000</v>
      </c>
      <c r="S28" s="32" t="n">
        <v>38000</v>
      </c>
      <c r="T28" s="32" t="n">
        <v>38000</v>
      </c>
      <c r="U28" s="32" t="n">
        <v>38000</v>
      </c>
      <c r="V28" s="32" t="n">
        <v>0</v>
      </c>
      <c r="W28" s="32" t="n">
        <v>0</v>
      </c>
      <c r="X28" s="32" t="n">
        <v>0</v>
      </c>
      <c r="Y28" s="32" t="n">
        <v>38000</v>
      </c>
      <c r="Z28" s="32" t="n">
        <v>38000</v>
      </c>
      <c r="AA28" s="13" t="n">
        <f aca="false">IFERROR(AVERAGEIF(D28:F28,"&lt;&gt;0"),"")</f>
        <v>38000</v>
      </c>
      <c r="AB28" s="13" t="n">
        <f aca="false">IFERROR(AVERAGEIF(G28:K28,"&lt;&gt;0"),"")</f>
        <v>38000</v>
      </c>
      <c r="AC28" s="13" t="n">
        <f aca="false">IFERROR(AVERAGEIF(L28:P28,"&lt;&gt;0"),"")</f>
        <v>38000</v>
      </c>
      <c r="AD28" s="13" t="n">
        <f aca="false">IFERROR(AVERAGEIF(Q28:U28,"&lt;&gt;0"),"")</f>
        <v>38000</v>
      </c>
      <c r="AE28" s="13" t="n">
        <f aca="false">IFERROR(AVERAGEIF(V28:Z28,"&lt;&gt;0"),"")</f>
        <v>38000</v>
      </c>
      <c r="AF28" s="13" t="n">
        <f aca="false">IFERROR(AVERAGEIF(D28:Z28,"&lt;&gt;0"),"")</f>
        <v>38000</v>
      </c>
    </row>
    <row r="29" customFormat="false" ht="15" hidden="false" customHeight="false" outlineLevel="0" collapsed="false">
      <c r="A29" s="3" t="n">
        <v>25</v>
      </c>
      <c r="B29" s="3" t="s">
        <v>475</v>
      </c>
      <c r="C29" s="3" t="s">
        <v>471</v>
      </c>
      <c r="D29" s="32" t="n">
        <v>0</v>
      </c>
      <c r="E29" s="32" t="n">
        <v>27000</v>
      </c>
      <c r="F29" s="32" t="n">
        <v>27000</v>
      </c>
      <c r="G29" s="32" t="n">
        <v>25000</v>
      </c>
      <c r="H29" s="32" t="n">
        <v>25000</v>
      </c>
      <c r="I29" s="32" t="n">
        <v>25000</v>
      </c>
      <c r="J29" s="32" t="n">
        <v>25000</v>
      </c>
      <c r="K29" s="32" t="n">
        <v>25000</v>
      </c>
      <c r="L29" s="32" t="n">
        <v>25000</v>
      </c>
      <c r="M29" s="32" t="n">
        <v>25000</v>
      </c>
      <c r="N29" s="32" t="n">
        <v>25000</v>
      </c>
      <c r="O29" s="32" t="n">
        <v>25000</v>
      </c>
      <c r="P29" s="32" t="n">
        <v>25000</v>
      </c>
      <c r="Q29" s="32" t="n">
        <v>25000</v>
      </c>
      <c r="R29" s="32" t="n">
        <v>25000</v>
      </c>
      <c r="S29" s="32" t="n">
        <v>25000</v>
      </c>
      <c r="T29" s="32" t="n">
        <v>25000</v>
      </c>
      <c r="U29" s="32" t="n">
        <v>25000</v>
      </c>
      <c r="V29" s="32" t="n">
        <v>0</v>
      </c>
      <c r="W29" s="32" t="n">
        <v>0</v>
      </c>
      <c r="X29" s="32" t="n">
        <v>0</v>
      </c>
      <c r="Y29" s="32" t="n">
        <v>25000</v>
      </c>
      <c r="Z29" s="32" t="n">
        <v>25000</v>
      </c>
      <c r="AA29" s="13" t="n">
        <f aca="false">IFERROR(AVERAGEIF(D29:F29,"&lt;&gt;0"),"")</f>
        <v>27000</v>
      </c>
      <c r="AB29" s="13" t="n">
        <f aca="false">IFERROR(AVERAGEIF(G29:K29,"&lt;&gt;0"),"")</f>
        <v>25000</v>
      </c>
      <c r="AC29" s="13" t="n">
        <f aca="false">IFERROR(AVERAGEIF(L29:P29,"&lt;&gt;0"),"")</f>
        <v>25000</v>
      </c>
      <c r="AD29" s="13" t="n">
        <f aca="false">IFERROR(AVERAGEIF(Q29:U29,"&lt;&gt;0"),"")</f>
        <v>25000</v>
      </c>
      <c r="AE29" s="13" t="n">
        <f aca="false">IFERROR(AVERAGEIF(V29:Z29,"&lt;&gt;0"),"")</f>
        <v>25000</v>
      </c>
      <c r="AF29" s="13" t="n">
        <f aca="false">IFERROR(AVERAGEIF(D29:Z29,"&lt;&gt;0"),"")</f>
        <v>25210.5263157895</v>
      </c>
    </row>
    <row r="30" customFormat="false" ht="15" hidden="false" customHeight="false" outlineLevel="0" collapsed="false">
      <c r="A30" s="3" t="n">
        <v>26</v>
      </c>
      <c r="B30" s="3" t="s">
        <v>476</v>
      </c>
      <c r="C30" s="3" t="s">
        <v>471</v>
      </c>
      <c r="D30" s="32" t="n">
        <v>0</v>
      </c>
      <c r="E30" s="32" t="n">
        <v>8000</v>
      </c>
      <c r="F30" s="32" t="n">
        <v>8000</v>
      </c>
      <c r="G30" s="32" t="n">
        <v>8000</v>
      </c>
      <c r="H30" s="32" t="n">
        <v>8000</v>
      </c>
      <c r="I30" s="32" t="n">
        <v>8000</v>
      </c>
      <c r="J30" s="32" t="n">
        <v>8000</v>
      </c>
      <c r="K30" s="32" t="n">
        <v>8000</v>
      </c>
      <c r="L30" s="32" t="n">
        <v>8000</v>
      </c>
      <c r="M30" s="32" t="n">
        <v>8000</v>
      </c>
      <c r="N30" s="32" t="n">
        <v>8000</v>
      </c>
      <c r="O30" s="32" t="n">
        <v>8000</v>
      </c>
      <c r="P30" s="32" t="n">
        <v>8000</v>
      </c>
      <c r="Q30" s="32" t="n">
        <v>8000</v>
      </c>
      <c r="R30" s="32" t="n">
        <v>8000</v>
      </c>
      <c r="S30" s="32" t="n">
        <v>8000</v>
      </c>
      <c r="T30" s="32" t="n">
        <v>8000</v>
      </c>
      <c r="U30" s="32" t="n">
        <v>8000</v>
      </c>
      <c r="V30" s="32" t="n">
        <v>0</v>
      </c>
      <c r="W30" s="32" t="n">
        <v>0</v>
      </c>
      <c r="X30" s="32" t="n">
        <v>0</v>
      </c>
      <c r="Y30" s="32" t="n">
        <v>8000</v>
      </c>
      <c r="Z30" s="32" t="n">
        <v>8000</v>
      </c>
      <c r="AA30" s="13" t="n">
        <f aca="false">IFERROR(AVERAGEIF(D30:F30,"&lt;&gt;0"),"")</f>
        <v>8000</v>
      </c>
      <c r="AB30" s="13" t="n">
        <f aca="false">IFERROR(AVERAGEIF(G30:K30,"&lt;&gt;0"),"")</f>
        <v>8000</v>
      </c>
      <c r="AC30" s="13" t="n">
        <f aca="false">IFERROR(AVERAGEIF(L30:P30,"&lt;&gt;0"),"")</f>
        <v>8000</v>
      </c>
      <c r="AD30" s="13" t="n">
        <f aca="false">IFERROR(AVERAGEIF(Q30:U30,"&lt;&gt;0"),"")</f>
        <v>8000</v>
      </c>
      <c r="AE30" s="13" t="n">
        <f aca="false">IFERROR(AVERAGEIF(V30:Z30,"&lt;&gt;0"),"")</f>
        <v>8000</v>
      </c>
      <c r="AF30" s="13" t="n">
        <f aca="false">IFERROR(AVERAGEIF(D30:Z30,"&lt;&gt;0"),"")</f>
        <v>8000</v>
      </c>
    </row>
    <row r="31" customFormat="false" ht="15" hidden="false" customHeight="false" outlineLevel="0" collapsed="false">
      <c r="A31" s="3" t="n">
        <v>27</v>
      </c>
      <c r="B31" s="3" t="s">
        <v>427</v>
      </c>
      <c r="C31" s="3" t="s">
        <v>471</v>
      </c>
      <c r="D31" s="32" t="n">
        <v>0</v>
      </c>
      <c r="E31" s="32" t="n">
        <v>10500</v>
      </c>
      <c r="F31" s="32" t="n">
        <v>10500</v>
      </c>
      <c r="G31" s="32" t="n">
        <v>10500</v>
      </c>
      <c r="H31" s="32" t="n">
        <v>10500</v>
      </c>
      <c r="I31" s="32" t="n">
        <v>10500</v>
      </c>
      <c r="J31" s="32" t="n">
        <v>10500</v>
      </c>
      <c r="K31" s="32" t="n">
        <v>10500</v>
      </c>
      <c r="L31" s="32" t="n">
        <v>10500</v>
      </c>
      <c r="M31" s="32" t="n">
        <v>10500</v>
      </c>
      <c r="N31" s="32" t="n">
        <v>10500</v>
      </c>
      <c r="O31" s="32" t="n">
        <v>10500</v>
      </c>
      <c r="P31" s="32" t="n">
        <v>10500</v>
      </c>
      <c r="Q31" s="32" t="n">
        <v>10500</v>
      </c>
      <c r="R31" s="32" t="n">
        <v>10500</v>
      </c>
      <c r="S31" s="32" t="n">
        <v>10500</v>
      </c>
      <c r="T31" s="32" t="n">
        <v>10500</v>
      </c>
      <c r="U31" s="32" t="n">
        <v>10500</v>
      </c>
      <c r="V31" s="32" t="n">
        <v>0</v>
      </c>
      <c r="W31" s="32" t="n">
        <v>0</v>
      </c>
      <c r="X31" s="32" t="n">
        <v>0</v>
      </c>
      <c r="Y31" s="32" t="n">
        <v>10500</v>
      </c>
      <c r="Z31" s="32" t="n">
        <v>10500</v>
      </c>
      <c r="AA31" s="13" t="n">
        <f aca="false">IFERROR(AVERAGEIF(D31:F31,"&lt;&gt;0"),"")</f>
        <v>10500</v>
      </c>
      <c r="AB31" s="13" t="n">
        <f aca="false">IFERROR(AVERAGEIF(G31:K31,"&lt;&gt;0"),"")</f>
        <v>10500</v>
      </c>
      <c r="AC31" s="13" t="n">
        <f aca="false">IFERROR(AVERAGEIF(L31:P31,"&lt;&gt;0"),"")</f>
        <v>10500</v>
      </c>
      <c r="AD31" s="13" t="n">
        <f aca="false">IFERROR(AVERAGEIF(Q31:U31,"&lt;&gt;0"),"")</f>
        <v>10500</v>
      </c>
      <c r="AE31" s="13" t="n">
        <f aca="false">IFERROR(AVERAGEIF(V31:Z31,"&lt;&gt;0"),"")</f>
        <v>10500</v>
      </c>
      <c r="AF31" s="13" t="n">
        <f aca="false">IFERROR(AVERAGEIF(D31:Z31,"&lt;&gt;0"),"")</f>
        <v>10500</v>
      </c>
    </row>
    <row r="32" customFormat="false" ht="15" hidden="false" customHeight="false" outlineLevel="0" collapsed="false">
      <c r="A32" s="3" t="n">
        <v>28</v>
      </c>
      <c r="B32" s="3" t="s">
        <v>422</v>
      </c>
      <c r="C32" s="3" t="s">
        <v>471</v>
      </c>
      <c r="D32" s="32" t="n">
        <v>0</v>
      </c>
      <c r="E32" s="32" t="n">
        <v>42000</v>
      </c>
      <c r="F32" s="32" t="n">
        <v>42000</v>
      </c>
      <c r="G32" s="32" t="n">
        <v>42000</v>
      </c>
      <c r="H32" s="32" t="n">
        <v>42000</v>
      </c>
      <c r="I32" s="32" t="n">
        <v>42000</v>
      </c>
      <c r="J32" s="32" t="n">
        <v>42000</v>
      </c>
      <c r="K32" s="32" t="n">
        <v>42000</v>
      </c>
      <c r="L32" s="32" t="n">
        <v>42000</v>
      </c>
      <c r="M32" s="32" t="n">
        <v>42000</v>
      </c>
      <c r="N32" s="32" t="n">
        <v>42000</v>
      </c>
      <c r="O32" s="32" t="n">
        <v>42000</v>
      </c>
      <c r="P32" s="32" t="n">
        <v>42000</v>
      </c>
      <c r="Q32" s="32" t="n">
        <v>42000</v>
      </c>
      <c r="R32" s="32" t="n">
        <v>42000</v>
      </c>
      <c r="S32" s="32" t="n">
        <v>42000</v>
      </c>
      <c r="T32" s="32" t="n">
        <v>42000</v>
      </c>
      <c r="U32" s="32" t="n">
        <v>42000</v>
      </c>
      <c r="V32" s="32" t="n">
        <v>0</v>
      </c>
      <c r="W32" s="32" t="n">
        <v>0</v>
      </c>
      <c r="X32" s="32" t="n">
        <v>0</v>
      </c>
      <c r="Y32" s="32" t="n">
        <v>42000</v>
      </c>
      <c r="Z32" s="32" t="n">
        <v>42000</v>
      </c>
      <c r="AA32" s="13" t="n">
        <f aca="false">IFERROR(AVERAGEIF(D32:F32,"&lt;&gt;0"),"")</f>
        <v>42000</v>
      </c>
      <c r="AB32" s="13" t="n">
        <f aca="false">IFERROR(AVERAGEIF(G32:K32,"&lt;&gt;0"),"")</f>
        <v>42000</v>
      </c>
      <c r="AC32" s="13" t="n">
        <f aca="false">IFERROR(AVERAGEIF(L32:P32,"&lt;&gt;0"),"")</f>
        <v>42000</v>
      </c>
      <c r="AD32" s="13" t="n">
        <f aca="false">IFERROR(AVERAGEIF(Q32:U32,"&lt;&gt;0"),"")</f>
        <v>42000</v>
      </c>
      <c r="AE32" s="13" t="n">
        <f aca="false">IFERROR(AVERAGEIF(V32:Z32,"&lt;&gt;0"),"")</f>
        <v>42000</v>
      </c>
      <c r="AF32" s="13" t="n">
        <f aca="false">IFERROR(AVERAGEIF(D32:Z32,"&lt;&gt;0"),"")</f>
        <v>42000</v>
      </c>
    </row>
    <row r="33" customFormat="false" ht="15" hidden="false" customHeight="false" outlineLevel="0" collapsed="false">
      <c r="A33" s="3" t="n">
        <v>29</v>
      </c>
      <c r="B33" s="3" t="s">
        <v>433</v>
      </c>
      <c r="C33" s="3" t="s">
        <v>471</v>
      </c>
      <c r="D33" s="32" t="n">
        <v>0</v>
      </c>
      <c r="E33" s="32" t="n">
        <v>9000</v>
      </c>
      <c r="F33" s="32" t="n">
        <v>9000</v>
      </c>
      <c r="G33" s="32" t="n">
        <v>9000</v>
      </c>
      <c r="H33" s="32" t="n">
        <v>9000</v>
      </c>
      <c r="I33" s="32" t="n">
        <v>9000</v>
      </c>
      <c r="J33" s="32" t="n">
        <v>9000</v>
      </c>
      <c r="K33" s="32" t="n">
        <v>9000</v>
      </c>
      <c r="L33" s="32" t="n">
        <v>9000</v>
      </c>
      <c r="M33" s="32" t="n">
        <v>9000</v>
      </c>
      <c r="N33" s="32" t="n">
        <v>9000</v>
      </c>
      <c r="O33" s="32" t="n">
        <v>9000</v>
      </c>
      <c r="P33" s="32" t="n">
        <v>9000</v>
      </c>
      <c r="Q33" s="32" t="n">
        <v>9000</v>
      </c>
      <c r="R33" s="32" t="n">
        <v>9000</v>
      </c>
      <c r="S33" s="32" t="n">
        <v>9000</v>
      </c>
      <c r="T33" s="32" t="n">
        <v>9000</v>
      </c>
      <c r="U33" s="32" t="n">
        <v>9000</v>
      </c>
      <c r="V33" s="32" t="n">
        <v>0</v>
      </c>
      <c r="W33" s="32" t="n">
        <v>0</v>
      </c>
      <c r="X33" s="32" t="n">
        <v>0</v>
      </c>
      <c r="Y33" s="32" t="n">
        <v>9000</v>
      </c>
      <c r="Z33" s="32" t="n">
        <v>9000</v>
      </c>
      <c r="AA33" s="13" t="n">
        <f aca="false">IFERROR(AVERAGEIF(D33:F33,"&lt;&gt;0"),"")</f>
        <v>9000</v>
      </c>
      <c r="AB33" s="13" t="n">
        <f aca="false">IFERROR(AVERAGEIF(G33:K33,"&lt;&gt;0"),"")</f>
        <v>9000</v>
      </c>
      <c r="AC33" s="13" t="n">
        <f aca="false">IFERROR(AVERAGEIF(L33:P33,"&lt;&gt;0"),"")</f>
        <v>9000</v>
      </c>
      <c r="AD33" s="13" t="n">
        <f aca="false">IFERROR(AVERAGEIF(Q33:U33,"&lt;&gt;0"),"")</f>
        <v>9000</v>
      </c>
      <c r="AE33" s="13" t="n">
        <f aca="false">IFERROR(AVERAGEIF(V33:Z33,"&lt;&gt;0"),"")</f>
        <v>9000</v>
      </c>
      <c r="AF33" s="13" t="n">
        <f aca="false">IFERROR(AVERAGEIF(D33:Z33,"&lt;&gt;0"),"")</f>
        <v>9000</v>
      </c>
    </row>
    <row r="34" customFormat="false" ht="15" hidden="false" customHeight="false" outlineLevel="0" collapsed="false">
      <c r="A34" s="3" t="n">
        <v>30</v>
      </c>
      <c r="B34" s="3" t="s">
        <v>411</v>
      </c>
      <c r="C34" s="3" t="s">
        <v>471</v>
      </c>
      <c r="D34" s="32" t="n">
        <v>0</v>
      </c>
      <c r="E34" s="32" t="n">
        <v>4750</v>
      </c>
      <c r="F34" s="32" t="n">
        <v>4750</v>
      </c>
      <c r="G34" s="32" t="n">
        <v>4750</v>
      </c>
      <c r="H34" s="32" t="n">
        <v>4750</v>
      </c>
      <c r="I34" s="32" t="n">
        <v>4750</v>
      </c>
      <c r="J34" s="32" t="n">
        <v>4750</v>
      </c>
      <c r="K34" s="32" t="n">
        <v>4750</v>
      </c>
      <c r="L34" s="32" t="n">
        <v>4750</v>
      </c>
      <c r="M34" s="32" t="n">
        <v>4750</v>
      </c>
      <c r="N34" s="32" t="n">
        <v>4750</v>
      </c>
      <c r="O34" s="32" t="n">
        <v>4750</v>
      </c>
      <c r="P34" s="32" t="n">
        <v>4750</v>
      </c>
      <c r="Q34" s="32" t="n">
        <v>4750</v>
      </c>
      <c r="R34" s="32" t="n">
        <v>4750</v>
      </c>
      <c r="S34" s="32" t="n">
        <v>4750</v>
      </c>
      <c r="T34" s="32" t="n">
        <v>4750</v>
      </c>
      <c r="U34" s="32" t="n">
        <v>4750</v>
      </c>
      <c r="V34" s="32" t="n">
        <v>0</v>
      </c>
      <c r="W34" s="32" t="n">
        <v>0</v>
      </c>
      <c r="X34" s="32" t="n">
        <v>0</v>
      </c>
      <c r="Y34" s="32" t="n">
        <v>4750</v>
      </c>
      <c r="Z34" s="32" t="n">
        <v>4750</v>
      </c>
      <c r="AA34" s="13" t="n">
        <f aca="false">IFERROR(AVERAGEIF(D34:F34,"&lt;&gt;0"),"")</f>
        <v>4750</v>
      </c>
      <c r="AB34" s="13" t="n">
        <f aca="false">IFERROR(AVERAGEIF(G34:K34,"&lt;&gt;0"),"")</f>
        <v>4750</v>
      </c>
      <c r="AC34" s="13" t="n">
        <f aca="false">IFERROR(AVERAGEIF(L34:P34,"&lt;&gt;0"),"")</f>
        <v>4750</v>
      </c>
      <c r="AD34" s="13" t="n">
        <f aca="false">IFERROR(AVERAGEIF(Q34:U34,"&lt;&gt;0"),"")</f>
        <v>4750</v>
      </c>
      <c r="AE34" s="13" t="n">
        <f aca="false">IFERROR(AVERAGEIF(V34:Z34,"&lt;&gt;0"),"")</f>
        <v>4750</v>
      </c>
      <c r="AF34" s="13" t="n">
        <f aca="false">IFERROR(AVERAGEIF(D34:Z34,"&lt;&gt;0"),"")</f>
        <v>4750</v>
      </c>
    </row>
    <row r="35" customFormat="false" ht="15" hidden="false" customHeight="false" outlineLevel="0" collapsed="false">
      <c r="A35" s="3" t="n">
        <v>31</v>
      </c>
      <c r="B35" s="3" t="s">
        <v>416</v>
      </c>
      <c r="C35" s="3" t="s">
        <v>471</v>
      </c>
      <c r="D35" s="32" t="n">
        <v>0</v>
      </c>
      <c r="E35" s="32" t="n">
        <v>68000</v>
      </c>
      <c r="F35" s="32" t="n">
        <v>68000</v>
      </c>
      <c r="G35" s="32" t="n">
        <v>68000</v>
      </c>
      <c r="H35" s="32" t="n">
        <v>68000</v>
      </c>
      <c r="I35" s="32" t="n">
        <v>68000</v>
      </c>
      <c r="J35" s="32" t="n">
        <v>68000</v>
      </c>
      <c r="K35" s="32" t="n">
        <v>68000</v>
      </c>
      <c r="L35" s="32" t="n">
        <v>68000</v>
      </c>
      <c r="M35" s="32" t="n">
        <v>68000</v>
      </c>
      <c r="N35" s="32" t="n">
        <v>68000</v>
      </c>
      <c r="O35" s="32" t="n">
        <v>68000</v>
      </c>
      <c r="P35" s="32" t="n">
        <v>68000</v>
      </c>
      <c r="Q35" s="32" t="n">
        <v>68000</v>
      </c>
      <c r="R35" s="32" t="n">
        <v>68000</v>
      </c>
      <c r="S35" s="32" t="n">
        <v>68000</v>
      </c>
      <c r="T35" s="32" t="n">
        <v>68000</v>
      </c>
      <c r="U35" s="32" t="n">
        <v>68000</v>
      </c>
      <c r="V35" s="32" t="n">
        <v>0</v>
      </c>
      <c r="W35" s="32" t="n">
        <v>0</v>
      </c>
      <c r="X35" s="32" t="n">
        <v>0</v>
      </c>
      <c r="Y35" s="32" t="n">
        <v>68000</v>
      </c>
      <c r="Z35" s="32" t="n">
        <v>68000</v>
      </c>
      <c r="AA35" s="13" t="n">
        <f aca="false">IFERROR(AVERAGEIF(D35:F35,"&lt;&gt;0"),"")</f>
        <v>68000</v>
      </c>
      <c r="AB35" s="13" t="n">
        <f aca="false">IFERROR(AVERAGEIF(G35:K35,"&lt;&gt;0"),"")</f>
        <v>68000</v>
      </c>
      <c r="AC35" s="13" t="n">
        <f aca="false">IFERROR(AVERAGEIF(L35:P35,"&lt;&gt;0"),"")</f>
        <v>68000</v>
      </c>
      <c r="AD35" s="13" t="n">
        <f aca="false">IFERROR(AVERAGEIF(Q35:U35,"&lt;&gt;0"),"")</f>
        <v>68000</v>
      </c>
      <c r="AE35" s="13" t="n">
        <f aca="false">IFERROR(AVERAGEIF(V35:Z35,"&lt;&gt;0"),"")</f>
        <v>68000</v>
      </c>
      <c r="AF35" s="13" t="n">
        <f aca="false">IFERROR(AVERAGEIF(D35:Z35,"&lt;&gt;0"),"")</f>
        <v>68000</v>
      </c>
    </row>
    <row r="36" customFormat="false" ht="15" hidden="false" customHeight="false" outlineLevel="0" collapsed="false">
      <c r="A36" s="3" t="n">
        <v>32</v>
      </c>
      <c r="B36" s="3" t="s">
        <v>417</v>
      </c>
      <c r="C36" s="3" t="s">
        <v>471</v>
      </c>
      <c r="D36" s="32" t="n">
        <v>0</v>
      </c>
      <c r="E36" s="32" t="n">
        <v>13000</v>
      </c>
      <c r="F36" s="32" t="n">
        <v>13000</v>
      </c>
      <c r="G36" s="32" t="n">
        <v>13000</v>
      </c>
      <c r="H36" s="32" t="n">
        <v>13000</v>
      </c>
      <c r="I36" s="32" t="n">
        <v>13000</v>
      </c>
      <c r="J36" s="32" t="n">
        <v>13000</v>
      </c>
      <c r="K36" s="32" t="n">
        <v>13000</v>
      </c>
      <c r="L36" s="32" t="n">
        <v>13000</v>
      </c>
      <c r="M36" s="32" t="n">
        <v>13000</v>
      </c>
      <c r="N36" s="32" t="n">
        <v>13000</v>
      </c>
      <c r="O36" s="32" t="n">
        <v>13000</v>
      </c>
      <c r="P36" s="32" t="n">
        <v>13000</v>
      </c>
      <c r="Q36" s="32" t="n">
        <v>13000</v>
      </c>
      <c r="R36" s="32" t="n">
        <v>13000</v>
      </c>
      <c r="S36" s="32" t="n">
        <v>13000</v>
      </c>
      <c r="T36" s="32" t="n">
        <v>13000</v>
      </c>
      <c r="U36" s="32" t="n">
        <v>13000</v>
      </c>
      <c r="V36" s="32" t="n">
        <v>0</v>
      </c>
      <c r="W36" s="32" t="n">
        <v>0</v>
      </c>
      <c r="X36" s="32" t="n">
        <v>0</v>
      </c>
      <c r="Y36" s="32" t="n">
        <v>13000</v>
      </c>
      <c r="Z36" s="32" t="n">
        <v>13000</v>
      </c>
      <c r="AA36" s="13" t="n">
        <f aca="false">IFERROR(AVERAGEIF(D36:F36,"&lt;&gt;0"),"")</f>
        <v>13000</v>
      </c>
      <c r="AB36" s="13" t="n">
        <f aca="false">IFERROR(AVERAGEIF(G36:K36,"&lt;&gt;0"),"")</f>
        <v>13000</v>
      </c>
      <c r="AC36" s="13" t="n">
        <f aca="false">IFERROR(AVERAGEIF(L36:P36,"&lt;&gt;0"),"")</f>
        <v>13000</v>
      </c>
      <c r="AD36" s="13" t="n">
        <f aca="false">IFERROR(AVERAGEIF(Q36:U36,"&lt;&gt;0"),"")</f>
        <v>13000</v>
      </c>
      <c r="AE36" s="13" t="n">
        <f aca="false">IFERROR(AVERAGEIF(V36:Z36,"&lt;&gt;0"),"")</f>
        <v>13000</v>
      </c>
      <c r="AF36" s="13" t="n">
        <f aca="false">IFERROR(AVERAGEIF(D36:Z36,"&lt;&gt;0"),"")</f>
        <v>13000</v>
      </c>
    </row>
    <row r="37" customFormat="false" ht="15" hidden="false" customHeight="false" outlineLevel="0" collapsed="false">
      <c r="A37" s="3" t="n">
        <v>33</v>
      </c>
      <c r="B37" s="3" t="s">
        <v>434</v>
      </c>
      <c r="C37" s="3" t="s">
        <v>471</v>
      </c>
      <c r="D37" s="32" t="n">
        <v>0</v>
      </c>
      <c r="E37" s="32" t="n">
        <v>9000</v>
      </c>
      <c r="F37" s="32" t="n">
        <v>9000</v>
      </c>
      <c r="G37" s="32" t="n">
        <v>9000</v>
      </c>
      <c r="H37" s="32" t="n">
        <v>9000</v>
      </c>
      <c r="I37" s="32" t="n">
        <v>9000</v>
      </c>
      <c r="J37" s="32" t="n">
        <v>9000</v>
      </c>
      <c r="K37" s="32" t="n">
        <v>9000</v>
      </c>
      <c r="L37" s="32" t="n">
        <v>9000</v>
      </c>
      <c r="M37" s="32" t="n">
        <v>9000</v>
      </c>
      <c r="N37" s="32" t="n">
        <v>9000</v>
      </c>
      <c r="O37" s="32" t="n">
        <v>9000</v>
      </c>
      <c r="P37" s="32" t="n">
        <v>9000</v>
      </c>
      <c r="Q37" s="32" t="n">
        <v>9000</v>
      </c>
      <c r="R37" s="32" t="n">
        <v>9000</v>
      </c>
      <c r="S37" s="32" t="n">
        <v>9000</v>
      </c>
      <c r="T37" s="32" t="n">
        <v>9000</v>
      </c>
      <c r="U37" s="32" t="n">
        <v>9000</v>
      </c>
      <c r="V37" s="32" t="n">
        <v>0</v>
      </c>
      <c r="W37" s="32" t="n">
        <v>0</v>
      </c>
      <c r="X37" s="32" t="n">
        <v>0</v>
      </c>
      <c r="Y37" s="32" t="n">
        <v>9000</v>
      </c>
      <c r="Z37" s="32" t="n">
        <v>9000</v>
      </c>
      <c r="AA37" s="13" t="n">
        <f aca="false">IFERROR(AVERAGEIF(D37:F37,"&lt;&gt;0"),"")</f>
        <v>9000</v>
      </c>
      <c r="AB37" s="13" t="n">
        <f aca="false">IFERROR(AVERAGEIF(G37:K37,"&lt;&gt;0"),"")</f>
        <v>9000</v>
      </c>
      <c r="AC37" s="13" t="n">
        <f aca="false">IFERROR(AVERAGEIF(L37:P37,"&lt;&gt;0"),"")</f>
        <v>9000</v>
      </c>
      <c r="AD37" s="13" t="n">
        <f aca="false">IFERROR(AVERAGEIF(Q37:U37,"&lt;&gt;0"),"")</f>
        <v>9000</v>
      </c>
      <c r="AE37" s="13" t="n">
        <f aca="false">IFERROR(AVERAGEIF(V37:Z37,"&lt;&gt;0"),"")</f>
        <v>9000</v>
      </c>
      <c r="AF37" s="13" t="n">
        <f aca="false">IFERROR(AVERAGEIF(D37:Z37,"&lt;&gt;0"),"")</f>
        <v>9000</v>
      </c>
    </row>
    <row r="38" customFormat="false" ht="15" hidden="false" customHeight="false" outlineLevel="0" collapsed="false">
      <c r="A38" s="3" t="n">
        <v>34</v>
      </c>
      <c r="B38" s="3" t="s">
        <v>477</v>
      </c>
      <c r="C38" s="3" t="s">
        <v>471</v>
      </c>
      <c r="D38" s="32" t="n">
        <v>0</v>
      </c>
      <c r="E38" s="32" t="n">
        <v>6000</v>
      </c>
      <c r="F38" s="32" t="n">
        <v>6000</v>
      </c>
      <c r="G38" s="32" t="n">
        <v>6000</v>
      </c>
      <c r="H38" s="32" t="n">
        <v>6000</v>
      </c>
      <c r="I38" s="32" t="n">
        <v>6000</v>
      </c>
      <c r="J38" s="32" t="n">
        <v>6000</v>
      </c>
      <c r="K38" s="32" t="n">
        <v>6000</v>
      </c>
      <c r="L38" s="32" t="n">
        <v>6000</v>
      </c>
      <c r="M38" s="32" t="n">
        <v>6000</v>
      </c>
      <c r="N38" s="32" t="n">
        <v>6000</v>
      </c>
      <c r="O38" s="32" t="n">
        <v>6000</v>
      </c>
      <c r="P38" s="32" t="n">
        <v>6000</v>
      </c>
      <c r="Q38" s="32" t="n">
        <v>6000</v>
      </c>
      <c r="R38" s="32" t="n">
        <v>6000</v>
      </c>
      <c r="S38" s="32" t="n">
        <v>6000</v>
      </c>
      <c r="T38" s="32" t="n">
        <v>6000</v>
      </c>
      <c r="U38" s="32" t="n">
        <v>6000</v>
      </c>
      <c r="V38" s="32" t="n">
        <v>0</v>
      </c>
      <c r="W38" s="32" t="n">
        <v>0</v>
      </c>
      <c r="X38" s="32" t="n">
        <v>0</v>
      </c>
      <c r="Y38" s="32" t="n">
        <v>6000</v>
      </c>
      <c r="Z38" s="32" t="n">
        <v>6000</v>
      </c>
      <c r="AA38" s="13" t="n">
        <f aca="false">IFERROR(AVERAGEIF(D38:F38,"&lt;&gt;0"),"")</f>
        <v>6000</v>
      </c>
      <c r="AB38" s="13" t="n">
        <f aca="false">IFERROR(AVERAGEIF(G38:K38,"&lt;&gt;0"),"")</f>
        <v>6000</v>
      </c>
      <c r="AC38" s="13" t="n">
        <f aca="false">IFERROR(AVERAGEIF(L38:P38,"&lt;&gt;0"),"")</f>
        <v>6000</v>
      </c>
      <c r="AD38" s="13" t="n">
        <f aca="false">IFERROR(AVERAGEIF(Q38:U38,"&lt;&gt;0"),"")</f>
        <v>6000</v>
      </c>
      <c r="AE38" s="13" t="n">
        <f aca="false">IFERROR(AVERAGEIF(V38:Z38,"&lt;&gt;0"),"")</f>
        <v>6000</v>
      </c>
      <c r="AF38" s="13" t="n">
        <f aca="false">IFERROR(AVERAGEIF(D38:Z38,"&lt;&gt;0"),"")</f>
        <v>6000</v>
      </c>
    </row>
    <row r="39" customFormat="false" ht="15" hidden="false" customHeight="false" outlineLevel="0" collapsed="false">
      <c r="A39" s="3" t="n">
        <v>35</v>
      </c>
      <c r="B39" s="3" t="s">
        <v>478</v>
      </c>
      <c r="C39" s="3" t="s">
        <v>471</v>
      </c>
      <c r="D39" s="32" t="n">
        <v>0</v>
      </c>
      <c r="E39" s="32" t="n">
        <v>16000</v>
      </c>
      <c r="F39" s="32" t="n">
        <v>16000</v>
      </c>
      <c r="G39" s="32" t="n">
        <v>16000</v>
      </c>
      <c r="H39" s="32" t="n">
        <v>16000</v>
      </c>
      <c r="I39" s="32" t="n">
        <v>16000</v>
      </c>
      <c r="J39" s="32" t="n">
        <v>16000</v>
      </c>
      <c r="K39" s="32" t="n">
        <v>15000</v>
      </c>
      <c r="L39" s="32" t="n">
        <v>15000</v>
      </c>
      <c r="M39" s="32" t="n">
        <v>15000</v>
      </c>
      <c r="N39" s="32" t="n">
        <v>15000</v>
      </c>
      <c r="O39" s="32" t="n">
        <v>15000</v>
      </c>
      <c r="P39" s="32" t="n">
        <v>15000</v>
      </c>
      <c r="Q39" s="32" t="n">
        <v>15000</v>
      </c>
      <c r="R39" s="32" t="n">
        <v>15000</v>
      </c>
      <c r="S39" s="32" t="n">
        <v>15000</v>
      </c>
      <c r="T39" s="32" t="n">
        <v>15000</v>
      </c>
      <c r="U39" s="32" t="n">
        <v>15000</v>
      </c>
      <c r="V39" s="32" t="n">
        <v>0</v>
      </c>
      <c r="W39" s="32" t="n">
        <v>0</v>
      </c>
      <c r="X39" s="32" t="n">
        <v>0</v>
      </c>
      <c r="Y39" s="32" t="n">
        <v>15000</v>
      </c>
      <c r="Z39" s="32" t="n">
        <v>15000</v>
      </c>
      <c r="AA39" s="13" t="n">
        <f aca="false">IFERROR(AVERAGEIF(D39:F39,"&lt;&gt;0"),"")</f>
        <v>16000</v>
      </c>
      <c r="AB39" s="13" t="n">
        <f aca="false">IFERROR(AVERAGEIF(G39:K39,"&lt;&gt;0"),"")</f>
        <v>15800</v>
      </c>
      <c r="AC39" s="13" t="n">
        <f aca="false">IFERROR(AVERAGEIF(L39:P39,"&lt;&gt;0"),"")</f>
        <v>15000</v>
      </c>
      <c r="AD39" s="13" t="n">
        <f aca="false">IFERROR(AVERAGEIF(Q39:U39,"&lt;&gt;0"),"")</f>
        <v>15000</v>
      </c>
      <c r="AE39" s="13" t="n">
        <f aca="false">IFERROR(AVERAGEIF(V39:Z39,"&lt;&gt;0"),"")</f>
        <v>15000</v>
      </c>
      <c r="AF39" s="13" t="n">
        <f aca="false">IFERROR(AVERAGEIF(D39:Z39,"&lt;&gt;0"),"")</f>
        <v>15315.7894736842</v>
      </c>
    </row>
    <row r="40" customFormat="false" ht="15" hidden="false" customHeight="false" outlineLevel="0" collapsed="false">
      <c r="A40" s="3" t="n">
        <v>36</v>
      </c>
      <c r="B40" s="3" t="s">
        <v>479</v>
      </c>
      <c r="C40" s="3" t="s">
        <v>471</v>
      </c>
      <c r="D40" s="32" t="n">
        <v>0</v>
      </c>
      <c r="E40" s="32" t="n">
        <v>4000</v>
      </c>
      <c r="F40" s="32" t="n">
        <v>4000</v>
      </c>
      <c r="G40" s="32" t="n">
        <v>4000</v>
      </c>
      <c r="H40" s="32" t="n">
        <v>4000</v>
      </c>
      <c r="I40" s="32" t="n">
        <v>4000</v>
      </c>
      <c r="J40" s="32" t="n">
        <v>4000</v>
      </c>
      <c r="K40" s="32" t="n">
        <v>4000</v>
      </c>
      <c r="L40" s="32" t="n">
        <v>4000</v>
      </c>
      <c r="M40" s="32" t="n">
        <v>4000</v>
      </c>
      <c r="N40" s="32" t="n">
        <v>4000</v>
      </c>
      <c r="O40" s="32" t="n">
        <v>4000</v>
      </c>
      <c r="P40" s="32" t="n">
        <v>4000</v>
      </c>
      <c r="Q40" s="32" t="n">
        <v>4000</v>
      </c>
      <c r="R40" s="32" t="n">
        <v>4000</v>
      </c>
      <c r="S40" s="32" t="n">
        <v>4000</v>
      </c>
      <c r="T40" s="32" t="n">
        <v>4000</v>
      </c>
      <c r="U40" s="32" t="n">
        <v>4000</v>
      </c>
      <c r="V40" s="32" t="n">
        <v>0</v>
      </c>
      <c r="W40" s="32" t="n">
        <v>0</v>
      </c>
      <c r="X40" s="32" t="n">
        <v>0</v>
      </c>
      <c r="Y40" s="32" t="n">
        <v>4000</v>
      </c>
      <c r="Z40" s="32" t="n">
        <v>4000</v>
      </c>
      <c r="AA40" s="13" t="n">
        <f aca="false">IFERROR(AVERAGEIF(D40:F40,"&lt;&gt;0"),"")</f>
        <v>4000</v>
      </c>
      <c r="AB40" s="13" t="n">
        <f aca="false">IFERROR(AVERAGEIF(G40:K40,"&lt;&gt;0"),"")</f>
        <v>4000</v>
      </c>
      <c r="AC40" s="13" t="n">
        <f aca="false">IFERROR(AVERAGEIF(L40:P40,"&lt;&gt;0"),"")</f>
        <v>4000</v>
      </c>
      <c r="AD40" s="13" t="n">
        <f aca="false">IFERROR(AVERAGEIF(Q40:U40,"&lt;&gt;0"),"")</f>
        <v>4000</v>
      </c>
      <c r="AE40" s="13" t="n">
        <f aca="false">IFERROR(AVERAGEIF(V40:Z40,"&lt;&gt;0"),"")</f>
        <v>4000</v>
      </c>
      <c r="AF40" s="13" t="n">
        <f aca="false">IFERROR(AVERAGEIF(D40:Z40,"&lt;&gt;0"),"")</f>
        <v>4000</v>
      </c>
    </row>
    <row r="41" customFormat="false" ht="15" hidden="false" customHeight="false" outlineLevel="0" collapsed="false">
      <c r="A41" s="3" t="n">
        <v>37</v>
      </c>
      <c r="B41" s="3" t="s">
        <v>480</v>
      </c>
      <c r="C41" s="3" t="s">
        <v>471</v>
      </c>
      <c r="D41" s="32" t="n">
        <v>0</v>
      </c>
      <c r="E41" s="32" t="n">
        <v>2000</v>
      </c>
      <c r="F41" s="32" t="n">
        <v>2000</v>
      </c>
      <c r="G41" s="32" t="n">
        <v>2000</v>
      </c>
      <c r="H41" s="32" t="n">
        <v>2000</v>
      </c>
      <c r="I41" s="32" t="n">
        <v>2000</v>
      </c>
      <c r="J41" s="32" t="n">
        <v>2000</v>
      </c>
      <c r="K41" s="32" t="n">
        <v>2000</v>
      </c>
      <c r="L41" s="32" t="n">
        <v>2000</v>
      </c>
      <c r="M41" s="32" t="n">
        <v>2000</v>
      </c>
      <c r="N41" s="32" t="n">
        <v>2000</v>
      </c>
      <c r="O41" s="32" t="n">
        <v>2000</v>
      </c>
      <c r="P41" s="32" t="n">
        <v>2000</v>
      </c>
      <c r="Q41" s="32" t="n">
        <v>2000</v>
      </c>
      <c r="R41" s="32" t="n">
        <v>2000</v>
      </c>
      <c r="S41" s="32" t="n">
        <v>2000</v>
      </c>
      <c r="T41" s="32" t="n">
        <v>2000</v>
      </c>
      <c r="U41" s="32" t="n">
        <v>2000</v>
      </c>
      <c r="V41" s="32" t="n">
        <v>0</v>
      </c>
      <c r="W41" s="32" t="n">
        <v>0</v>
      </c>
      <c r="X41" s="32" t="n">
        <v>0</v>
      </c>
      <c r="Y41" s="32" t="n">
        <v>2000</v>
      </c>
      <c r="Z41" s="32" t="n">
        <v>2000</v>
      </c>
      <c r="AA41" s="13" t="n">
        <f aca="false">IFERROR(AVERAGEIF(D41:F41,"&lt;&gt;0"),"")</f>
        <v>2000</v>
      </c>
      <c r="AB41" s="13" t="n">
        <f aca="false">IFERROR(AVERAGEIF(G41:K41,"&lt;&gt;0"),"")</f>
        <v>2000</v>
      </c>
      <c r="AC41" s="13" t="n">
        <f aca="false">IFERROR(AVERAGEIF(L41:P41,"&lt;&gt;0"),"")</f>
        <v>2000</v>
      </c>
      <c r="AD41" s="13" t="n">
        <f aca="false">IFERROR(AVERAGEIF(Q41:U41,"&lt;&gt;0"),"")</f>
        <v>2000</v>
      </c>
      <c r="AE41" s="13" t="n">
        <f aca="false">IFERROR(AVERAGEIF(V41:Z41,"&lt;&gt;0"),"")</f>
        <v>2000</v>
      </c>
      <c r="AF41" s="13" t="n">
        <f aca="false">IFERROR(AVERAGEIF(D41:Z41,"&lt;&gt;0"),"")</f>
        <v>2000</v>
      </c>
    </row>
    <row r="42" customFormat="false" ht="15" hidden="false" customHeight="false" outlineLevel="0" collapsed="false">
      <c r="A42" s="3" t="n">
        <v>38</v>
      </c>
      <c r="B42" s="3" t="s">
        <v>481</v>
      </c>
      <c r="C42" s="3" t="s">
        <v>471</v>
      </c>
      <c r="D42" s="32" t="n">
        <v>0</v>
      </c>
      <c r="E42" s="32" t="n">
        <v>5000</v>
      </c>
      <c r="F42" s="32" t="n">
        <v>5000</v>
      </c>
      <c r="G42" s="32" t="n">
        <v>5000</v>
      </c>
      <c r="H42" s="32" t="n">
        <v>5000</v>
      </c>
      <c r="I42" s="32" t="n">
        <v>5000</v>
      </c>
      <c r="J42" s="32" t="n">
        <v>5000</v>
      </c>
      <c r="K42" s="32" t="n">
        <v>5000</v>
      </c>
      <c r="L42" s="32" t="n">
        <v>5000</v>
      </c>
      <c r="M42" s="32" t="n">
        <v>5000</v>
      </c>
      <c r="N42" s="32" t="n">
        <v>5000</v>
      </c>
      <c r="O42" s="32" t="n">
        <v>5000</v>
      </c>
      <c r="P42" s="32" t="n">
        <v>5000</v>
      </c>
      <c r="Q42" s="32" t="n">
        <v>5000</v>
      </c>
      <c r="R42" s="32" t="n">
        <v>5000</v>
      </c>
      <c r="S42" s="32" t="n">
        <v>5000</v>
      </c>
      <c r="T42" s="32" t="n">
        <v>5000</v>
      </c>
      <c r="U42" s="32" t="n">
        <v>5000</v>
      </c>
      <c r="V42" s="32" t="n">
        <v>0</v>
      </c>
      <c r="W42" s="32" t="n">
        <v>0</v>
      </c>
      <c r="X42" s="32" t="n">
        <v>0</v>
      </c>
      <c r="Y42" s="32" t="n">
        <v>5000</v>
      </c>
      <c r="Z42" s="32" t="n">
        <v>5000</v>
      </c>
      <c r="AA42" s="13" t="n">
        <f aca="false">IFERROR(AVERAGEIF(D42:F42,"&lt;&gt;0"),"")</f>
        <v>5000</v>
      </c>
      <c r="AB42" s="13" t="n">
        <f aca="false">IFERROR(AVERAGEIF(G42:K42,"&lt;&gt;0"),"")</f>
        <v>5000</v>
      </c>
      <c r="AC42" s="13" t="n">
        <f aca="false">IFERROR(AVERAGEIF(L42:P42,"&lt;&gt;0"),"")</f>
        <v>5000</v>
      </c>
      <c r="AD42" s="13" t="n">
        <f aca="false">IFERROR(AVERAGEIF(Q42:U42,"&lt;&gt;0"),"")</f>
        <v>5000</v>
      </c>
      <c r="AE42" s="13" t="n">
        <f aca="false">IFERROR(AVERAGEIF(V42:Z42,"&lt;&gt;0"),"")</f>
        <v>5000</v>
      </c>
      <c r="AF42" s="13" t="n">
        <f aca="false">IFERROR(AVERAGEIF(D42:Z42,"&lt;&gt;0"),"")</f>
        <v>5000</v>
      </c>
    </row>
    <row r="43" customFormat="false" ht="15" hidden="false" customHeight="false" outlineLevel="0" collapsed="false">
      <c r="A43" s="3" t="n">
        <v>39</v>
      </c>
      <c r="B43" s="3" t="s">
        <v>482</v>
      </c>
      <c r="C43" s="3" t="s">
        <v>471</v>
      </c>
      <c r="D43" s="32" t="n">
        <v>0</v>
      </c>
      <c r="E43" s="32" t="n">
        <v>7000</v>
      </c>
      <c r="F43" s="32" t="n">
        <v>7000</v>
      </c>
      <c r="G43" s="32" t="n">
        <v>7000</v>
      </c>
      <c r="H43" s="32" t="n">
        <v>7000</v>
      </c>
      <c r="I43" s="32" t="n">
        <v>7000</v>
      </c>
      <c r="J43" s="32" t="n">
        <v>7000</v>
      </c>
      <c r="K43" s="32" t="n">
        <v>7000</v>
      </c>
      <c r="L43" s="32" t="n">
        <v>7000</v>
      </c>
      <c r="M43" s="32" t="n">
        <v>7000</v>
      </c>
      <c r="N43" s="32" t="n">
        <v>7000</v>
      </c>
      <c r="O43" s="32" t="n">
        <v>7000</v>
      </c>
      <c r="P43" s="32" t="n">
        <v>7000</v>
      </c>
      <c r="Q43" s="32" t="n">
        <v>7000</v>
      </c>
      <c r="R43" s="32" t="n">
        <v>7000</v>
      </c>
      <c r="S43" s="32" t="n">
        <v>7000</v>
      </c>
      <c r="T43" s="32" t="n">
        <v>7000</v>
      </c>
      <c r="U43" s="32" t="n">
        <v>7000</v>
      </c>
      <c r="V43" s="32" t="n">
        <v>0</v>
      </c>
      <c r="W43" s="32" t="n">
        <v>0</v>
      </c>
      <c r="X43" s="32" t="n">
        <v>0</v>
      </c>
      <c r="Y43" s="32" t="n">
        <v>7000</v>
      </c>
      <c r="Z43" s="32" t="n">
        <v>7000</v>
      </c>
      <c r="AA43" s="13" t="n">
        <f aca="false">IFERROR(AVERAGEIF(D43:F43,"&lt;&gt;0"),"")</f>
        <v>7000</v>
      </c>
      <c r="AB43" s="13" t="n">
        <f aca="false">IFERROR(AVERAGEIF(G43:K43,"&lt;&gt;0"),"")</f>
        <v>7000</v>
      </c>
      <c r="AC43" s="13" t="n">
        <f aca="false">IFERROR(AVERAGEIF(L43:P43,"&lt;&gt;0"),"")</f>
        <v>7000</v>
      </c>
      <c r="AD43" s="13" t="n">
        <f aca="false">IFERROR(AVERAGEIF(Q43:U43,"&lt;&gt;0"),"")</f>
        <v>7000</v>
      </c>
      <c r="AE43" s="13" t="n">
        <f aca="false">IFERROR(AVERAGEIF(V43:Z43,"&lt;&gt;0"),"")</f>
        <v>7000</v>
      </c>
      <c r="AF43" s="13" t="n">
        <f aca="false">IFERROR(AVERAGEIF(D43:Z43,"&lt;&gt;0"),"")</f>
        <v>7000</v>
      </c>
    </row>
    <row r="44" customFormat="false" ht="15" hidden="false" customHeight="false" outlineLevel="0" collapsed="false">
      <c r="A44" s="3" t="n">
        <v>40</v>
      </c>
      <c r="B44" s="3" t="s">
        <v>483</v>
      </c>
      <c r="C44" s="3" t="s">
        <v>471</v>
      </c>
      <c r="D44" s="32" t="n">
        <v>0</v>
      </c>
      <c r="E44" s="32" t="n">
        <v>5000</v>
      </c>
      <c r="F44" s="32" t="n">
        <v>5000</v>
      </c>
      <c r="G44" s="32" t="n">
        <v>5000</v>
      </c>
      <c r="H44" s="32" t="n">
        <v>5000</v>
      </c>
      <c r="I44" s="32" t="n">
        <v>5000</v>
      </c>
      <c r="J44" s="32" t="n">
        <v>5000</v>
      </c>
      <c r="K44" s="32" t="n">
        <v>5000</v>
      </c>
      <c r="L44" s="32" t="n">
        <v>5000</v>
      </c>
      <c r="M44" s="32" t="n">
        <v>5000</v>
      </c>
      <c r="N44" s="32" t="n">
        <v>5000</v>
      </c>
      <c r="O44" s="32" t="n">
        <v>5000</v>
      </c>
      <c r="P44" s="32" t="n">
        <v>5000</v>
      </c>
      <c r="Q44" s="32" t="n">
        <v>5000</v>
      </c>
      <c r="R44" s="32" t="n">
        <v>5000</v>
      </c>
      <c r="S44" s="32" t="n">
        <v>5000</v>
      </c>
      <c r="T44" s="32" t="n">
        <v>5000</v>
      </c>
      <c r="U44" s="32" t="n">
        <v>5000</v>
      </c>
      <c r="V44" s="32" t="n">
        <v>0</v>
      </c>
      <c r="W44" s="32" t="n">
        <v>0</v>
      </c>
      <c r="X44" s="32" t="n">
        <v>0</v>
      </c>
      <c r="Y44" s="32" t="n">
        <v>5000</v>
      </c>
      <c r="Z44" s="32" t="n">
        <v>5000</v>
      </c>
      <c r="AA44" s="13" t="n">
        <f aca="false">IFERROR(AVERAGEIF(D44:F44,"&lt;&gt;0"),"")</f>
        <v>5000</v>
      </c>
      <c r="AB44" s="13" t="n">
        <f aca="false">IFERROR(AVERAGEIF(G44:K44,"&lt;&gt;0"),"")</f>
        <v>5000</v>
      </c>
      <c r="AC44" s="13" t="n">
        <f aca="false">IFERROR(AVERAGEIF(L44:P44,"&lt;&gt;0"),"")</f>
        <v>5000</v>
      </c>
      <c r="AD44" s="13" t="n">
        <f aca="false">IFERROR(AVERAGEIF(Q44:U44,"&lt;&gt;0"),"")</f>
        <v>5000</v>
      </c>
      <c r="AE44" s="13" t="n">
        <f aca="false">IFERROR(AVERAGEIF(V44:Z44,"&lt;&gt;0"),"")</f>
        <v>5000</v>
      </c>
      <c r="AF44" s="13" t="n">
        <f aca="false">IFERROR(AVERAGEIF(D44:Z44,"&lt;&gt;0"),"")</f>
        <v>5000</v>
      </c>
    </row>
    <row r="45" customFormat="false" ht="15" hidden="false" customHeight="false" outlineLevel="0" collapsed="false">
      <c r="A45" s="3" t="n">
        <v>41</v>
      </c>
      <c r="B45" s="3" t="s">
        <v>484</v>
      </c>
      <c r="C45" s="3" t="s">
        <v>471</v>
      </c>
      <c r="D45" s="32" t="n">
        <v>0</v>
      </c>
      <c r="E45" s="32" t="n">
        <v>78000</v>
      </c>
      <c r="F45" s="32" t="n">
        <v>78000</v>
      </c>
      <c r="G45" s="32" t="n">
        <v>78000</v>
      </c>
      <c r="H45" s="32" t="n">
        <v>78000</v>
      </c>
      <c r="I45" s="32" t="n">
        <v>78000</v>
      </c>
      <c r="J45" s="32" t="n">
        <v>78000</v>
      </c>
      <c r="K45" s="32" t="n">
        <v>78000</v>
      </c>
      <c r="L45" s="32" t="n">
        <v>78000</v>
      </c>
      <c r="M45" s="32" t="n">
        <v>78000</v>
      </c>
      <c r="N45" s="32" t="n">
        <v>78000</v>
      </c>
      <c r="O45" s="32" t="n">
        <v>78000</v>
      </c>
      <c r="P45" s="32" t="n">
        <v>78000</v>
      </c>
      <c r="Q45" s="32" t="n">
        <v>70000</v>
      </c>
      <c r="R45" s="32" t="n">
        <v>70000</v>
      </c>
      <c r="S45" s="32" t="n">
        <v>70000</v>
      </c>
      <c r="T45" s="32" t="n">
        <v>70000</v>
      </c>
      <c r="U45" s="32" t="n">
        <v>70000</v>
      </c>
      <c r="V45" s="32" t="n">
        <v>0</v>
      </c>
      <c r="W45" s="32" t="n">
        <v>0</v>
      </c>
      <c r="X45" s="32" t="n">
        <v>0</v>
      </c>
      <c r="Y45" s="32" t="n">
        <v>70000</v>
      </c>
      <c r="Z45" s="32" t="n">
        <v>70000</v>
      </c>
      <c r="AA45" s="13" t="n">
        <f aca="false">IFERROR(AVERAGEIF(D45:F45,"&lt;&gt;0"),"")</f>
        <v>78000</v>
      </c>
      <c r="AB45" s="13" t="n">
        <f aca="false">IFERROR(AVERAGEIF(G45:K45,"&lt;&gt;0"),"")</f>
        <v>78000</v>
      </c>
      <c r="AC45" s="13" t="n">
        <f aca="false">IFERROR(AVERAGEIF(L45:P45,"&lt;&gt;0"),"")</f>
        <v>78000</v>
      </c>
      <c r="AD45" s="13" t="n">
        <f aca="false">IFERROR(AVERAGEIF(Q45:U45,"&lt;&gt;0"),"")</f>
        <v>70000</v>
      </c>
      <c r="AE45" s="13" t="n">
        <f aca="false">IFERROR(AVERAGEIF(V45:Z45,"&lt;&gt;0"),"")</f>
        <v>70000</v>
      </c>
      <c r="AF45" s="13" t="n">
        <f aca="false">IFERROR(AVERAGEIF(D45:Z45,"&lt;&gt;0"),"")</f>
        <v>75052.6315789474</v>
      </c>
    </row>
    <row r="46" customFormat="false" ht="15" hidden="false" customHeight="false" outlineLevel="0" collapsed="false">
      <c r="A46" s="3" t="n">
        <v>42</v>
      </c>
      <c r="B46" s="3" t="s">
        <v>485</v>
      </c>
      <c r="C46" s="3" t="s">
        <v>471</v>
      </c>
      <c r="D46" s="32" t="n">
        <v>0</v>
      </c>
      <c r="E46" s="32" t="n">
        <v>40000</v>
      </c>
      <c r="F46" s="32" t="n">
        <v>40000</v>
      </c>
      <c r="G46" s="32" t="n">
        <v>40000</v>
      </c>
      <c r="H46" s="32" t="n">
        <v>40000</v>
      </c>
      <c r="I46" s="32" t="n">
        <v>40000</v>
      </c>
      <c r="J46" s="32" t="n">
        <v>40000</v>
      </c>
      <c r="K46" s="32" t="n">
        <v>40000</v>
      </c>
      <c r="L46" s="32" t="n">
        <v>40000</v>
      </c>
      <c r="M46" s="32" t="n">
        <v>40000</v>
      </c>
      <c r="N46" s="32" t="n">
        <v>40000</v>
      </c>
      <c r="O46" s="32" t="n">
        <v>40000</v>
      </c>
      <c r="P46" s="32" t="n">
        <v>40000</v>
      </c>
      <c r="Q46" s="32" t="n">
        <v>40000</v>
      </c>
      <c r="R46" s="32" t="n">
        <v>40000</v>
      </c>
      <c r="S46" s="32" t="n">
        <v>40000</v>
      </c>
      <c r="T46" s="32" t="n">
        <v>40000</v>
      </c>
      <c r="U46" s="32" t="n">
        <v>40000</v>
      </c>
      <c r="V46" s="32" t="n">
        <v>0</v>
      </c>
      <c r="W46" s="32" t="n">
        <v>0</v>
      </c>
      <c r="X46" s="32" t="n">
        <v>0</v>
      </c>
      <c r="Y46" s="32" t="n">
        <v>40000</v>
      </c>
      <c r="Z46" s="32" t="n">
        <v>40000</v>
      </c>
      <c r="AA46" s="13" t="n">
        <f aca="false">IFERROR(AVERAGEIF(D46:F46,"&lt;&gt;0"),"")</f>
        <v>40000</v>
      </c>
      <c r="AB46" s="13" t="n">
        <f aca="false">IFERROR(AVERAGEIF(G46:K46,"&lt;&gt;0"),"")</f>
        <v>40000</v>
      </c>
      <c r="AC46" s="13" t="n">
        <f aca="false">IFERROR(AVERAGEIF(L46:P46,"&lt;&gt;0"),"")</f>
        <v>40000</v>
      </c>
      <c r="AD46" s="13" t="n">
        <f aca="false">IFERROR(AVERAGEIF(Q46:U46,"&lt;&gt;0"),"")</f>
        <v>40000</v>
      </c>
      <c r="AE46" s="13" t="n">
        <f aca="false">IFERROR(AVERAGEIF(V46:Z46,"&lt;&gt;0"),"")</f>
        <v>40000</v>
      </c>
      <c r="AF46" s="13" t="n">
        <f aca="false">IFERROR(AVERAGEIF(D46:Z46,"&lt;&gt;0"),"")</f>
        <v>40000</v>
      </c>
    </row>
    <row r="47" customFormat="false" ht="15" hidden="false" customHeight="false" outlineLevel="0" collapsed="false">
      <c r="A47" s="3" t="n">
        <v>43</v>
      </c>
      <c r="B47" s="3" t="s">
        <v>486</v>
      </c>
      <c r="C47" s="3" t="s">
        <v>471</v>
      </c>
      <c r="D47" s="32" t="n">
        <v>0</v>
      </c>
      <c r="E47" s="32" t="n">
        <v>27000</v>
      </c>
      <c r="F47" s="32" t="n">
        <v>27000</v>
      </c>
      <c r="G47" s="32" t="n">
        <v>27000</v>
      </c>
      <c r="H47" s="32" t="n">
        <v>27000</v>
      </c>
      <c r="I47" s="32" t="n">
        <v>27000</v>
      </c>
      <c r="J47" s="32" t="n">
        <v>27000</v>
      </c>
      <c r="K47" s="32" t="n">
        <v>27000</v>
      </c>
      <c r="L47" s="32" t="n">
        <v>27000</v>
      </c>
      <c r="M47" s="32" t="n">
        <v>27000</v>
      </c>
      <c r="N47" s="32" t="n">
        <v>27000</v>
      </c>
      <c r="O47" s="32" t="n">
        <v>27000</v>
      </c>
      <c r="P47" s="32" t="n">
        <v>27000</v>
      </c>
      <c r="Q47" s="32" t="n">
        <v>27000</v>
      </c>
      <c r="R47" s="32" t="n">
        <v>27000</v>
      </c>
      <c r="S47" s="32" t="n">
        <v>27000</v>
      </c>
      <c r="T47" s="32" t="n">
        <v>27000</v>
      </c>
      <c r="U47" s="32" t="n">
        <v>27000</v>
      </c>
      <c r="V47" s="32" t="n">
        <v>0</v>
      </c>
      <c r="W47" s="32" t="n">
        <v>0</v>
      </c>
      <c r="X47" s="32" t="n">
        <v>0</v>
      </c>
      <c r="Y47" s="32" t="n">
        <v>27000</v>
      </c>
      <c r="Z47" s="32" t="n">
        <v>27000</v>
      </c>
      <c r="AA47" s="13" t="n">
        <f aca="false">IFERROR(AVERAGEIF(D47:F47,"&lt;&gt;0"),"")</f>
        <v>27000</v>
      </c>
      <c r="AB47" s="13" t="n">
        <f aca="false">IFERROR(AVERAGEIF(G47:K47,"&lt;&gt;0"),"")</f>
        <v>27000</v>
      </c>
      <c r="AC47" s="13" t="n">
        <f aca="false">IFERROR(AVERAGEIF(L47:P47,"&lt;&gt;0"),"")</f>
        <v>27000</v>
      </c>
      <c r="AD47" s="13" t="n">
        <f aca="false">IFERROR(AVERAGEIF(Q47:U47,"&lt;&gt;0"),"")</f>
        <v>27000</v>
      </c>
      <c r="AE47" s="13" t="n">
        <f aca="false">IFERROR(AVERAGEIF(V47:Z47,"&lt;&gt;0"),"")</f>
        <v>27000</v>
      </c>
      <c r="AF47" s="13" t="n">
        <f aca="false">IFERROR(AVERAGEIF(D47:Z47,"&lt;&gt;0"),"")</f>
        <v>27000</v>
      </c>
    </row>
    <row r="48" customFormat="false" ht="15" hidden="false" customHeight="false" outlineLevel="0" collapsed="false">
      <c r="A48" s="3" t="n">
        <v>44</v>
      </c>
      <c r="B48" s="3" t="s">
        <v>487</v>
      </c>
      <c r="C48" s="3" t="s">
        <v>471</v>
      </c>
      <c r="D48" s="32" t="n">
        <v>0</v>
      </c>
      <c r="E48" s="32" t="n">
        <v>17000</v>
      </c>
      <c r="F48" s="32" t="n">
        <v>17000</v>
      </c>
      <c r="G48" s="32" t="n">
        <v>17000</v>
      </c>
      <c r="H48" s="32" t="n">
        <v>17000</v>
      </c>
      <c r="I48" s="32" t="n">
        <v>17000</v>
      </c>
      <c r="J48" s="32" t="n">
        <v>17000</v>
      </c>
      <c r="K48" s="32" t="n">
        <v>17000</v>
      </c>
      <c r="L48" s="32" t="n">
        <v>17000</v>
      </c>
      <c r="M48" s="32" t="n">
        <v>17000</v>
      </c>
      <c r="N48" s="32" t="n">
        <v>14000</v>
      </c>
      <c r="O48" s="32" t="n">
        <v>14000</v>
      </c>
      <c r="P48" s="32" t="n">
        <v>14000</v>
      </c>
      <c r="Q48" s="32" t="n">
        <v>14000</v>
      </c>
      <c r="R48" s="32" t="n">
        <v>14000</v>
      </c>
      <c r="S48" s="32" t="n">
        <v>14000</v>
      </c>
      <c r="T48" s="32" t="n">
        <v>14000</v>
      </c>
      <c r="U48" s="32" t="n">
        <v>14000</v>
      </c>
      <c r="V48" s="32" t="n">
        <v>0</v>
      </c>
      <c r="W48" s="32" t="n">
        <v>0</v>
      </c>
      <c r="X48" s="32" t="n">
        <v>0</v>
      </c>
      <c r="Y48" s="32" t="n">
        <v>14000</v>
      </c>
      <c r="Z48" s="32" t="n">
        <v>14000</v>
      </c>
      <c r="AA48" s="13" t="n">
        <f aca="false">IFERROR(AVERAGEIF(D48:F48,"&lt;&gt;0"),"")</f>
        <v>17000</v>
      </c>
      <c r="AB48" s="13" t="n">
        <f aca="false">IFERROR(AVERAGEIF(G48:K48,"&lt;&gt;0"),"")</f>
        <v>17000</v>
      </c>
      <c r="AC48" s="13" t="n">
        <f aca="false">IFERROR(AVERAGEIF(L48:P48,"&lt;&gt;0"),"")</f>
        <v>15200</v>
      </c>
      <c r="AD48" s="13" t="n">
        <f aca="false">IFERROR(AVERAGEIF(Q48:U48,"&lt;&gt;0"),"")</f>
        <v>14000</v>
      </c>
      <c r="AE48" s="13" t="n">
        <f aca="false">IFERROR(AVERAGEIF(V48:Z48,"&lt;&gt;0"),"")</f>
        <v>14000</v>
      </c>
      <c r="AF48" s="13" t="n">
        <f aca="false">IFERROR(AVERAGEIF(D48:Z48,"&lt;&gt;0"),"")</f>
        <v>15421.0526315789</v>
      </c>
    </row>
  </sheetData>
  <mergeCells count="1">
    <mergeCell ref="A1:A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4"/>
    <col collapsed="false" customWidth="true" hidden="false" outlineLevel="0" max="23" min="4" style="0" width="9"/>
    <col collapsed="false" customWidth="true" hidden="false" outlineLevel="0" max="28" min="24" style="0" width="14"/>
  </cols>
  <sheetData>
    <row r="1" customFormat="false" ht="16.15" hidden="false" customHeight="false" outlineLevel="0" collapsed="false">
      <c r="A1" s="1" t="s">
        <v>518</v>
      </c>
      <c r="B1" s="1"/>
      <c r="C1" s="1"/>
      <c r="D1" s="1"/>
      <c r="E1" s="1"/>
      <c r="F1" s="1"/>
      <c r="G1" s="1"/>
      <c r="H1" s="1"/>
      <c r="I1" s="1"/>
      <c r="J1" s="1"/>
      <c r="K1" s="1"/>
      <c r="L1" s="1"/>
      <c r="M1" s="1"/>
      <c r="N1" s="1"/>
      <c r="O1" s="1"/>
      <c r="P1" s="1"/>
      <c r="Q1" s="1"/>
      <c r="R1" s="1"/>
      <c r="S1" s="1"/>
      <c r="T1" s="1"/>
      <c r="U1" s="1"/>
      <c r="V1" s="1"/>
      <c r="W1" s="1"/>
      <c r="X1" s="1"/>
      <c r="Y1" s="1"/>
      <c r="Z1" s="1"/>
      <c r="AA1" s="1"/>
      <c r="AB1" s="1"/>
    </row>
    <row r="2" customFormat="false" ht="15" hidden="false" customHeight="false" outlineLevel="0" collapsed="false">
      <c r="A2" s="7" t="s">
        <v>443</v>
      </c>
    </row>
    <row r="4" customFormat="false" ht="19.4" hidden="false" customHeight="false" outlineLevel="0" collapsed="false">
      <c r="A4" s="10" t="s">
        <v>1</v>
      </c>
      <c r="B4" s="10" t="s">
        <v>444</v>
      </c>
      <c r="C4" s="10" t="s">
        <v>445</v>
      </c>
      <c r="D4" s="10" t="s">
        <v>519</v>
      </c>
      <c r="E4" s="10" t="s">
        <v>520</v>
      </c>
      <c r="F4" s="10" t="s">
        <v>521</v>
      </c>
      <c r="G4" s="10" t="s">
        <v>522</v>
      </c>
      <c r="H4" s="10" t="s">
        <v>523</v>
      </c>
      <c r="I4" s="10" t="s">
        <v>524</v>
      </c>
      <c r="J4" s="10" t="s">
        <v>525</v>
      </c>
      <c r="K4" s="10" t="s">
        <v>526</v>
      </c>
      <c r="L4" s="10" t="s">
        <v>527</v>
      </c>
      <c r="M4" s="10" t="s">
        <v>528</v>
      </c>
      <c r="N4" s="10" t="s">
        <v>529</v>
      </c>
      <c r="O4" s="10" t="s">
        <v>530</v>
      </c>
      <c r="P4" s="10" t="s">
        <v>531</v>
      </c>
      <c r="Q4" s="10" t="s">
        <v>532</v>
      </c>
      <c r="R4" s="10" t="s">
        <v>533</v>
      </c>
      <c r="S4" s="10" t="s">
        <v>534</v>
      </c>
      <c r="T4" s="10" t="s">
        <v>535</v>
      </c>
      <c r="U4" s="10" t="s">
        <v>536</v>
      </c>
      <c r="V4" s="10" t="s">
        <v>537</v>
      </c>
      <c r="W4" s="10" t="s">
        <v>538</v>
      </c>
      <c r="X4" s="10" t="s">
        <v>539</v>
      </c>
      <c r="Y4" s="10" t="s">
        <v>540</v>
      </c>
      <c r="Z4" s="10" t="s">
        <v>541</v>
      </c>
      <c r="AA4" s="10" t="s">
        <v>542</v>
      </c>
      <c r="AB4" s="10" t="s">
        <v>543</v>
      </c>
    </row>
    <row r="5" customFormat="false" ht="15" hidden="false" customHeight="false" outlineLevel="0" collapsed="false">
      <c r="A5" s="3" t="n">
        <v>1</v>
      </c>
      <c r="B5" s="3" t="s">
        <v>407</v>
      </c>
      <c r="C5" s="3" t="s">
        <v>471</v>
      </c>
      <c r="D5" s="32" t="n">
        <v>12000</v>
      </c>
      <c r="E5" s="32" t="n">
        <v>12000</v>
      </c>
      <c r="F5" s="32" t="n">
        <v>12000</v>
      </c>
      <c r="G5" s="32" t="n">
        <v>12000</v>
      </c>
      <c r="H5" s="32" t="n">
        <v>12000</v>
      </c>
      <c r="I5" s="32" t="n">
        <v>12000</v>
      </c>
      <c r="J5" s="32" t="n">
        <v>12000</v>
      </c>
      <c r="K5" s="32" t="n">
        <v>12000</v>
      </c>
      <c r="L5" s="32" t="n">
        <v>12000</v>
      </c>
      <c r="M5" s="32" t="n">
        <v>12000</v>
      </c>
      <c r="N5" s="32" t="n">
        <v>12000</v>
      </c>
      <c r="O5" s="32" t="n">
        <v>12000</v>
      </c>
      <c r="P5" s="32" t="n">
        <v>12000</v>
      </c>
      <c r="Q5" s="32" t="n">
        <v>12000</v>
      </c>
      <c r="R5" s="32" t="n">
        <v>12000</v>
      </c>
      <c r="S5" s="32" t="n">
        <v>12000</v>
      </c>
      <c r="T5" s="32" t="n">
        <v>12000</v>
      </c>
      <c r="U5" s="32" t="n">
        <v>0</v>
      </c>
      <c r="V5" s="32" t="n">
        <v>12000</v>
      </c>
      <c r="W5" s="32" t="n">
        <v>12000</v>
      </c>
      <c r="X5" s="13" t="n">
        <f aca="false">IFERROR(AVERAGEIF(D5:H5,"&lt;&gt;0"),"")</f>
        <v>12000</v>
      </c>
      <c r="Y5" s="13" t="n">
        <f aca="false">IFERROR(AVERAGEIF(I5:M5,"&lt;&gt;0"),"")</f>
        <v>12000</v>
      </c>
      <c r="Z5" s="13" t="n">
        <f aca="false">IFERROR(AVERAGEIF(N5:R5,"&lt;&gt;0"),"")</f>
        <v>12000</v>
      </c>
      <c r="AA5" s="13" t="n">
        <f aca="false">IFERROR(AVERAGEIF(S5:W5,"&lt;&gt;0"),"")</f>
        <v>12000</v>
      </c>
      <c r="AB5" s="13" t="n">
        <f aca="false">IFERROR(AVERAGEIF(D5:W5,"&lt;&gt;0"),"")</f>
        <v>12000</v>
      </c>
    </row>
    <row r="6" customFormat="false" ht="15" hidden="false" customHeight="false" outlineLevel="0" collapsed="false">
      <c r="A6" s="3" t="n">
        <v>2</v>
      </c>
      <c r="B6" s="3" t="s">
        <v>408</v>
      </c>
      <c r="C6" s="3" t="s">
        <v>471</v>
      </c>
      <c r="D6" s="32" t="n">
        <v>13000</v>
      </c>
      <c r="E6" s="32" t="n">
        <v>13000</v>
      </c>
      <c r="F6" s="32" t="n">
        <v>13000</v>
      </c>
      <c r="G6" s="32" t="n">
        <v>13000</v>
      </c>
      <c r="H6" s="32" t="n">
        <v>13000</v>
      </c>
      <c r="I6" s="32" t="n">
        <v>13000</v>
      </c>
      <c r="J6" s="32" t="n">
        <v>13000</v>
      </c>
      <c r="K6" s="32" t="n">
        <v>13000</v>
      </c>
      <c r="L6" s="32" t="n">
        <v>13000</v>
      </c>
      <c r="M6" s="32" t="n">
        <v>13000</v>
      </c>
      <c r="N6" s="32" t="n">
        <v>13000</v>
      </c>
      <c r="O6" s="32" t="n">
        <v>13000</v>
      </c>
      <c r="P6" s="32" t="n">
        <v>13000</v>
      </c>
      <c r="Q6" s="32" t="n">
        <v>13000</v>
      </c>
      <c r="R6" s="32" t="n">
        <v>13000</v>
      </c>
      <c r="S6" s="32" t="n">
        <v>13000</v>
      </c>
      <c r="T6" s="32" t="n">
        <v>13000</v>
      </c>
      <c r="U6" s="32" t="n">
        <v>0</v>
      </c>
      <c r="V6" s="32" t="n">
        <v>13000</v>
      </c>
      <c r="W6" s="32" t="n">
        <v>13000</v>
      </c>
      <c r="X6" s="13" t="n">
        <f aca="false">IFERROR(AVERAGEIF(D6:H6,"&lt;&gt;0"),"")</f>
        <v>13000</v>
      </c>
      <c r="Y6" s="13" t="n">
        <f aca="false">IFERROR(AVERAGEIF(I6:M6,"&lt;&gt;0"),"")</f>
        <v>13000</v>
      </c>
      <c r="Z6" s="13" t="n">
        <f aca="false">IFERROR(AVERAGEIF(N6:R6,"&lt;&gt;0"),"")</f>
        <v>13000</v>
      </c>
      <c r="AA6" s="13" t="n">
        <f aca="false">IFERROR(AVERAGEIF(S6:W6,"&lt;&gt;0"),"")</f>
        <v>13000</v>
      </c>
      <c r="AB6" s="13" t="n">
        <f aca="false">IFERROR(AVERAGEIF(D6:W6,"&lt;&gt;0"),"")</f>
        <v>13000</v>
      </c>
    </row>
    <row r="7" customFormat="false" ht="15" hidden="false" customHeight="false" outlineLevel="0" collapsed="false">
      <c r="A7" s="3" t="n">
        <v>3</v>
      </c>
      <c r="B7" s="3" t="s">
        <v>409</v>
      </c>
      <c r="C7" s="3" t="s">
        <v>471</v>
      </c>
      <c r="D7" s="32" t="n">
        <v>12500</v>
      </c>
      <c r="E7" s="32" t="n">
        <v>12500</v>
      </c>
      <c r="F7" s="32" t="n">
        <v>12500</v>
      </c>
      <c r="G7" s="32" t="n">
        <v>12500</v>
      </c>
      <c r="H7" s="32" t="n">
        <v>12500</v>
      </c>
      <c r="I7" s="32" t="n">
        <v>12500</v>
      </c>
      <c r="J7" s="32" t="n">
        <v>12500</v>
      </c>
      <c r="K7" s="32" t="n">
        <v>12500</v>
      </c>
      <c r="L7" s="32" t="n">
        <v>12500</v>
      </c>
      <c r="M7" s="32" t="n">
        <v>12500</v>
      </c>
      <c r="N7" s="32" t="n">
        <v>0</v>
      </c>
      <c r="O7" s="32" t="n">
        <v>0</v>
      </c>
      <c r="P7" s="32" t="n">
        <v>0</v>
      </c>
      <c r="Q7" s="32" t="n">
        <v>0</v>
      </c>
      <c r="R7" s="32" t="n">
        <v>0</v>
      </c>
      <c r="S7" s="32" t="n">
        <v>0</v>
      </c>
      <c r="T7" s="32" t="n">
        <v>0</v>
      </c>
      <c r="U7" s="32" t="n">
        <v>0</v>
      </c>
      <c r="V7" s="32" t="n">
        <v>0</v>
      </c>
      <c r="W7" s="32" t="n">
        <v>0</v>
      </c>
      <c r="X7" s="13" t="n">
        <f aca="false">IFERROR(AVERAGEIF(D7:H7,"&lt;&gt;0"),"")</f>
        <v>12500</v>
      </c>
      <c r="Y7" s="13" t="n">
        <f aca="false">IFERROR(AVERAGEIF(I7:M7,"&lt;&gt;0"),"")</f>
        <v>12500</v>
      </c>
      <c r="Z7" s="13" t="str">
        <f aca="false">IFERROR(AVERAGEIF(N7:R7,"&lt;&gt;0"),"")</f>
        <v/>
      </c>
      <c r="AA7" s="13" t="str">
        <f aca="false">IFERROR(AVERAGEIF(S7:W7,"&lt;&gt;0"),"")</f>
        <v/>
      </c>
      <c r="AB7" s="13" t="n">
        <f aca="false">IFERROR(AVERAGEIF(D7:W7,"&lt;&gt;0"),"")</f>
        <v>12500</v>
      </c>
    </row>
    <row r="8" customFormat="false" ht="15" hidden="false" customHeight="false" outlineLevel="0" collapsed="false">
      <c r="A8" s="3" t="n">
        <v>4</v>
      </c>
      <c r="B8" s="3" t="s">
        <v>472</v>
      </c>
      <c r="C8" s="3" t="s">
        <v>471</v>
      </c>
      <c r="D8" s="32" t="n">
        <v>11000</v>
      </c>
      <c r="E8" s="32" t="n">
        <v>11000</v>
      </c>
      <c r="F8" s="32" t="n">
        <v>11000</v>
      </c>
      <c r="G8" s="32" t="n">
        <v>11000</v>
      </c>
      <c r="H8" s="32" t="n">
        <v>11000</v>
      </c>
      <c r="I8" s="32" t="n">
        <v>11000</v>
      </c>
      <c r="J8" s="32" t="n">
        <v>11000</v>
      </c>
      <c r="K8" s="32" t="n">
        <v>11000</v>
      </c>
      <c r="L8" s="32" t="n">
        <v>11000</v>
      </c>
      <c r="M8" s="32" t="n">
        <v>11000</v>
      </c>
      <c r="N8" s="32" t="n">
        <v>11000</v>
      </c>
      <c r="O8" s="32" t="n">
        <v>11000</v>
      </c>
      <c r="P8" s="32" t="n">
        <v>11000</v>
      </c>
      <c r="Q8" s="32" t="n">
        <v>11000</v>
      </c>
      <c r="R8" s="32" t="n">
        <v>11000</v>
      </c>
      <c r="S8" s="32" t="n">
        <v>11000</v>
      </c>
      <c r="T8" s="32" t="n">
        <v>11000</v>
      </c>
      <c r="U8" s="32" t="n">
        <v>0</v>
      </c>
      <c r="V8" s="32" t="n">
        <v>11000</v>
      </c>
      <c r="W8" s="32" t="n">
        <v>11000</v>
      </c>
      <c r="X8" s="13" t="n">
        <f aca="false">IFERROR(AVERAGEIF(D8:H8,"&lt;&gt;0"),"")</f>
        <v>11000</v>
      </c>
      <c r="Y8" s="13" t="n">
        <f aca="false">IFERROR(AVERAGEIF(I8:M8,"&lt;&gt;0"),"")</f>
        <v>11000</v>
      </c>
      <c r="Z8" s="13" t="n">
        <f aca="false">IFERROR(AVERAGEIF(N8:R8,"&lt;&gt;0"),"")</f>
        <v>11000</v>
      </c>
      <c r="AA8" s="13" t="n">
        <f aca="false">IFERROR(AVERAGEIF(S8:W8,"&lt;&gt;0"),"")</f>
        <v>11000</v>
      </c>
      <c r="AB8" s="13" t="n">
        <f aca="false">IFERROR(AVERAGEIF(D8:W8,"&lt;&gt;0"),"")</f>
        <v>11000</v>
      </c>
    </row>
    <row r="9" customFormat="false" ht="15" hidden="false" customHeight="false" outlineLevel="0" collapsed="false">
      <c r="A9" s="3" t="n">
        <v>5</v>
      </c>
      <c r="B9" s="3" t="s">
        <v>428</v>
      </c>
      <c r="C9" s="3" t="s">
        <v>471</v>
      </c>
      <c r="D9" s="32" t="n">
        <v>36000</v>
      </c>
      <c r="E9" s="32" t="n">
        <v>36000</v>
      </c>
      <c r="F9" s="32" t="n">
        <v>36000</v>
      </c>
      <c r="G9" s="32" t="n">
        <v>36000</v>
      </c>
      <c r="H9" s="32" t="n">
        <v>36000</v>
      </c>
      <c r="I9" s="32" t="n">
        <v>36000</v>
      </c>
      <c r="J9" s="32" t="n">
        <v>36000</v>
      </c>
      <c r="K9" s="32" t="n">
        <v>36000</v>
      </c>
      <c r="L9" s="32" t="n">
        <v>36000</v>
      </c>
      <c r="M9" s="32" t="n">
        <v>36000</v>
      </c>
      <c r="N9" s="32" t="n">
        <v>35000</v>
      </c>
      <c r="O9" s="32" t="n">
        <v>36000</v>
      </c>
      <c r="P9" s="32" t="n">
        <v>36000</v>
      </c>
      <c r="Q9" s="32" t="n">
        <v>36000</v>
      </c>
      <c r="R9" s="32" t="n">
        <v>36000</v>
      </c>
      <c r="S9" s="32" t="n">
        <v>36000</v>
      </c>
      <c r="T9" s="32" t="n">
        <v>36000</v>
      </c>
      <c r="U9" s="32" t="n">
        <v>0</v>
      </c>
      <c r="V9" s="32" t="n">
        <v>36000</v>
      </c>
      <c r="W9" s="32" t="n">
        <v>36000</v>
      </c>
      <c r="X9" s="13" t="n">
        <f aca="false">IFERROR(AVERAGEIF(D9:H9,"&lt;&gt;0"),"")</f>
        <v>36000</v>
      </c>
      <c r="Y9" s="13" t="n">
        <f aca="false">IFERROR(AVERAGEIF(I9:M9,"&lt;&gt;0"),"")</f>
        <v>36000</v>
      </c>
      <c r="Z9" s="13" t="n">
        <f aca="false">IFERROR(AVERAGEIF(N9:R9,"&lt;&gt;0"),"")</f>
        <v>35800</v>
      </c>
      <c r="AA9" s="13" t="n">
        <f aca="false">IFERROR(AVERAGEIF(S9:W9,"&lt;&gt;0"),"")</f>
        <v>36000</v>
      </c>
      <c r="AB9" s="13" t="n">
        <f aca="false">IFERROR(AVERAGEIF(D9:W9,"&lt;&gt;0"),"")</f>
        <v>35947.3684210526</v>
      </c>
    </row>
    <row r="10" customFormat="false" ht="15" hidden="false" customHeight="false" outlineLevel="0" collapsed="false">
      <c r="A10" s="3" t="n">
        <v>6</v>
      </c>
      <c r="B10" s="3" t="s">
        <v>429</v>
      </c>
      <c r="C10" s="3" t="s">
        <v>471</v>
      </c>
      <c r="D10" s="32" t="n">
        <v>36000</v>
      </c>
      <c r="E10" s="32" t="n">
        <v>36000</v>
      </c>
      <c r="F10" s="32" t="n">
        <v>36000</v>
      </c>
      <c r="G10" s="32" t="n">
        <v>36000</v>
      </c>
      <c r="H10" s="32" t="n">
        <v>36000</v>
      </c>
      <c r="I10" s="32" t="n">
        <v>36000</v>
      </c>
      <c r="J10" s="32" t="n">
        <v>36000</v>
      </c>
      <c r="K10" s="32" t="n">
        <v>36000</v>
      </c>
      <c r="L10" s="32" t="n">
        <v>36000</v>
      </c>
      <c r="M10" s="32" t="n">
        <v>36000</v>
      </c>
      <c r="N10" s="32" t="n">
        <v>35000</v>
      </c>
      <c r="O10" s="32" t="n">
        <v>36000</v>
      </c>
      <c r="P10" s="32" t="n">
        <v>36000</v>
      </c>
      <c r="Q10" s="32" t="n">
        <v>36000</v>
      </c>
      <c r="R10" s="32" t="n">
        <v>36000</v>
      </c>
      <c r="S10" s="32" t="n">
        <v>36000</v>
      </c>
      <c r="T10" s="32" t="n">
        <v>36000</v>
      </c>
      <c r="U10" s="32" t="n">
        <v>0</v>
      </c>
      <c r="V10" s="32" t="n">
        <v>36000</v>
      </c>
      <c r="W10" s="32" t="n">
        <v>36000</v>
      </c>
      <c r="X10" s="13" t="n">
        <f aca="false">IFERROR(AVERAGEIF(D10:H10,"&lt;&gt;0"),"")</f>
        <v>36000</v>
      </c>
      <c r="Y10" s="13" t="n">
        <f aca="false">IFERROR(AVERAGEIF(I10:M10,"&lt;&gt;0"),"")</f>
        <v>36000</v>
      </c>
      <c r="Z10" s="13" t="n">
        <f aca="false">IFERROR(AVERAGEIF(N10:R10,"&lt;&gt;0"),"")</f>
        <v>35800</v>
      </c>
      <c r="AA10" s="13" t="n">
        <f aca="false">IFERROR(AVERAGEIF(S10:W10,"&lt;&gt;0"),"")</f>
        <v>36000</v>
      </c>
      <c r="AB10" s="13" t="n">
        <f aca="false">IFERROR(AVERAGEIF(D10:W10,"&lt;&gt;0"),"")</f>
        <v>35947.3684210526</v>
      </c>
    </row>
    <row r="11" customFormat="false" ht="15" hidden="false" customHeight="false" outlineLevel="0" collapsed="false">
      <c r="A11" s="3" t="n">
        <v>7</v>
      </c>
      <c r="B11" s="3" t="s">
        <v>418</v>
      </c>
      <c r="C11" s="3" t="s">
        <v>471</v>
      </c>
      <c r="D11" s="32" t="n">
        <v>47000</v>
      </c>
      <c r="E11" s="32" t="n">
        <v>47000</v>
      </c>
      <c r="F11" s="32" t="n">
        <v>47000</v>
      </c>
      <c r="G11" s="32" t="n">
        <v>47000</v>
      </c>
      <c r="H11" s="32" t="n">
        <v>47000</v>
      </c>
      <c r="I11" s="32" t="n">
        <v>47000</v>
      </c>
      <c r="J11" s="32" t="n">
        <v>47000</v>
      </c>
      <c r="K11" s="32" t="n">
        <v>47000</v>
      </c>
      <c r="L11" s="32" t="n">
        <v>47000</v>
      </c>
      <c r="M11" s="32" t="n">
        <v>47000</v>
      </c>
      <c r="N11" s="32" t="n">
        <v>48000</v>
      </c>
      <c r="O11" s="32" t="n">
        <v>50000</v>
      </c>
      <c r="P11" s="32" t="n">
        <v>50000</v>
      </c>
      <c r="Q11" s="32" t="n">
        <v>50000</v>
      </c>
      <c r="R11" s="32" t="n">
        <v>50000</v>
      </c>
      <c r="S11" s="32" t="n">
        <v>50000</v>
      </c>
      <c r="T11" s="32" t="n">
        <v>50000</v>
      </c>
      <c r="U11" s="32" t="n">
        <v>0</v>
      </c>
      <c r="V11" s="32" t="n">
        <v>50000</v>
      </c>
      <c r="W11" s="32" t="n">
        <v>50000</v>
      </c>
      <c r="X11" s="13" t="n">
        <f aca="false">IFERROR(AVERAGEIF(D11:H11,"&lt;&gt;0"),"")</f>
        <v>47000</v>
      </c>
      <c r="Y11" s="13" t="n">
        <f aca="false">IFERROR(AVERAGEIF(I11:M11,"&lt;&gt;0"),"")</f>
        <v>47000</v>
      </c>
      <c r="Z11" s="13" t="n">
        <f aca="false">IFERROR(AVERAGEIF(N11:R11,"&lt;&gt;0"),"")</f>
        <v>49600</v>
      </c>
      <c r="AA11" s="13" t="n">
        <f aca="false">IFERROR(AVERAGEIF(S11:W11,"&lt;&gt;0"),"")</f>
        <v>50000</v>
      </c>
      <c r="AB11" s="13" t="n">
        <f aca="false">IFERROR(AVERAGEIF(D11:W11,"&lt;&gt;0"),"")</f>
        <v>48315.7894736842</v>
      </c>
    </row>
    <row r="12" customFormat="false" ht="15" hidden="false" customHeight="false" outlineLevel="0" collapsed="false">
      <c r="A12" s="3" t="n">
        <v>8</v>
      </c>
      <c r="B12" s="3" t="s">
        <v>423</v>
      </c>
      <c r="C12" s="3" t="s">
        <v>471</v>
      </c>
      <c r="D12" s="32" t="n">
        <v>23000</v>
      </c>
      <c r="E12" s="32" t="n">
        <v>23000</v>
      </c>
      <c r="F12" s="32" t="n">
        <v>23500</v>
      </c>
      <c r="G12" s="32" t="n">
        <v>23250</v>
      </c>
      <c r="H12" s="32" t="n">
        <v>23000</v>
      </c>
      <c r="I12" s="32" t="n">
        <v>24000</v>
      </c>
      <c r="J12" s="32" t="n">
        <v>24000</v>
      </c>
      <c r="K12" s="32" t="n">
        <v>24000</v>
      </c>
      <c r="L12" s="32" t="n">
        <v>24000</v>
      </c>
      <c r="M12" s="32" t="n">
        <v>24000</v>
      </c>
      <c r="N12" s="32" t="n">
        <v>24000</v>
      </c>
      <c r="O12" s="32" t="n">
        <v>24000</v>
      </c>
      <c r="P12" s="32" t="n">
        <v>24000</v>
      </c>
      <c r="Q12" s="32" t="n">
        <v>24000</v>
      </c>
      <c r="R12" s="32" t="n">
        <v>24000</v>
      </c>
      <c r="S12" s="32" t="n">
        <v>24000</v>
      </c>
      <c r="T12" s="32" t="n">
        <v>24000</v>
      </c>
      <c r="U12" s="32" t="n">
        <v>0</v>
      </c>
      <c r="V12" s="32" t="n">
        <v>24000</v>
      </c>
      <c r="W12" s="32" t="n">
        <v>24000</v>
      </c>
      <c r="X12" s="13" t="n">
        <f aca="false">IFERROR(AVERAGEIF(D12:H12,"&lt;&gt;0"),"")</f>
        <v>23150</v>
      </c>
      <c r="Y12" s="13" t="n">
        <f aca="false">IFERROR(AVERAGEIF(I12:M12,"&lt;&gt;0"),"")</f>
        <v>24000</v>
      </c>
      <c r="Z12" s="13" t="n">
        <f aca="false">IFERROR(AVERAGEIF(N12:R12,"&lt;&gt;0"),"")</f>
        <v>24000</v>
      </c>
      <c r="AA12" s="13" t="n">
        <f aca="false">IFERROR(AVERAGEIF(S12:W12,"&lt;&gt;0"),"")</f>
        <v>24000</v>
      </c>
      <c r="AB12" s="13" t="n">
        <f aca="false">IFERROR(AVERAGEIF(D12:W12,"&lt;&gt;0"),"")</f>
        <v>23776.3157894737</v>
      </c>
    </row>
    <row r="13" customFormat="false" ht="15" hidden="false" customHeight="false" outlineLevel="0" collapsed="false">
      <c r="A13" s="3" t="n">
        <v>9</v>
      </c>
      <c r="B13" s="3" t="s">
        <v>420</v>
      </c>
      <c r="C13" s="3" t="s">
        <v>471</v>
      </c>
      <c r="D13" s="32" t="n">
        <v>16500</v>
      </c>
      <c r="E13" s="32" t="n">
        <v>16500</v>
      </c>
      <c r="F13" s="32" t="n">
        <v>16500</v>
      </c>
      <c r="G13" s="32" t="n">
        <v>16500</v>
      </c>
      <c r="H13" s="32" t="n">
        <v>16500</v>
      </c>
      <c r="I13" s="32" t="n">
        <v>16500</v>
      </c>
      <c r="J13" s="32" t="n">
        <v>16500</v>
      </c>
      <c r="K13" s="32" t="n">
        <v>16500</v>
      </c>
      <c r="L13" s="32" t="n">
        <v>16500</v>
      </c>
      <c r="M13" s="32" t="n">
        <v>16500</v>
      </c>
      <c r="N13" s="32" t="n">
        <v>16500</v>
      </c>
      <c r="O13" s="32" t="n">
        <v>16500</v>
      </c>
      <c r="P13" s="32" t="n">
        <v>16500</v>
      </c>
      <c r="Q13" s="32" t="n">
        <v>16500</v>
      </c>
      <c r="R13" s="32" t="n">
        <v>16500</v>
      </c>
      <c r="S13" s="32" t="n">
        <v>16500</v>
      </c>
      <c r="T13" s="32" t="n">
        <v>16500</v>
      </c>
      <c r="U13" s="32" t="n">
        <v>0</v>
      </c>
      <c r="V13" s="32" t="n">
        <v>16500</v>
      </c>
      <c r="W13" s="32" t="n">
        <v>16500</v>
      </c>
      <c r="X13" s="13" t="n">
        <f aca="false">IFERROR(AVERAGEIF(D13:H13,"&lt;&gt;0"),"")</f>
        <v>16500</v>
      </c>
      <c r="Y13" s="13" t="n">
        <f aca="false">IFERROR(AVERAGEIF(I13:M13,"&lt;&gt;0"),"")</f>
        <v>16500</v>
      </c>
      <c r="Z13" s="13" t="n">
        <f aca="false">IFERROR(AVERAGEIF(N13:R13,"&lt;&gt;0"),"")</f>
        <v>16500</v>
      </c>
      <c r="AA13" s="13" t="n">
        <f aca="false">IFERROR(AVERAGEIF(S13:W13,"&lt;&gt;0"),"")</f>
        <v>16500</v>
      </c>
      <c r="AB13" s="13" t="n">
        <f aca="false">IFERROR(AVERAGEIF(D13:W13,"&lt;&gt;0"),"")</f>
        <v>16500</v>
      </c>
    </row>
    <row r="14" customFormat="false" ht="15" hidden="false" customHeight="false" outlineLevel="0" collapsed="false">
      <c r="A14" s="3" t="n">
        <v>10</v>
      </c>
      <c r="B14" s="3" t="s">
        <v>413</v>
      </c>
      <c r="C14" s="3" t="s">
        <v>471</v>
      </c>
      <c r="D14" s="32" t="n">
        <v>15750</v>
      </c>
      <c r="E14" s="32" t="n">
        <v>15750</v>
      </c>
      <c r="F14" s="32" t="n">
        <v>15750</v>
      </c>
      <c r="G14" s="32" t="n">
        <v>15750</v>
      </c>
      <c r="H14" s="32" t="n">
        <v>15750</v>
      </c>
      <c r="I14" s="32" t="n">
        <v>15750</v>
      </c>
      <c r="J14" s="32" t="n">
        <v>15750</v>
      </c>
      <c r="K14" s="32" t="n">
        <v>15750</v>
      </c>
      <c r="L14" s="32" t="n">
        <v>15750</v>
      </c>
      <c r="M14" s="32" t="n">
        <v>15750</v>
      </c>
      <c r="N14" s="32" t="n">
        <v>15750</v>
      </c>
      <c r="O14" s="32" t="n">
        <v>15750</v>
      </c>
      <c r="P14" s="32" t="n">
        <v>15750</v>
      </c>
      <c r="Q14" s="32" t="n">
        <v>15750</v>
      </c>
      <c r="R14" s="32" t="n">
        <v>15750</v>
      </c>
      <c r="S14" s="32" t="n">
        <v>15750</v>
      </c>
      <c r="T14" s="32" t="n">
        <v>15750</v>
      </c>
      <c r="U14" s="32" t="n">
        <v>0</v>
      </c>
      <c r="V14" s="32" t="n">
        <v>15750</v>
      </c>
      <c r="W14" s="32" t="n">
        <v>15750</v>
      </c>
      <c r="X14" s="13" t="n">
        <f aca="false">IFERROR(AVERAGEIF(D14:H14,"&lt;&gt;0"),"")</f>
        <v>15750</v>
      </c>
      <c r="Y14" s="13" t="n">
        <f aca="false">IFERROR(AVERAGEIF(I14:M14,"&lt;&gt;0"),"")</f>
        <v>15750</v>
      </c>
      <c r="Z14" s="13" t="n">
        <f aca="false">IFERROR(AVERAGEIF(N14:R14,"&lt;&gt;0"),"")</f>
        <v>15750</v>
      </c>
      <c r="AA14" s="13" t="n">
        <f aca="false">IFERROR(AVERAGEIF(S14:W14,"&lt;&gt;0"),"")</f>
        <v>15750</v>
      </c>
      <c r="AB14" s="13" t="n">
        <f aca="false">IFERROR(AVERAGEIF(D14:W14,"&lt;&gt;0"),"")</f>
        <v>15750</v>
      </c>
    </row>
    <row r="15" customFormat="false" ht="15" hidden="false" customHeight="false" outlineLevel="0" collapsed="false">
      <c r="A15" s="3" t="n">
        <v>11</v>
      </c>
      <c r="B15" s="3" t="s">
        <v>414</v>
      </c>
      <c r="C15" s="3" t="s">
        <v>471</v>
      </c>
      <c r="D15" s="32" t="n">
        <v>18000</v>
      </c>
      <c r="E15" s="32" t="n">
        <v>18000</v>
      </c>
      <c r="F15" s="32" t="n">
        <v>18000</v>
      </c>
      <c r="G15" s="32" t="n">
        <v>18000</v>
      </c>
      <c r="H15" s="32" t="n">
        <v>18000</v>
      </c>
      <c r="I15" s="32" t="n">
        <v>18000</v>
      </c>
      <c r="J15" s="32" t="n">
        <v>18000</v>
      </c>
      <c r="K15" s="32" t="n">
        <v>18000</v>
      </c>
      <c r="L15" s="32" t="n">
        <v>18000</v>
      </c>
      <c r="M15" s="32" t="n">
        <v>18000</v>
      </c>
      <c r="N15" s="32" t="n">
        <v>18000</v>
      </c>
      <c r="O15" s="32" t="n">
        <v>18000</v>
      </c>
      <c r="P15" s="32" t="n">
        <v>18000</v>
      </c>
      <c r="Q15" s="32" t="n">
        <v>18000</v>
      </c>
      <c r="R15" s="32" t="n">
        <v>18000</v>
      </c>
      <c r="S15" s="32" t="n">
        <v>18000</v>
      </c>
      <c r="T15" s="32" t="n">
        <v>18000</v>
      </c>
      <c r="U15" s="32" t="n">
        <v>0</v>
      </c>
      <c r="V15" s="32" t="n">
        <v>18000</v>
      </c>
      <c r="W15" s="32" t="n">
        <v>18000</v>
      </c>
      <c r="X15" s="13" t="n">
        <f aca="false">IFERROR(AVERAGEIF(D15:H15,"&lt;&gt;0"),"")</f>
        <v>18000</v>
      </c>
      <c r="Y15" s="13" t="n">
        <f aca="false">IFERROR(AVERAGEIF(I15:M15,"&lt;&gt;0"),"")</f>
        <v>18000</v>
      </c>
      <c r="Z15" s="13" t="n">
        <f aca="false">IFERROR(AVERAGEIF(N15:R15,"&lt;&gt;0"),"")</f>
        <v>18000</v>
      </c>
      <c r="AA15" s="13" t="n">
        <f aca="false">IFERROR(AVERAGEIF(S15:W15,"&lt;&gt;0"),"")</f>
        <v>18000</v>
      </c>
      <c r="AB15" s="13" t="n">
        <f aca="false">IFERROR(AVERAGEIF(D15:W15,"&lt;&gt;0"),"")</f>
        <v>18000</v>
      </c>
    </row>
    <row r="16" customFormat="false" ht="15" hidden="false" customHeight="false" outlineLevel="0" collapsed="false">
      <c r="A16" s="3" t="n">
        <v>12</v>
      </c>
      <c r="B16" s="3" t="s">
        <v>415</v>
      </c>
      <c r="C16" s="3" t="s">
        <v>471</v>
      </c>
      <c r="D16" s="32" t="n">
        <v>15000</v>
      </c>
      <c r="E16" s="32" t="n">
        <v>15000</v>
      </c>
      <c r="F16" s="32" t="n">
        <v>15000</v>
      </c>
      <c r="G16" s="32" t="n">
        <v>15000</v>
      </c>
      <c r="H16" s="32" t="n">
        <v>15000</v>
      </c>
      <c r="I16" s="32" t="n">
        <v>15500</v>
      </c>
      <c r="J16" s="32" t="n">
        <v>15500</v>
      </c>
      <c r="K16" s="32" t="n">
        <v>15500</v>
      </c>
      <c r="L16" s="32" t="n">
        <v>15500</v>
      </c>
      <c r="M16" s="32" t="n">
        <v>15500</v>
      </c>
      <c r="N16" s="32" t="n">
        <v>15500</v>
      </c>
      <c r="O16" s="32" t="n">
        <v>15500</v>
      </c>
      <c r="P16" s="32" t="n">
        <v>15500</v>
      </c>
      <c r="Q16" s="32" t="n">
        <v>15500</v>
      </c>
      <c r="R16" s="32" t="n">
        <v>15500</v>
      </c>
      <c r="S16" s="32" t="n">
        <v>15500</v>
      </c>
      <c r="T16" s="32" t="n">
        <v>15500</v>
      </c>
      <c r="U16" s="32" t="n">
        <v>0</v>
      </c>
      <c r="V16" s="32" t="n">
        <v>15500</v>
      </c>
      <c r="W16" s="32" t="n">
        <v>15500</v>
      </c>
      <c r="X16" s="13" t="n">
        <f aca="false">IFERROR(AVERAGEIF(D16:H16,"&lt;&gt;0"),"")</f>
        <v>15000</v>
      </c>
      <c r="Y16" s="13" t="n">
        <f aca="false">IFERROR(AVERAGEIF(I16:M16,"&lt;&gt;0"),"")</f>
        <v>15500</v>
      </c>
      <c r="Z16" s="13" t="n">
        <f aca="false">IFERROR(AVERAGEIF(N16:R16,"&lt;&gt;0"),"")</f>
        <v>15500</v>
      </c>
      <c r="AA16" s="13" t="n">
        <f aca="false">IFERROR(AVERAGEIF(S16:W16,"&lt;&gt;0"),"")</f>
        <v>15500</v>
      </c>
      <c r="AB16" s="13" t="n">
        <f aca="false">IFERROR(AVERAGEIF(D16:W16,"&lt;&gt;0"),"")</f>
        <v>15368.4210526316</v>
      </c>
    </row>
    <row r="17" customFormat="false" ht="15" hidden="false" customHeight="false" outlineLevel="0" collapsed="false">
      <c r="A17" s="3" t="n">
        <v>13</v>
      </c>
      <c r="B17" s="3" t="s">
        <v>410</v>
      </c>
      <c r="C17" s="3" t="s">
        <v>471</v>
      </c>
      <c r="D17" s="32" t="n">
        <v>9000</v>
      </c>
      <c r="E17" s="32" t="n">
        <v>9000</v>
      </c>
      <c r="F17" s="32" t="n">
        <v>9000</v>
      </c>
      <c r="G17" s="32" t="n">
        <v>9000</v>
      </c>
      <c r="H17" s="32" t="n">
        <v>9000</v>
      </c>
      <c r="I17" s="32" t="n">
        <v>9000</v>
      </c>
      <c r="J17" s="32" t="n">
        <v>9000</v>
      </c>
      <c r="K17" s="32" t="n">
        <v>9000</v>
      </c>
      <c r="L17" s="32" t="n">
        <v>9000</v>
      </c>
      <c r="M17" s="32" t="n">
        <v>9000</v>
      </c>
      <c r="N17" s="32" t="n">
        <v>9000</v>
      </c>
      <c r="O17" s="32" t="n">
        <v>9000</v>
      </c>
      <c r="P17" s="32" t="n">
        <v>9000</v>
      </c>
      <c r="Q17" s="32" t="n">
        <v>9000</v>
      </c>
      <c r="R17" s="32" t="n">
        <v>9000</v>
      </c>
      <c r="S17" s="32" t="n">
        <v>9000</v>
      </c>
      <c r="T17" s="32" t="n">
        <v>9000</v>
      </c>
      <c r="U17" s="32" t="n">
        <v>0</v>
      </c>
      <c r="V17" s="32" t="n">
        <v>9000</v>
      </c>
      <c r="W17" s="32" t="n">
        <v>9000</v>
      </c>
      <c r="X17" s="13" t="n">
        <f aca="false">IFERROR(AVERAGEIF(D17:H17,"&lt;&gt;0"),"")</f>
        <v>9000</v>
      </c>
      <c r="Y17" s="13" t="n">
        <f aca="false">IFERROR(AVERAGEIF(I17:M17,"&lt;&gt;0"),"")</f>
        <v>9000</v>
      </c>
      <c r="Z17" s="13" t="n">
        <f aca="false">IFERROR(AVERAGEIF(N17:R17,"&lt;&gt;0"),"")</f>
        <v>9000</v>
      </c>
      <c r="AA17" s="13" t="n">
        <f aca="false">IFERROR(AVERAGEIF(S17:W17,"&lt;&gt;0"),"")</f>
        <v>9000</v>
      </c>
      <c r="AB17" s="13" t="n">
        <f aca="false">IFERROR(AVERAGEIF(D17:W17,"&lt;&gt;0"),"")</f>
        <v>9000</v>
      </c>
    </row>
    <row r="18" customFormat="false" ht="15" hidden="false" customHeight="false" outlineLevel="0" collapsed="false">
      <c r="A18" s="3" t="n">
        <v>14</v>
      </c>
      <c r="B18" s="3" t="s">
        <v>412</v>
      </c>
      <c r="C18" s="3" t="s">
        <v>471</v>
      </c>
      <c r="D18" s="32" t="n">
        <v>29000</v>
      </c>
      <c r="E18" s="32" t="n">
        <v>29000</v>
      </c>
      <c r="F18" s="32" t="n">
        <v>29000</v>
      </c>
      <c r="G18" s="32" t="n">
        <v>29000</v>
      </c>
      <c r="H18" s="32" t="n">
        <v>29000</v>
      </c>
      <c r="I18" s="32" t="n">
        <v>30000</v>
      </c>
      <c r="J18" s="32" t="n">
        <v>30000</v>
      </c>
      <c r="K18" s="32" t="n">
        <v>30000</v>
      </c>
      <c r="L18" s="32" t="n">
        <v>30000</v>
      </c>
      <c r="M18" s="32" t="n">
        <v>30000</v>
      </c>
      <c r="N18" s="32" t="n">
        <v>30000</v>
      </c>
      <c r="O18" s="32" t="n">
        <v>31000</v>
      </c>
      <c r="P18" s="32" t="n">
        <v>31000</v>
      </c>
      <c r="Q18" s="32" t="n">
        <v>31000</v>
      </c>
      <c r="R18" s="32" t="n">
        <v>31000</v>
      </c>
      <c r="S18" s="32" t="n">
        <v>31000</v>
      </c>
      <c r="T18" s="32" t="n">
        <v>31000</v>
      </c>
      <c r="U18" s="32" t="n">
        <v>0</v>
      </c>
      <c r="V18" s="32" t="n">
        <v>31000</v>
      </c>
      <c r="W18" s="32" t="n">
        <v>31000</v>
      </c>
      <c r="X18" s="13" t="n">
        <f aca="false">IFERROR(AVERAGEIF(D18:H18,"&lt;&gt;0"),"")</f>
        <v>29000</v>
      </c>
      <c r="Y18" s="13" t="n">
        <f aca="false">IFERROR(AVERAGEIF(I18:M18,"&lt;&gt;0"),"")</f>
        <v>30000</v>
      </c>
      <c r="Z18" s="13" t="n">
        <f aca="false">IFERROR(AVERAGEIF(N18:R18,"&lt;&gt;0"),"")</f>
        <v>30800</v>
      </c>
      <c r="AA18" s="13" t="n">
        <f aca="false">IFERROR(AVERAGEIF(S18:W18,"&lt;&gt;0"),"")</f>
        <v>31000</v>
      </c>
      <c r="AB18" s="13" t="n">
        <f aca="false">IFERROR(AVERAGEIF(D18:W18,"&lt;&gt;0"),"")</f>
        <v>30157.8947368421</v>
      </c>
    </row>
    <row r="19" customFormat="false" ht="15" hidden="false" customHeight="false" outlineLevel="0" collapsed="false">
      <c r="A19" s="3" t="n">
        <v>15</v>
      </c>
      <c r="B19" s="3" t="s">
        <v>419</v>
      </c>
      <c r="C19" s="3" t="s">
        <v>471</v>
      </c>
      <c r="D19" s="32" t="n">
        <v>24500</v>
      </c>
      <c r="E19" s="32" t="n">
        <v>25000</v>
      </c>
      <c r="F19" s="32" t="n">
        <v>25000</v>
      </c>
      <c r="G19" s="32" t="n">
        <v>25000</v>
      </c>
      <c r="H19" s="32" t="n">
        <v>25000</v>
      </c>
      <c r="I19" s="32" t="n">
        <v>25500</v>
      </c>
      <c r="J19" s="32" t="n">
        <v>25500</v>
      </c>
      <c r="K19" s="32" t="n">
        <v>25500</v>
      </c>
      <c r="L19" s="32" t="n">
        <v>25500</v>
      </c>
      <c r="M19" s="32" t="n">
        <v>25500</v>
      </c>
      <c r="N19" s="32" t="n">
        <v>25500</v>
      </c>
      <c r="O19" s="32" t="n">
        <v>26000</v>
      </c>
      <c r="P19" s="32" t="n">
        <v>26000</v>
      </c>
      <c r="Q19" s="32" t="n">
        <v>26500</v>
      </c>
      <c r="R19" s="32" t="n">
        <v>26500</v>
      </c>
      <c r="S19" s="32" t="n">
        <v>26500</v>
      </c>
      <c r="T19" s="32" t="n">
        <v>26500</v>
      </c>
      <c r="U19" s="32" t="n">
        <v>0</v>
      </c>
      <c r="V19" s="32" t="n">
        <v>26500</v>
      </c>
      <c r="W19" s="32" t="n">
        <v>26500</v>
      </c>
      <c r="X19" s="13" t="n">
        <f aca="false">IFERROR(AVERAGEIF(D19:H19,"&lt;&gt;0"),"")</f>
        <v>24900</v>
      </c>
      <c r="Y19" s="13" t="n">
        <f aca="false">IFERROR(AVERAGEIF(I19:M19,"&lt;&gt;0"),"")</f>
        <v>25500</v>
      </c>
      <c r="Z19" s="13" t="n">
        <f aca="false">IFERROR(AVERAGEIF(N19:R19,"&lt;&gt;0"),"")</f>
        <v>26100</v>
      </c>
      <c r="AA19" s="13" t="n">
        <f aca="false">IFERROR(AVERAGEIF(S19:W19,"&lt;&gt;0"),"")</f>
        <v>26500</v>
      </c>
      <c r="AB19" s="13" t="n">
        <f aca="false">IFERROR(AVERAGEIF(D19:W19,"&lt;&gt;0"),"")</f>
        <v>25710.5263157895</v>
      </c>
    </row>
    <row r="20" customFormat="false" ht="15" hidden="false" customHeight="false" outlineLevel="0" collapsed="false">
      <c r="A20" s="3" t="n">
        <v>16</v>
      </c>
      <c r="B20" s="3" t="s">
        <v>430</v>
      </c>
      <c r="C20" s="3" t="s">
        <v>471</v>
      </c>
      <c r="D20" s="32" t="n">
        <v>103000</v>
      </c>
      <c r="E20" s="32" t="n">
        <v>103000</v>
      </c>
      <c r="F20" s="32" t="n">
        <v>103000</v>
      </c>
      <c r="G20" s="32" t="n">
        <v>103000</v>
      </c>
      <c r="H20" s="32" t="n">
        <v>103000</v>
      </c>
      <c r="I20" s="32" t="n">
        <v>103000</v>
      </c>
      <c r="J20" s="32" t="n">
        <v>103000</v>
      </c>
      <c r="K20" s="32" t="n">
        <v>103000</v>
      </c>
      <c r="L20" s="32" t="n">
        <v>103000</v>
      </c>
      <c r="M20" s="32" t="n">
        <v>103000</v>
      </c>
      <c r="N20" s="32" t="n">
        <v>103000</v>
      </c>
      <c r="O20" s="32" t="n">
        <v>103000</v>
      </c>
      <c r="P20" s="32" t="n">
        <v>103000</v>
      </c>
      <c r="Q20" s="32" t="n">
        <v>103000</v>
      </c>
      <c r="R20" s="32" t="n">
        <v>103000</v>
      </c>
      <c r="S20" s="32" t="n">
        <v>103000</v>
      </c>
      <c r="T20" s="32" t="n">
        <v>103000</v>
      </c>
      <c r="U20" s="32" t="n">
        <v>0</v>
      </c>
      <c r="V20" s="32" t="n">
        <v>103000</v>
      </c>
      <c r="W20" s="32" t="n">
        <v>103000</v>
      </c>
      <c r="X20" s="13" t="n">
        <f aca="false">IFERROR(AVERAGEIF(D20:H20,"&lt;&gt;0"),"")</f>
        <v>103000</v>
      </c>
      <c r="Y20" s="13" t="n">
        <f aca="false">IFERROR(AVERAGEIF(I20:M20,"&lt;&gt;0"),"")</f>
        <v>103000</v>
      </c>
      <c r="Z20" s="13" t="n">
        <f aca="false">IFERROR(AVERAGEIF(N20:R20,"&lt;&gt;0"),"")</f>
        <v>103000</v>
      </c>
      <c r="AA20" s="13" t="n">
        <f aca="false">IFERROR(AVERAGEIF(S20:W20,"&lt;&gt;0"),"")</f>
        <v>103000</v>
      </c>
      <c r="AB20" s="13" t="n">
        <f aca="false">IFERROR(AVERAGEIF(D20:W20,"&lt;&gt;0"),"")</f>
        <v>103000</v>
      </c>
    </row>
    <row r="21" customFormat="false" ht="15" hidden="false" customHeight="false" outlineLevel="0" collapsed="false">
      <c r="A21" s="3" t="n">
        <v>17</v>
      </c>
      <c r="B21" s="3" t="s">
        <v>431</v>
      </c>
      <c r="C21" s="3" t="s">
        <v>471</v>
      </c>
      <c r="D21" s="32" t="n">
        <v>60000</v>
      </c>
      <c r="E21" s="32" t="n">
        <v>60000</v>
      </c>
      <c r="F21" s="32" t="n">
        <v>60000</v>
      </c>
      <c r="G21" s="32" t="n">
        <v>60000</v>
      </c>
      <c r="H21" s="32" t="n">
        <v>60000</v>
      </c>
      <c r="I21" s="32" t="n">
        <v>60000</v>
      </c>
      <c r="J21" s="32" t="n">
        <v>60000</v>
      </c>
      <c r="K21" s="32" t="n">
        <v>60000</v>
      </c>
      <c r="L21" s="32" t="n">
        <v>60000</v>
      </c>
      <c r="M21" s="32" t="n">
        <v>60000</v>
      </c>
      <c r="N21" s="32" t="n">
        <v>60000</v>
      </c>
      <c r="O21" s="32" t="n">
        <v>60000</v>
      </c>
      <c r="P21" s="32" t="n">
        <v>60000</v>
      </c>
      <c r="Q21" s="32" t="n">
        <v>60000</v>
      </c>
      <c r="R21" s="32" t="n">
        <v>60000</v>
      </c>
      <c r="S21" s="32" t="n">
        <v>60000</v>
      </c>
      <c r="T21" s="32" t="n">
        <v>60000</v>
      </c>
      <c r="U21" s="32" t="n">
        <v>0</v>
      </c>
      <c r="V21" s="32" t="n">
        <v>60000</v>
      </c>
      <c r="W21" s="32" t="n">
        <v>60000</v>
      </c>
      <c r="X21" s="13" t="n">
        <f aca="false">IFERROR(AVERAGEIF(D21:H21,"&lt;&gt;0"),"")</f>
        <v>60000</v>
      </c>
      <c r="Y21" s="13" t="n">
        <f aca="false">IFERROR(AVERAGEIF(I21:M21,"&lt;&gt;0"),"")</f>
        <v>60000</v>
      </c>
      <c r="Z21" s="13" t="n">
        <f aca="false">IFERROR(AVERAGEIF(N21:R21,"&lt;&gt;0"),"")</f>
        <v>60000</v>
      </c>
      <c r="AA21" s="13" t="n">
        <f aca="false">IFERROR(AVERAGEIF(S21:W21,"&lt;&gt;0"),"")</f>
        <v>60000</v>
      </c>
      <c r="AB21" s="13" t="n">
        <f aca="false">IFERROR(AVERAGEIF(D21:W21,"&lt;&gt;0"),"")</f>
        <v>60000</v>
      </c>
    </row>
    <row r="22" customFormat="false" ht="15" hidden="false" customHeight="false" outlineLevel="0" collapsed="false">
      <c r="A22" s="3" t="n">
        <v>18</v>
      </c>
      <c r="B22" s="3" t="s">
        <v>432</v>
      </c>
      <c r="C22" s="3" t="s">
        <v>471</v>
      </c>
      <c r="D22" s="32" t="n">
        <v>70000</v>
      </c>
      <c r="E22" s="32" t="n">
        <v>70000</v>
      </c>
      <c r="F22" s="32" t="n">
        <v>70000</v>
      </c>
      <c r="G22" s="32" t="n">
        <v>70000</v>
      </c>
      <c r="H22" s="32" t="n">
        <v>70000</v>
      </c>
      <c r="I22" s="32" t="n">
        <v>70000</v>
      </c>
      <c r="J22" s="32" t="n">
        <v>70000</v>
      </c>
      <c r="K22" s="32" t="n">
        <v>70000</v>
      </c>
      <c r="L22" s="32" t="n">
        <v>70000</v>
      </c>
      <c r="M22" s="32" t="n">
        <v>70000</v>
      </c>
      <c r="N22" s="32" t="n">
        <v>70000</v>
      </c>
      <c r="O22" s="32" t="n">
        <v>70000</v>
      </c>
      <c r="P22" s="32" t="n">
        <v>70000</v>
      </c>
      <c r="Q22" s="32" t="n">
        <v>70000</v>
      </c>
      <c r="R22" s="32" t="n">
        <v>70000</v>
      </c>
      <c r="S22" s="32" t="n">
        <v>70000</v>
      </c>
      <c r="T22" s="32" t="n">
        <v>70000</v>
      </c>
      <c r="U22" s="32" t="n">
        <v>0</v>
      </c>
      <c r="V22" s="32" t="n">
        <v>70000</v>
      </c>
      <c r="W22" s="32" t="n">
        <v>70000</v>
      </c>
      <c r="X22" s="13" t="n">
        <f aca="false">IFERROR(AVERAGEIF(D22:H22,"&lt;&gt;0"),"")</f>
        <v>70000</v>
      </c>
      <c r="Y22" s="13" t="n">
        <f aca="false">IFERROR(AVERAGEIF(I22:M22,"&lt;&gt;0"),"")</f>
        <v>70000</v>
      </c>
      <c r="Z22" s="13" t="n">
        <f aca="false">IFERROR(AVERAGEIF(N22:R22,"&lt;&gt;0"),"")</f>
        <v>70000</v>
      </c>
      <c r="AA22" s="13" t="n">
        <f aca="false">IFERROR(AVERAGEIF(S22:W22,"&lt;&gt;0"),"")</f>
        <v>70000</v>
      </c>
      <c r="AB22" s="13" t="n">
        <f aca="false">IFERROR(AVERAGEIF(D22:W22,"&lt;&gt;0"),"")</f>
        <v>70000</v>
      </c>
    </row>
    <row r="23" customFormat="false" ht="15" hidden="false" customHeight="false" outlineLevel="0" collapsed="false">
      <c r="A23" s="3" t="n">
        <v>19</v>
      </c>
      <c r="B23" s="3" t="s">
        <v>473</v>
      </c>
      <c r="C23" s="3" t="s">
        <v>471</v>
      </c>
      <c r="D23" s="32" t="n">
        <v>30000</v>
      </c>
      <c r="E23" s="32" t="n">
        <v>30000</v>
      </c>
      <c r="F23" s="32" t="n">
        <v>30000</v>
      </c>
      <c r="G23" s="32" t="n">
        <v>30000</v>
      </c>
      <c r="H23" s="32" t="n">
        <v>30000</v>
      </c>
      <c r="I23" s="32" t="n">
        <v>30000</v>
      </c>
      <c r="J23" s="32" t="n">
        <v>30000</v>
      </c>
      <c r="K23" s="32" t="n">
        <v>30000</v>
      </c>
      <c r="L23" s="32" t="n">
        <v>30000</v>
      </c>
      <c r="M23" s="32" t="n">
        <v>30000</v>
      </c>
      <c r="N23" s="32" t="n">
        <v>30000</v>
      </c>
      <c r="O23" s="32" t="n">
        <v>30000</v>
      </c>
      <c r="P23" s="32" t="n">
        <v>30000</v>
      </c>
      <c r="Q23" s="32" t="n">
        <v>30000</v>
      </c>
      <c r="R23" s="32" t="n">
        <v>30000</v>
      </c>
      <c r="S23" s="32" t="n">
        <v>30000</v>
      </c>
      <c r="T23" s="32" t="n">
        <v>30000</v>
      </c>
      <c r="U23" s="32" t="n">
        <v>0</v>
      </c>
      <c r="V23" s="32" t="n">
        <v>30000</v>
      </c>
      <c r="W23" s="32" t="n">
        <v>30000</v>
      </c>
      <c r="X23" s="13" t="n">
        <f aca="false">IFERROR(AVERAGEIF(D23:H23,"&lt;&gt;0"),"")</f>
        <v>30000</v>
      </c>
      <c r="Y23" s="13" t="n">
        <f aca="false">IFERROR(AVERAGEIF(I23:M23,"&lt;&gt;0"),"")</f>
        <v>30000</v>
      </c>
      <c r="Z23" s="13" t="n">
        <f aca="false">IFERROR(AVERAGEIF(N23:R23,"&lt;&gt;0"),"")</f>
        <v>30000</v>
      </c>
      <c r="AA23" s="13" t="n">
        <f aca="false">IFERROR(AVERAGEIF(S23:W23,"&lt;&gt;0"),"")</f>
        <v>30000</v>
      </c>
      <c r="AB23" s="13" t="n">
        <f aca="false">IFERROR(AVERAGEIF(D23:W23,"&lt;&gt;0"),"")</f>
        <v>30000</v>
      </c>
    </row>
    <row r="24" customFormat="false" ht="15" hidden="false" customHeight="false" outlineLevel="0" collapsed="false">
      <c r="A24" s="3" t="n">
        <v>20</v>
      </c>
      <c r="B24" s="3" t="s">
        <v>421</v>
      </c>
      <c r="C24" s="3" t="s">
        <v>471</v>
      </c>
      <c r="D24" s="32" t="n">
        <v>35000</v>
      </c>
      <c r="E24" s="32" t="n">
        <v>35000</v>
      </c>
      <c r="F24" s="32" t="n">
        <v>35000</v>
      </c>
      <c r="G24" s="32" t="n">
        <v>35000</v>
      </c>
      <c r="H24" s="32" t="n">
        <v>35000</v>
      </c>
      <c r="I24" s="32" t="n">
        <v>35000</v>
      </c>
      <c r="J24" s="32" t="n">
        <v>35000</v>
      </c>
      <c r="K24" s="32" t="n">
        <v>35000</v>
      </c>
      <c r="L24" s="32" t="n">
        <v>35000</v>
      </c>
      <c r="M24" s="32" t="n">
        <v>35000</v>
      </c>
      <c r="N24" s="32" t="n">
        <v>35000</v>
      </c>
      <c r="O24" s="32" t="n">
        <v>35000</v>
      </c>
      <c r="P24" s="32" t="n">
        <v>35000</v>
      </c>
      <c r="Q24" s="32" t="n">
        <v>35000</v>
      </c>
      <c r="R24" s="32" t="n">
        <v>35000</v>
      </c>
      <c r="S24" s="32" t="n">
        <v>35000</v>
      </c>
      <c r="T24" s="32" t="n">
        <v>35000</v>
      </c>
      <c r="U24" s="32" t="n">
        <v>0</v>
      </c>
      <c r="V24" s="32" t="n">
        <v>35000</v>
      </c>
      <c r="W24" s="32" t="n">
        <v>35000</v>
      </c>
      <c r="X24" s="13" t="n">
        <f aca="false">IFERROR(AVERAGEIF(D24:H24,"&lt;&gt;0"),"")</f>
        <v>35000</v>
      </c>
      <c r="Y24" s="13" t="n">
        <f aca="false">IFERROR(AVERAGEIF(I24:M24,"&lt;&gt;0"),"")</f>
        <v>35000</v>
      </c>
      <c r="Z24" s="13" t="n">
        <f aca="false">IFERROR(AVERAGEIF(N24:R24,"&lt;&gt;0"),"")</f>
        <v>35000</v>
      </c>
      <c r="AA24" s="13" t="n">
        <f aca="false">IFERROR(AVERAGEIF(S24:W24,"&lt;&gt;0"),"")</f>
        <v>35000</v>
      </c>
      <c r="AB24" s="13" t="n">
        <f aca="false">IFERROR(AVERAGEIF(D24:W24,"&lt;&gt;0"),"")</f>
        <v>35000</v>
      </c>
    </row>
    <row r="25" customFormat="false" ht="15" hidden="false" customHeight="false" outlineLevel="0" collapsed="false">
      <c r="A25" s="3" t="n">
        <v>21</v>
      </c>
      <c r="B25" s="3" t="s">
        <v>474</v>
      </c>
      <c r="C25" s="3" t="s">
        <v>471</v>
      </c>
      <c r="D25" s="32" t="n">
        <v>75000</v>
      </c>
      <c r="E25" s="32" t="n">
        <v>75000</v>
      </c>
      <c r="F25" s="32" t="n">
        <v>75000</v>
      </c>
      <c r="G25" s="32" t="n">
        <v>75000</v>
      </c>
      <c r="H25" s="32" t="n">
        <v>75000</v>
      </c>
      <c r="I25" s="32" t="n">
        <v>75000</v>
      </c>
      <c r="J25" s="32" t="n">
        <v>75000</v>
      </c>
      <c r="K25" s="32" t="n">
        <v>75000</v>
      </c>
      <c r="L25" s="32" t="n">
        <v>75000</v>
      </c>
      <c r="M25" s="32" t="n">
        <v>75000</v>
      </c>
      <c r="N25" s="32" t="n">
        <v>75000</v>
      </c>
      <c r="O25" s="32" t="n">
        <v>75000</v>
      </c>
      <c r="P25" s="32" t="n">
        <v>75000</v>
      </c>
      <c r="Q25" s="32" t="n">
        <v>75000</v>
      </c>
      <c r="R25" s="32" t="n">
        <v>75000</v>
      </c>
      <c r="S25" s="32" t="n">
        <v>75000</v>
      </c>
      <c r="T25" s="32" t="n">
        <v>75000</v>
      </c>
      <c r="U25" s="32" t="n">
        <v>0</v>
      </c>
      <c r="V25" s="32" t="n">
        <v>75000</v>
      </c>
      <c r="W25" s="32" t="n">
        <v>75000</v>
      </c>
      <c r="X25" s="13" t="n">
        <f aca="false">IFERROR(AVERAGEIF(D25:H25,"&lt;&gt;0"),"")</f>
        <v>75000</v>
      </c>
      <c r="Y25" s="13" t="n">
        <f aca="false">IFERROR(AVERAGEIF(I25:M25,"&lt;&gt;0"),"")</f>
        <v>75000</v>
      </c>
      <c r="Z25" s="13" t="n">
        <f aca="false">IFERROR(AVERAGEIF(N25:R25,"&lt;&gt;0"),"")</f>
        <v>75000</v>
      </c>
      <c r="AA25" s="13" t="n">
        <f aca="false">IFERROR(AVERAGEIF(S25:W25,"&lt;&gt;0"),"")</f>
        <v>75000</v>
      </c>
      <c r="AB25" s="13" t="n">
        <f aca="false">IFERROR(AVERAGEIF(D25:W25,"&lt;&gt;0"),"")</f>
        <v>75000</v>
      </c>
    </row>
    <row r="26" customFormat="false" ht="15" hidden="false" customHeight="false" outlineLevel="0" collapsed="false">
      <c r="A26" s="3" t="n">
        <v>22</v>
      </c>
      <c r="B26" s="3" t="s">
        <v>426</v>
      </c>
      <c r="C26" s="3" t="s">
        <v>471</v>
      </c>
      <c r="D26" s="32" t="n">
        <v>2800</v>
      </c>
      <c r="E26" s="32" t="n">
        <v>2800</v>
      </c>
      <c r="F26" s="32" t="n">
        <v>2800</v>
      </c>
      <c r="G26" s="32" t="n">
        <v>2800</v>
      </c>
      <c r="H26" s="32" t="n">
        <v>2800</v>
      </c>
      <c r="I26" s="32" t="n">
        <v>2800</v>
      </c>
      <c r="J26" s="32" t="n">
        <v>2800</v>
      </c>
      <c r="K26" s="32" t="n">
        <v>2800</v>
      </c>
      <c r="L26" s="32" t="n">
        <v>2800</v>
      </c>
      <c r="M26" s="32" t="n">
        <v>2800</v>
      </c>
      <c r="N26" s="32" t="n">
        <v>2800</v>
      </c>
      <c r="O26" s="32" t="n">
        <v>2800</v>
      </c>
      <c r="P26" s="32" t="n">
        <v>2800</v>
      </c>
      <c r="Q26" s="32" t="n">
        <v>2800</v>
      </c>
      <c r="R26" s="32" t="n">
        <v>2800</v>
      </c>
      <c r="S26" s="32" t="n">
        <v>2800</v>
      </c>
      <c r="T26" s="32" t="n">
        <v>2800</v>
      </c>
      <c r="U26" s="32" t="n">
        <v>0</v>
      </c>
      <c r="V26" s="32" t="n">
        <v>2800</v>
      </c>
      <c r="W26" s="32" t="n">
        <v>2800</v>
      </c>
      <c r="X26" s="13" t="n">
        <f aca="false">IFERROR(AVERAGEIF(D26:H26,"&lt;&gt;0"),"")</f>
        <v>2800</v>
      </c>
      <c r="Y26" s="13" t="n">
        <f aca="false">IFERROR(AVERAGEIF(I26:M26,"&lt;&gt;0"),"")</f>
        <v>2800</v>
      </c>
      <c r="Z26" s="13" t="n">
        <f aca="false">IFERROR(AVERAGEIF(N26:R26,"&lt;&gt;0"),"")</f>
        <v>2800</v>
      </c>
      <c r="AA26" s="13" t="n">
        <f aca="false">IFERROR(AVERAGEIF(S26:W26,"&lt;&gt;0"),"")</f>
        <v>2800</v>
      </c>
      <c r="AB26" s="13" t="n">
        <f aca="false">IFERROR(AVERAGEIF(D26:W26,"&lt;&gt;0"),"")</f>
        <v>2800</v>
      </c>
    </row>
    <row r="27" customFormat="false" ht="15" hidden="false" customHeight="false" outlineLevel="0" collapsed="false">
      <c r="A27" s="3" t="n">
        <v>23</v>
      </c>
      <c r="B27" s="3" t="s">
        <v>424</v>
      </c>
      <c r="C27" s="3" t="s">
        <v>471</v>
      </c>
      <c r="D27" s="32" t="n">
        <v>34000</v>
      </c>
      <c r="E27" s="32" t="n">
        <v>34000</v>
      </c>
      <c r="F27" s="32" t="n">
        <v>34000</v>
      </c>
      <c r="G27" s="32" t="n">
        <v>34000</v>
      </c>
      <c r="H27" s="32" t="n">
        <v>34000</v>
      </c>
      <c r="I27" s="32" t="n">
        <v>35000</v>
      </c>
      <c r="J27" s="32" t="n">
        <v>35000</v>
      </c>
      <c r="K27" s="32" t="n">
        <v>35000</v>
      </c>
      <c r="L27" s="32" t="n">
        <v>35000</v>
      </c>
      <c r="M27" s="32" t="n">
        <v>35000</v>
      </c>
      <c r="N27" s="32" t="n">
        <v>36000</v>
      </c>
      <c r="O27" s="32" t="n">
        <v>36000</v>
      </c>
      <c r="P27" s="32" t="n">
        <v>36000</v>
      </c>
      <c r="Q27" s="32" t="n">
        <v>36000</v>
      </c>
      <c r="R27" s="32" t="n">
        <v>36000</v>
      </c>
      <c r="S27" s="32" t="n">
        <v>36000</v>
      </c>
      <c r="T27" s="32" t="n">
        <v>36000</v>
      </c>
      <c r="U27" s="32" t="n">
        <v>0</v>
      </c>
      <c r="V27" s="32" t="n">
        <v>36000</v>
      </c>
      <c r="W27" s="32" t="n">
        <v>36000</v>
      </c>
      <c r="X27" s="13" t="n">
        <f aca="false">IFERROR(AVERAGEIF(D27:H27,"&lt;&gt;0"),"")</f>
        <v>34000</v>
      </c>
      <c r="Y27" s="13" t="n">
        <f aca="false">IFERROR(AVERAGEIF(I27:M27,"&lt;&gt;0"),"")</f>
        <v>35000</v>
      </c>
      <c r="Z27" s="13" t="n">
        <f aca="false">IFERROR(AVERAGEIF(N27:R27,"&lt;&gt;0"),"")</f>
        <v>36000</v>
      </c>
      <c r="AA27" s="13" t="n">
        <f aca="false">IFERROR(AVERAGEIF(S27:W27,"&lt;&gt;0"),"")</f>
        <v>36000</v>
      </c>
      <c r="AB27" s="13" t="n">
        <f aca="false">IFERROR(AVERAGEIF(D27:W27,"&lt;&gt;0"),"")</f>
        <v>35210.5263157895</v>
      </c>
    </row>
    <row r="28" customFormat="false" ht="15" hidden="false" customHeight="false" outlineLevel="0" collapsed="false">
      <c r="A28" s="3" t="n">
        <v>24</v>
      </c>
      <c r="B28" s="3" t="s">
        <v>425</v>
      </c>
      <c r="C28" s="3" t="s">
        <v>471</v>
      </c>
      <c r="D28" s="32" t="n">
        <v>38000</v>
      </c>
      <c r="E28" s="32" t="n">
        <v>38000</v>
      </c>
      <c r="F28" s="32" t="n">
        <v>38000</v>
      </c>
      <c r="G28" s="32" t="n">
        <v>38000</v>
      </c>
      <c r="H28" s="32" t="n">
        <v>38000</v>
      </c>
      <c r="I28" s="32" t="n">
        <v>38000</v>
      </c>
      <c r="J28" s="32" t="n">
        <v>38000</v>
      </c>
      <c r="K28" s="32" t="n">
        <v>38000</v>
      </c>
      <c r="L28" s="32" t="n">
        <v>38000</v>
      </c>
      <c r="M28" s="32" t="n">
        <v>38000</v>
      </c>
      <c r="N28" s="32" t="n">
        <v>38000</v>
      </c>
      <c r="O28" s="32" t="n">
        <v>38000</v>
      </c>
      <c r="P28" s="32" t="n">
        <v>38000</v>
      </c>
      <c r="Q28" s="32" t="n">
        <v>38000</v>
      </c>
      <c r="R28" s="32" t="n">
        <v>38000</v>
      </c>
      <c r="S28" s="32" t="n">
        <v>38000</v>
      </c>
      <c r="T28" s="32" t="n">
        <v>38000</v>
      </c>
      <c r="U28" s="32" t="n">
        <v>0</v>
      </c>
      <c r="V28" s="32" t="n">
        <v>38000</v>
      </c>
      <c r="W28" s="32" t="n">
        <v>38000</v>
      </c>
      <c r="X28" s="13" t="n">
        <f aca="false">IFERROR(AVERAGEIF(D28:H28,"&lt;&gt;0"),"")</f>
        <v>38000</v>
      </c>
      <c r="Y28" s="13" t="n">
        <f aca="false">IFERROR(AVERAGEIF(I28:M28,"&lt;&gt;0"),"")</f>
        <v>38000</v>
      </c>
      <c r="Z28" s="13" t="n">
        <f aca="false">IFERROR(AVERAGEIF(N28:R28,"&lt;&gt;0"),"")</f>
        <v>38000</v>
      </c>
      <c r="AA28" s="13" t="n">
        <f aca="false">IFERROR(AVERAGEIF(S28:W28,"&lt;&gt;0"),"")</f>
        <v>38000</v>
      </c>
      <c r="AB28" s="13" t="n">
        <f aca="false">IFERROR(AVERAGEIF(D28:W28,"&lt;&gt;0"),"")</f>
        <v>38000</v>
      </c>
    </row>
    <row r="29" customFormat="false" ht="15" hidden="false" customHeight="false" outlineLevel="0" collapsed="false">
      <c r="A29" s="3" t="n">
        <v>25</v>
      </c>
      <c r="B29" s="3" t="s">
        <v>475</v>
      </c>
      <c r="C29" s="3" t="s">
        <v>471</v>
      </c>
      <c r="D29" s="32" t="n">
        <v>25000</v>
      </c>
      <c r="E29" s="32" t="n">
        <v>25000</v>
      </c>
      <c r="F29" s="32" t="n">
        <v>25000</v>
      </c>
      <c r="G29" s="32" t="n">
        <v>25000</v>
      </c>
      <c r="H29" s="32" t="n">
        <v>25000</v>
      </c>
      <c r="I29" s="32" t="n">
        <v>25000</v>
      </c>
      <c r="J29" s="32" t="n">
        <v>25000</v>
      </c>
      <c r="K29" s="32" t="n">
        <v>25000</v>
      </c>
      <c r="L29" s="32" t="n">
        <v>25000</v>
      </c>
      <c r="M29" s="32" t="n">
        <v>25000</v>
      </c>
      <c r="N29" s="32" t="n">
        <v>25000</v>
      </c>
      <c r="O29" s="32" t="n">
        <v>25000</v>
      </c>
      <c r="P29" s="32" t="n">
        <v>25000</v>
      </c>
      <c r="Q29" s="32" t="n">
        <v>25000</v>
      </c>
      <c r="R29" s="32" t="n">
        <v>25000</v>
      </c>
      <c r="S29" s="32" t="n">
        <v>25000</v>
      </c>
      <c r="T29" s="32" t="n">
        <v>25000</v>
      </c>
      <c r="U29" s="32" t="n">
        <v>0</v>
      </c>
      <c r="V29" s="32" t="n">
        <v>25000</v>
      </c>
      <c r="W29" s="32" t="n">
        <v>25000</v>
      </c>
      <c r="X29" s="13" t="n">
        <f aca="false">IFERROR(AVERAGEIF(D29:H29,"&lt;&gt;0"),"")</f>
        <v>25000</v>
      </c>
      <c r="Y29" s="13" t="n">
        <f aca="false">IFERROR(AVERAGEIF(I29:M29,"&lt;&gt;0"),"")</f>
        <v>25000</v>
      </c>
      <c r="Z29" s="13" t="n">
        <f aca="false">IFERROR(AVERAGEIF(N29:R29,"&lt;&gt;0"),"")</f>
        <v>25000</v>
      </c>
      <c r="AA29" s="13" t="n">
        <f aca="false">IFERROR(AVERAGEIF(S29:W29,"&lt;&gt;0"),"")</f>
        <v>25000</v>
      </c>
      <c r="AB29" s="13" t="n">
        <f aca="false">IFERROR(AVERAGEIF(D29:W29,"&lt;&gt;0"),"")</f>
        <v>25000</v>
      </c>
    </row>
    <row r="30" customFormat="false" ht="15" hidden="false" customHeight="false" outlineLevel="0" collapsed="false">
      <c r="A30" s="3" t="n">
        <v>26</v>
      </c>
      <c r="B30" s="3" t="s">
        <v>476</v>
      </c>
      <c r="C30" s="3" t="s">
        <v>471</v>
      </c>
      <c r="D30" s="32" t="n">
        <v>8000</v>
      </c>
      <c r="E30" s="32" t="n">
        <v>8000</v>
      </c>
      <c r="F30" s="32" t="n">
        <v>8000</v>
      </c>
      <c r="G30" s="32" t="n">
        <v>8000</v>
      </c>
      <c r="H30" s="32" t="n">
        <v>8000</v>
      </c>
      <c r="I30" s="32" t="n">
        <v>8000</v>
      </c>
      <c r="J30" s="32" t="n">
        <v>8000</v>
      </c>
      <c r="K30" s="32" t="n">
        <v>8000</v>
      </c>
      <c r="L30" s="32" t="n">
        <v>8000</v>
      </c>
      <c r="M30" s="32" t="n">
        <v>8000</v>
      </c>
      <c r="N30" s="32" t="n">
        <v>8000</v>
      </c>
      <c r="O30" s="32" t="n">
        <v>8000</v>
      </c>
      <c r="P30" s="32" t="n">
        <v>8000</v>
      </c>
      <c r="Q30" s="32" t="n">
        <v>8000</v>
      </c>
      <c r="R30" s="32" t="n">
        <v>8000</v>
      </c>
      <c r="S30" s="32" t="n">
        <v>8000</v>
      </c>
      <c r="T30" s="32" t="n">
        <v>8000</v>
      </c>
      <c r="U30" s="32" t="n">
        <v>0</v>
      </c>
      <c r="V30" s="32" t="n">
        <v>8000</v>
      </c>
      <c r="W30" s="32" t="n">
        <v>8000</v>
      </c>
      <c r="X30" s="13" t="n">
        <f aca="false">IFERROR(AVERAGEIF(D30:H30,"&lt;&gt;0"),"")</f>
        <v>8000</v>
      </c>
      <c r="Y30" s="13" t="n">
        <f aca="false">IFERROR(AVERAGEIF(I30:M30,"&lt;&gt;0"),"")</f>
        <v>8000</v>
      </c>
      <c r="Z30" s="13" t="n">
        <f aca="false">IFERROR(AVERAGEIF(N30:R30,"&lt;&gt;0"),"")</f>
        <v>8000</v>
      </c>
      <c r="AA30" s="13" t="n">
        <f aca="false">IFERROR(AVERAGEIF(S30:W30,"&lt;&gt;0"),"")</f>
        <v>8000</v>
      </c>
      <c r="AB30" s="13" t="n">
        <f aca="false">IFERROR(AVERAGEIF(D30:W30,"&lt;&gt;0"),"")</f>
        <v>8000</v>
      </c>
    </row>
    <row r="31" customFormat="false" ht="15" hidden="false" customHeight="false" outlineLevel="0" collapsed="false">
      <c r="A31" s="3" t="n">
        <v>27</v>
      </c>
      <c r="B31" s="3" t="s">
        <v>427</v>
      </c>
      <c r="C31" s="3" t="s">
        <v>471</v>
      </c>
      <c r="D31" s="32" t="n">
        <v>10500</v>
      </c>
      <c r="E31" s="32" t="n">
        <v>10500</v>
      </c>
      <c r="F31" s="32" t="n">
        <v>10500</v>
      </c>
      <c r="G31" s="32" t="n">
        <v>10500</v>
      </c>
      <c r="H31" s="32" t="n">
        <v>10500</v>
      </c>
      <c r="I31" s="32" t="n">
        <v>10500</v>
      </c>
      <c r="J31" s="32" t="n">
        <v>10500</v>
      </c>
      <c r="K31" s="32" t="n">
        <v>10500</v>
      </c>
      <c r="L31" s="32" t="n">
        <v>10500</v>
      </c>
      <c r="M31" s="32" t="n">
        <v>10500</v>
      </c>
      <c r="N31" s="32" t="n">
        <v>10500</v>
      </c>
      <c r="O31" s="32" t="n">
        <v>10500</v>
      </c>
      <c r="P31" s="32" t="n">
        <v>10500</v>
      </c>
      <c r="Q31" s="32" t="n">
        <v>10500</v>
      </c>
      <c r="R31" s="32" t="n">
        <v>10500</v>
      </c>
      <c r="S31" s="32" t="n">
        <v>10500</v>
      </c>
      <c r="T31" s="32" t="n">
        <v>10500</v>
      </c>
      <c r="U31" s="32" t="n">
        <v>0</v>
      </c>
      <c r="V31" s="32" t="n">
        <v>10500</v>
      </c>
      <c r="W31" s="32" t="n">
        <v>10500</v>
      </c>
      <c r="X31" s="13" t="n">
        <f aca="false">IFERROR(AVERAGEIF(D31:H31,"&lt;&gt;0"),"")</f>
        <v>10500</v>
      </c>
      <c r="Y31" s="13" t="n">
        <f aca="false">IFERROR(AVERAGEIF(I31:M31,"&lt;&gt;0"),"")</f>
        <v>10500</v>
      </c>
      <c r="Z31" s="13" t="n">
        <f aca="false">IFERROR(AVERAGEIF(N31:R31,"&lt;&gt;0"),"")</f>
        <v>10500</v>
      </c>
      <c r="AA31" s="13" t="n">
        <f aca="false">IFERROR(AVERAGEIF(S31:W31,"&lt;&gt;0"),"")</f>
        <v>10500</v>
      </c>
      <c r="AB31" s="13" t="n">
        <f aca="false">IFERROR(AVERAGEIF(D31:W31,"&lt;&gt;0"),"")</f>
        <v>10500</v>
      </c>
    </row>
    <row r="32" customFormat="false" ht="15" hidden="false" customHeight="false" outlineLevel="0" collapsed="false">
      <c r="A32" s="3" t="n">
        <v>28</v>
      </c>
      <c r="B32" s="3" t="s">
        <v>422</v>
      </c>
      <c r="C32" s="3" t="s">
        <v>471</v>
      </c>
      <c r="D32" s="32" t="n">
        <v>42000</v>
      </c>
      <c r="E32" s="32" t="n">
        <v>42000</v>
      </c>
      <c r="F32" s="32" t="n">
        <v>42000</v>
      </c>
      <c r="G32" s="32" t="n">
        <v>42000</v>
      </c>
      <c r="H32" s="32" t="n">
        <v>42000</v>
      </c>
      <c r="I32" s="32" t="n">
        <v>42000</v>
      </c>
      <c r="J32" s="32" t="n">
        <v>42000</v>
      </c>
      <c r="K32" s="32" t="n">
        <v>42000</v>
      </c>
      <c r="L32" s="32" t="n">
        <v>42000</v>
      </c>
      <c r="M32" s="32" t="n">
        <v>42000</v>
      </c>
      <c r="N32" s="32" t="n">
        <v>42000</v>
      </c>
      <c r="O32" s="32" t="n">
        <v>42000</v>
      </c>
      <c r="P32" s="32" t="n">
        <v>42000</v>
      </c>
      <c r="Q32" s="32" t="n">
        <v>42000</v>
      </c>
      <c r="R32" s="32" t="n">
        <v>42000</v>
      </c>
      <c r="S32" s="32" t="n">
        <v>42000</v>
      </c>
      <c r="T32" s="32" t="n">
        <v>42000</v>
      </c>
      <c r="U32" s="32" t="n">
        <v>0</v>
      </c>
      <c r="V32" s="32" t="n">
        <v>42000</v>
      </c>
      <c r="W32" s="32" t="n">
        <v>42000</v>
      </c>
      <c r="X32" s="13" t="n">
        <f aca="false">IFERROR(AVERAGEIF(D32:H32,"&lt;&gt;0"),"")</f>
        <v>42000</v>
      </c>
      <c r="Y32" s="13" t="n">
        <f aca="false">IFERROR(AVERAGEIF(I32:M32,"&lt;&gt;0"),"")</f>
        <v>42000</v>
      </c>
      <c r="Z32" s="13" t="n">
        <f aca="false">IFERROR(AVERAGEIF(N32:R32,"&lt;&gt;0"),"")</f>
        <v>42000</v>
      </c>
      <c r="AA32" s="13" t="n">
        <f aca="false">IFERROR(AVERAGEIF(S32:W32,"&lt;&gt;0"),"")</f>
        <v>42000</v>
      </c>
      <c r="AB32" s="13" t="n">
        <f aca="false">IFERROR(AVERAGEIF(D32:W32,"&lt;&gt;0"),"")</f>
        <v>42000</v>
      </c>
    </row>
    <row r="33" customFormat="false" ht="15" hidden="false" customHeight="false" outlineLevel="0" collapsed="false">
      <c r="A33" s="3" t="n">
        <v>29</v>
      </c>
      <c r="B33" s="3" t="s">
        <v>433</v>
      </c>
      <c r="C33" s="3" t="s">
        <v>471</v>
      </c>
      <c r="D33" s="32" t="n">
        <v>9000</v>
      </c>
      <c r="E33" s="32" t="n">
        <v>9000</v>
      </c>
      <c r="F33" s="32" t="n">
        <v>9000</v>
      </c>
      <c r="G33" s="32" t="n">
        <v>9000</v>
      </c>
      <c r="H33" s="32" t="n">
        <v>9000</v>
      </c>
      <c r="I33" s="32" t="n">
        <v>9000</v>
      </c>
      <c r="J33" s="32" t="n">
        <v>9000</v>
      </c>
      <c r="K33" s="32" t="n">
        <v>9000</v>
      </c>
      <c r="L33" s="32" t="n">
        <v>9000</v>
      </c>
      <c r="M33" s="32" t="n">
        <v>9000</v>
      </c>
      <c r="N33" s="32" t="n">
        <v>9000</v>
      </c>
      <c r="O33" s="32" t="n">
        <v>9000</v>
      </c>
      <c r="P33" s="32" t="n">
        <v>9000</v>
      </c>
      <c r="Q33" s="32" t="n">
        <v>9000</v>
      </c>
      <c r="R33" s="32" t="n">
        <v>9000</v>
      </c>
      <c r="S33" s="32" t="n">
        <v>9000</v>
      </c>
      <c r="T33" s="32" t="n">
        <v>9000</v>
      </c>
      <c r="U33" s="32" t="n">
        <v>0</v>
      </c>
      <c r="V33" s="32" t="n">
        <v>9000</v>
      </c>
      <c r="W33" s="32" t="n">
        <v>9000</v>
      </c>
      <c r="X33" s="13" t="n">
        <f aca="false">IFERROR(AVERAGEIF(D33:H33,"&lt;&gt;0"),"")</f>
        <v>9000</v>
      </c>
      <c r="Y33" s="13" t="n">
        <f aca="false">IFERROR(AVERAGEIF(I33:M33,"&lt;&gt;0"),"")</f>
        <v>9000</v>
      </c>
      <c r="Z33" s="13" t="n">
        <f aca="false">IFERROR(AVERAGEIF(N33:R33,"&lt;&gt;0"),"")</f>
        <v>9000</v>
      </c>
      <c r="AA33" s="13" t="n">
        <f aca="false">IFERROR(AVERAGEIF(S33:W33,"&lt;&gt;0"),"")</f>
        <v>9000</v>
      </c>
      <c r="AB33" s="13" t="n">
        <f aca="false">IFERROR(AVERAGEIF(D33:W33,"&lt;&gt;0"),"")</f>
        <v>9000</v>
      </c>
    </row>
    <row r="34" customFormat="false" ht="15" hidden="false" customHeight="false" outlineLevel="0" collapsed="false">
      <c r="A34" s="3" t="n">
        <v>30</v>
      </c>
      <c r="B34" s="3" t="s">
        <v>411</v>
      </c>
      <c r="C34" s="3" t="s">
        <v>471</v>
      </c>
      <c r="D34" s="32" t="n">
        <v>4750</v>
      </c>
      <c r="E34" s="32" t="n">
        <v>4750</v>
      </c>
      <c r="F34" s="32" t="n">
        <v>4750</v>
      </c>
      <c r="G34" s="32" t="n">
        <v>4750</v>
      </c>
      <c r="H34" s="32" t="n">
        <v>4750</v>
      </c>
      <c r="I34" s="32" t="n">
        <v>4750</v>
      </c>
      <c r="J34" s="32" t="n">
        <v>4750</v>
      </c>
      <c r="K34" s="32" t="n">
        <v>4750</v>
      </c>
      <c r="L34" s="32" t="n">
        <v>4750</v>
      </c>
      <c r="M34" s="32" t="n">
        <v>4750</v>
      </c>
      <c r="N34" s="32" t="n">
        <v>4750</v>
      </c>
      <c r="O34" s="32" t="n">
        <v>4750</v>
      </c>
      <c r="P34" s="32" t="n">
        <v>4750</v>
      </c>
      <c r="Q34" s="32" t="n">
        <v>4750</v>
      </c>
      <c r="R34" s="32" t="n">
        <v>4750</v>
      </c>
      <c r="S34" s="32" t="n">
        <v>4750</v>
      </c>
      <c r="T34" s="32" t="n">
        <v>4750</v>
      </c>
      <c r="U34" s="32" t="n">
        <v>0</v>
      </c>
      <c r="V34" s="32" t="n">
        <v>4750</v>
      </c>
      <c r="W34" s="32" t="n">
        <v>4750</v>
      </c>
      <c r="X34" s="13" t="n">
        <f aca="false">IFERROR(AVERAGEIF(D34:H34,"&lt;&gt;0"),"")</f>
        <v>4750</v>
      </c>
      <c r="Y34" s="13" t="n">
        <f aca="false">IFERROR(AVERAGEIF(I34:M34,"&lt;&gt;0"),"")</f>
        <v>4750</v>
      </c>
      <c r="Z34" s="13" t="n">
        <f aca="false">IFERROR(AVERAGEIF(N34:R34,"&lt;&gt;0"),"")</f>
        <v>4750</v>
      </c>
      <c r="AA34" s="13" t="n">
        <f aca="false">IFERROR(AVERAGEIF(S34:W34,"&lt;&gt;0"),"")</f>
        <v>4750</v>
      </c>
      <c r="AB34" s="13" t="n">
        <f aca="false">IFERROR(AVERAGEIF(D34:W34,"&lt;&gt;0"),"")</f>
        <v>4750</v>
      </c>
    </row>
    <row r="35" customFormat="false" ht="15" hidden="false" customHeight="false" outlineLevel="0" collapsed="false">
      <c r="A35" s="3" t="n">
        <v>31</v>
      </c>
      <c r="B35" s="3" t="s">
        <v>416</v>
      </c>
      <c r="C35" s="3" t="s">
        <v>471</v>
      </c>
      <c r="D35" s="32" t="n">
        <v>68000</v>
      </c>
      <c r="E35" s="32" t="n">
        <v>68000</v>
      </c>
      <c r="F35" s="32" t="n">
        <v>68000</v>
      </c>
      <c r="G35" s="32" t="n">
        <v>68000</v>
      </c>
      <c r="H35" s="32" t="n">
        <v>68000</v>
      </c>
      <c r="I35" s="32" t="n">
        <v>68000</v>
      </c>
      <c r="J35" s="32" t="n">
        <v>68000</v>
      </c>
      <c r="K35" s="32" t="n">
        <v>68000</v>
      </c>
      <c r="L35" s="32" t="n">
        <v>68000</v>
      </c>
      <c r="M35" s="32" t="n">
        <v>68000</v>
      </c>
      <c r="N35" s="32" t="n">
        <v>68000</v>
      </c>
      <c r="O35" s="32" t="n">
        <v>68000</v>
      </c>
      <c r="P35" s="32" t="n">
        <v>68000</v>
      </c>
      <c r="Q35" s="32" t="n">
        <v>68000</v>
      </c>
      <c r="R35" s="32" t="n">
        <v>68000</v>
      </c>
      <c r="S35" s="32" t="n">
        <v>68000</v>
      </c>
      <c r="T35" s="32" t="n">
        <v>68000</v>
      </c>
      <c r="U35" s="32" t="n">
        <v>0</v>
      </c>
      <c r="V35" s="32" t="n">
        <v>68000</v>
      </c>
      <c r="W35" s="32" t="n">
        <v>68000</v>
      </c>
      <c r="X35" s="13" t="n">
        <f aca="false">IFERROR(AVERAGEIF(D35:H35,"&lt;&gt;0"),"")</f>
        <v>68000</v>
      </c>
      <c r="Y35" s="13" t="n">
        <f aca="false">IFERROR(AVERAGEIF(I35:M35,"&lt;&gt;0"),"")</f>
        <v>68000</v>
      </c>
      <c r="Z35" s="13" t="n">
        <f aca="false">IFERROR(AVERAGEIF(N35:R35,"&lt;&gt;0"),"")</f>
        <v>68000</v>
      </c>
      <c r="AA35" s="13" t="n">
        <f aca="false">IFERROR(AVERAGEIF(S35:W35,"&lt;&gt;0"),"")</f>
        <v>68000</v>
      </c>
      <c r="AB35" s="13" t="n">
        <f aca="false">IFERROR(AVERAGEIF(D35:W35,"&lt;&gt;0"),"")</f>
        <v>68000</v>
      </c>
    </row>
    <row r="36" customFormat="false" ht="15" hidden="false" customHeight="false" outlineLevel="0" collapsed="false">
      <c r="A36" s="3" t="n">
        <v>32</v>
      </c>
      <c r="B36" s="3" t="s">
        <v>417</v>
      </c>
      <c r="C36" s="3" t="s">
        <v>471</v>
      </c>
      <c r="D36" s="32" t="n">
        <v>13000</v>
      </c>
      <c r="E36" s="32" t="n">
        <v>13000</v>
      </c>
      <c r="F36" s="32" t="n">
        <v>13000</v>
      </c>
      <c r="G36" s="32" t="n">
        <v>13000</v>
      </c>
      <c r="H36" s="32" t="n">
        <v>13000</v>
      </c>
      <c r="I36" s="32" t="n">
        <v>13000</v>
      </c>
      <c r="J36" s="32" t="n">
        <v>13000</v>
      </c>
      <c r="K36" s="32" t="n">
        <v>13000</v>
      </c>
      <c r="L36" s="32" t="n">
        <v>13000</v>
      </c>
      <c r="M36" s="32" t="n">
        <v>13000</v>
      </c>
      <c r="N36" s="32" t="n">
        <v>13000</v>
      </c>
      <c r="O36" s="32" t="n">
        <v>13000</v>
      </c>
      <c r="P36" s="32" t="n">
        <v>13000</v>
      </c>
      <c r="Q36" s="32" t="n">
        <v>13000</v>
      </c>
      <c r="R36" s="32" t="n">
        <v>13000</v>
      </c>
      <c r="S36" s="32" t="n">
        <v>13000</v>
      </c>
      <c r="T36" s="32" t="n">
        <v>13000</v>
      </c>
      <c r="U36" s="32" t="n">
        <v>0</v>
      </c>
      <c r="V36" s="32" t="n">
        <v>13000</v>
      </c>
      <c r="W36" s="32" t="n">
        <v>13000</v>
      </c>
      <c r="X36" s="13" t="n">
        <f aca="false">IFERROR(AVERAGEIF(D36:H36,"&lt;&gt;0"),"")</f>
        <v>13000</v>
      </c>
      <c r="Y36" s="13" t="n">
        <f aca="false">IFERROR(AVERAGEIF(I36:M36,"&lt;&gt;0"),"")</f>
        <v>13000</v>
      </c>
      <c r="Z36" s="13" t="n">
        <f aca="false">IFERROR(AVERAGEIF(N36:R36,"&lt;&gt;0"),"")</f>
        <v>13000</v>
      </c>
      <c r="AA36" s="13" t="n">
        <f aca="false">IFERROR(AVERAGEIF(S36:W36,"&lt;&gt;0"),"")</f>
        <v>13000</v>
      </c>
      <c r="AB36" s="13" t="n">
        <f aca="false">IFERROR(AVERAGEIF(D36:W36,"&lt;&gt;0"),"")</f>
        <v>13000</v>
      </c>
    </row>
    <row r="37" customFormat="false" ht="15" hidden="false" customHeight="false" outlineLevel="0" collapsed="false">
      <c r="A37" s="3" t="n">
        <v>33</v>
      </c>
      <c r="B37" s="3" t="s">
        <v>434</v>
      </c>
      <c r="C37" s="3" t="s">
        <v>471</v>
      </c>
      <c r="D37" s="32" t="n">
        <v>9000</v>
      </c>
      <c r="E37" s="32" t="n">
        <v>9000</v>
      </c>
      <c r="F37" s="32" t="n">
        <v>9000</v>
      </c>
      <c r="G37" s="32" t="n">
        <v>9000</v>
      </c>
      <c r="H37" s="32" t="n">
        <v>9000</v>
      </c>
      <c r="I37" s="32" t="n">
        <v>9000</v>
      </c>
      <c r="J37" s="32" t="n">
        <v>9000</v>
      </c>
      <c r="K37" s="32" t="n">
        <v>9000</v>
      </c>
      <c r="L37" s="32" t="n">
        <v>9000</v>
      </c>
      <c r="M37" s="32" t="n">
        <v>9000</v>
      </c>
      <c r="N37" s="32" t="n">
        <v>9000</v>
      </c>
      <c r="O37" s="32" t="n">
        <v>9000</v>
      </c>
      <c r="P37" s="32" t="n">
        <v>9000</v>
      </c>
      <c r="Q37" s="32" t="n">
        <v>9000</v>
      </c>
      <c r="R37" s="32" t="n">
        <v>9000</v>
      </c>
      <c r="S37" s="32" t="n">
        <v>9000</v>
      </c>
      <c r="T37" s="32" t="n">
        <v>9000</v>
      </c>
      <c r="U37" s="32" t="n">
        <v>0</v>
      </c>
      <c r="V37" s="32" t="n">
        <v>9000</v>
      </c>
      <c r="W37" s="32" t="n">
        <v>9000</v>
      </c>
      <c r="X37" s="13" t="n">
        <f aca="false">IFERROR(AVERAGEIF(D37:H37,"&lt;&gt;0"),"")</f>
        <v>9000</v>
      </c>
      <c r="Y37" s="13" t="n">
        <f aca="false">IFERROR(AVERAGEIF(I37:M37,"&lt;&gt;0"),"")</f>
        <v>9000</v>
      </c>
      <c r="Z37" s="13" t="n">
        <f aca="false">IFERROR(AVERAGEIF(N37:R37,"&lt;&gt;0"),"")</f>
        <v>9000</v>
      </c>
      <c r="AA37" s="13" t="n">
        <f aca="false">IFERROR(AVERAGEIF(S37:W37,"&lt;&gt;0"),"")</f>
        <v>9000</v>
      </c>
      <c r="AB37" s="13" t="n">
        <f aca="false">IFERROR(AVERAGEIF(D37:W37,"&lt;&gt;0"),"")</f>
        <v>9000</v>
      </c>
    </row>
    <row r="38" customFormat="false" ht="15" hidden="false" customHeight="false" outlineLevel="0" collapsed="false">
      <c r="A38" s="3" t="n">
        <v>34</v>
      </c>
      <c r="B38" s="3" t="s">
        <v>477</v>
      </c>
      <c r="C38" s="3" t="s">
        <v>471</v>
      </c>
      <c r="D38" s="32" t="n">
        <v>6000</v>
      </c>
      <c r="E38" s="32" t="n">
        <v>6000</v>
      </c>
      <c r="F38" s="32" t="n">
        <v>6000</v>
      </c>
      <c r="G38" s="32" t="n">
        <v>6000</v>
      </c>
      <c r="H38" s="32" t="n">
        <v>6000</v>
      </c>
      <c r="I38" s="32" t="n">
        <v>6000</v>
      </c>
      <c r="J38" s="32" t="n">
        <v>6000</v>
      </c>
      <c r="K38" s="32" t="n">
        <v>6000</v>
      </c>
      <c r="L38" s="32" t="n">
        <v>6000</v>
      </c>
      <c r="M38" s="32" t="n">
        <v>6000</v>
      </c>
      <c r="N38" s="32" t="n">
        <v>6000</v>
      </c>
      <c r="O38" s="32" t="n">
        <v>6000</v>
      </c>
      <c r="P38" s="32" t="n">
        <v>6000</v>
      </c>
      <c r="Q38" s="32" t="n">
        <v>6000</v>
      </c>
      <c r="R38" s="32" t="n">
        <v>6000</v>
      </c>
      <c r="S38" s="32" t="n">
        <v>6000</v>
      </c>
      <c r="T38" s="32" t="n">
        <v>6000</v>
      </c>
      <c r="U38" s="32" t="n">
        <v>0</v>
      </c>
      <c r="V38" s="32" t="n">
        <v>6000</v>
      </c>
      <c r="W38" s="32" t="n">
        <v>6000</v>
      </c>
      <c r="X38" s="13" t="n">
        <f aca="false">IFERROR(AVERAGEIF(D38:H38,"&lt;&gt;0"),"")</f>
        <v>6000</v>
      </c>
      <c r="Y38" s="13" t="n">
        <f aca="false">IFERROR(AVERAGEIF(I38:M38,"&lt;&gt;0"),"")</f>
        <v>6000</v>
      </c>
      <c r="Z38" s="13" t="n">
        <f aca="false">IFERROR(AVERAGEIF(N38:R38,"&lt;&gt;0"),"")</f>
        <v>6000</v>
      </c>
      <c r="AA38" s="13" t="n">
        <f aca="false">IFERROR(AVERAGEIF(S38:W38,"&lt;&gt;0"),"")</f>
        <v>6000</v>
      </c>
      <c r="AB38" s="13" t="n">
        <f aca="false">IFERROR(AVERAGEIF(D38:W38,"&lt;&gt;0"),"")</f>
        <v>6000</v>
      </c>
    </row>
    <row r="39" customFormat="false" ht="15" hidden="false" customHeight="false" outlineLevel="0" collapsed="false">
      <c r="A39" s="3" t="n">
        <v>35</v>
      </c>
      <c r="B39" s="3" t="s">
        <v>478</v>
      </c>
      <c r="C39" s="3" t="s">
        <v>471</v>
      </c>
      <c r="D39" s="32" t="n">
        <v>15000</v>
      </c>
      <c r="E39" s="32" t="n">
        <v>15000</v>
      </c>
      <c r="F39" s="32" t="n">
        <v>15000</v>
      </c>
      <c r="G39" s="32" t="n">
        <v>15000</v>
      </c>
      <c r="H39" s="32" t="n">
        <v>15000</v>
      </c>
      <c r="I39" s="32" t="n">
        <v>15000</v>
      </c>
      <c r="J39" s="32" t="n">
        <v>15000</v>
      </c>
      <c r="K39" s="32" t="n">
        <v>15000</v>
      </c>
      <c r="L39" s="32" t="n">
        <v>15000</v>
      </c>
      <c r="M39" s="32" t="n">
        <v>15000</v>
      </c>
      <c r="N39" s="32" t="n">
        <v>15000</v>
      </c>
      <c r="O39" s="32" t="n">
        <v>15000</v>
      </c>
      <c r="P39" s="32" t="n">
        <v>15000</v>
      </c>
      <c r="Q39" s="32" t="n">
        <v>15000</v>
      </c>
      <c r="R39" s="32" t="n">
        <v>15000</v>
      </c>
      <c r="S39" s="32" t="n">
        <v>15000</v>
      </c>
      <c r="T39" s="32" t="n">
        <v>15000</v>
      </c>
      <c r="U39" s="32" t="n">
        <v>0</v>
      </c>
      <c r="V39" s="32" t="n">
        <v>15000</v>
      </c>
      <c r="W39" s="32" t="n">
        <v>15000</v>
      </c>
      <c r="X39" s="13" t="n">
        <f aca="false">IFERROR(AVERAGEIF(D39:H39,"&lt;&gt;0"),"")</f>
        <v>15000</v>
      </c>
      <c r="Y39" s="13" t="n">
        <f aca="false">IFERROR(AVERAGEIF(I39:M39,"&lt;&gt;0"),"")</f>
        <v>15000</v>
      </c>
      <c r="Z39" s="13" t="n">
        <f aca="false">IFERROR(AVERAGEIF(N39:R39,"&lt;&gt;0"),"")</f>
        <v>15000</v>
      </c>
      <c r="AA39" s="13" t="n">
        <f aca="false">IFERROR(AVERAGEIF(S39:W39,"&lt;&gt;0"),"")</f>
        <v>15000</v>
      </c>
      <c r="AB39" s="13" t="n">
        <f aca="false">IFERROR(AVERAGEIF(D39:W39,"&lt;&gt;0"),"")</f>
        <v>15000</v>
      </c>
    </row>
    <row r="40" customFormat="false" ht="15" hidden="false" customHeight="false" outlineLevel="0" collapsed="false">
      <c r="A40" s="3" t="n">
        <v>36</v>
      </c>
      <c r="B40" s="3" t="s">
        <v>479</v>
      </c>
      <c r="C40" s="3" t="s">
        <v>471</v>
      </c>
      <c r="D40" s="32" t="n">
        <v>4000</v>
      </c>
      <c r="E40" s="32" t="n">
        <v>4000</v>
      </c>
      <c r="F40" s="32" t="n">
        <v>4000</v>
      </c>
      <c r="G40" s="32" t="n">
        <v>4000</v>
      </c>
      <c r="H40" s="32" t="n">
        <v>4000</v>
      </c>
      <c r="I40" s="32" t="n">
        <v>4000</v>
      </c>
      <c r="J40" s="32" t="n">
        <v>4000</v>
      </c>
      <c r="K40" s="32" t="n">
        <v>4000</v>
      </c>
      <c r="L40" s="32" t="n">
        <v>4000</v>
      </c>
      <c r="M40" s="32" t="n">
        <v>4000</v>
      </c>
      <c r="N40" s="32" t="n">
        <v>4000</v>
      </c>
      <c r="O40" s="32" t="n">
        <v>4000</v>
      </c>
      <c r="P40" s="32" t="n">
        <v>4000</v>
      </c>
      <c r="Q40" s="32" t="n">
        <v>4000</v>
      </c>
      <c r="R40" s="32" t="n">
        <v>4000</v>
      </c>
      <c r="S40" s="32" t="n">
        <v>4000</v>
      </c>
      <c r="T40" s="32" t="n">
        <v>4000</v>
      </c>
      <c r="U40" s="32" t="n">
        <v>0</v>
      </c>
      <c r="V40" s="32" t="n">
        <v>4000</v>
      </c>
      <c r="W40" s="32" t="n">
        <v>4000</v>
      </c>
      <c r="X40" s="13" t="n">
        <f aca="false">IFERROR(AVERAGEIF(D40:H40,"&lt;&gt;0"),"")</f>
        <v>4000</v>
      </c>
      <c r="Y40" s="13" t="n">
        <f aca="false">IFERROR(AVERAGEIF(I40:M40,"&lt;&gt;0"),"")</f>
        <v>4000</v>
      </c>
      <c r="Z40" s="13" t="n">
        <f aca="false">IFERROR(AVERAGEIF(N40:R40,"&lt;&gt;0"),"")</f>
        <v>4000</v>
      </c>
      <c r="AA40" s="13" t="n">
        <f aca="false">IFERROR(AVERAGEIF(S40:W40,"&lt;&gt;0"),"")</f>
        <v>4000</v>
      </c>
      <c r="AB40" s="13" t="n">
        <f aca="false">IFERROR(AVERAGEIF(D40:W40,"&lt;&gt;0"),"")</f>
        <v>4000</v>
      </c>
    </row>
    <row r="41" customFormat="false" ht="15" hidden="false" customHeight="false" outlineLevel="0" collapsed="false">
      <c r="A41" s="3" t="n">
        <v>37</v>
      </c>
      <c r="B41" s="3" t="s">
        <v>480</v>
      </c>
      <c r="C41" s="3" t="s">
        <v>471</v>
      </c>
      <c r="D41" s="32" t="n">
        <v>2000</v>
      </c>
      <c r="E41" s="32" t="n">
        <v>2000</v>
      </c>
      <c r="F41" s="32" t="n">
        <v>2000</v>
      </c>
      <c r="G41" s="32" t="n">
        <v>2000</v>
      </c>
      <c r="H41" s="32" t="n">
        <v>2000</v>
      </c>
      <c r="I41" s="32" t="n">
        <v>2000</v>
      </c>
      <c r="J41" s="32" t="n">
        <v>2000</v>
      </c>
      <c r="K41" s="32" t="n">
        <v>2000</v>
      </c>
      <c r="L41" s="32" t="n">
        <v>2000</v>
      </c>
      <c r="M41" s="32" t="n">
        <v>2000</v>
      </c>
      <c r="N41" s="32" t="n">
        <v>2000</v>
      </c>
      <c r="O41" s="32" t="n">
        <v>2000</v>
      </c>
      <c r="P41" s="32" t="n">
        <v>2000</v>
      </c>
      <c r="Q41" s="32" t="n">
        <v>2000</v>
      </c>
      <c r="R41" s="32" t="n">
        <v>2000</v>
      </c>
      <c r="S41" s="32" t="n">
        <v>2000</v>
      </c>
      <c r="T41" s="32" t="n">
        <v>2000</v>
      </c>
      <c r="U41" s="32" t="n">
        <v>0</v>
      </c>
      <c r="V41" s="32" t="n">
        <v>2000</v>
      </c>
      <c r="W41" s="32" t="n">
        <v>2000</v>
      </c>
      <c r="X41" s="13" t="n">
        <f aca="false">IFERROR(AVERAGEIF(D41:H41,"&lt;&gt;0"),"")</f>
        <v>2000</v>
      </c>
      <c r="Y41" s="13" t="n">
        <f aca="false">IFERROR(AVERAGEIF(I41:M41,"&lt;&gt;0"),"")</f>
        <v>2000</v>
      </c>
      <c r="Z41" s="13" t="n">
        <f aca="false">IFERROR(AVERAGEIF(N41:R41,"&lt;&gt;0"),"")</f>
        <v>2000</v>
      </c>
      <c r="AA41" s="13" t="n">
        <f aca="false">IFERROR(AVERAGEIF(S41:W41,"&lt;&gt;0"),"")</f>
        <v>2000</v>
      </c>
      <c r="AB41" s="13" t="n">
        <f aca="false">IFERROR(AVERAGEIF(D41:W41,"&lt;&gt;0"),"")</f>
        <v>2000</v>
      </c>
    </row>
    <row r="42" customFormat="false" ht="15" hidden="false" customHeight="false" outlineLevel="0" collapsed="false">
      <c r="A42" s="3" t="n">
        <v>38</v>
      </c>
      <c r="B42" s="3" t="s">
        <v>481</v>
      </c>
      <c r="C42" s="3" t="s">
        <v>471</v>
      </c>
      <c r="D42" s="32" t="n">
        <v>5000</v>
      </c>
      <c r="E42" s="32" t="n">
        <v>5000</v>
      </c>
      <c r="F42" s="32" t="n">
        <v>5000</v>
      </c>
      <c r="G42" s="32" t="n">
        <v>5000</v>
      </c>
      <c r="H42" s="32" t="n">
        <v>5000</v>
      </c>
      <c r="I42" s="32" t="n">
        <v>5000</v>
      </c>
      <c r="J42" s="32" t="n">
        <v>5000</v>
      </c>
      <c r="K42" s="32" t="n">
        <v>5000</v>
      </c>
      <c r="L42" s="32" t="n">
        <v>5000</v>
      </c>
      <c r="M42" s="32" t="n">
        <v>5000</v>
      </c>
      <c r="N42" s="32" t="n">
        <v>5000</v>
      </c>
      <c r="O42" s="32" t="n">
        <v>5000</v>
      </c>
      <c r="P42" s="32" t="n">
        <v>5000</v>
      </c>
      <c r="Q42" s="32" t="n">
        <v>5000</v>
      </c>
      <c r="R42" s="32" t="n">
        <v>5000</v>
      </c>
      <c r="S42" s="32" t="n">
        <v>5000</v>
      </c>
      <c r="T42" s="32" t="n">
        <v>5000</v>
      </c>
      <c r="U42" s="32" t="n">
        <v>0</v>
      </c>
      <c r="V42" s="32" t="n">
        <v>5000</v>
      </c>
      <c r="W42" s="32" t="n">
        <v>5000</v>
      </c>
      <c r="X42" s="13" t="n">
        <f aca="false">IFERROR(AVERAGEIF(D42:H42,"&lt;&gt;0"),"")</f>
        <v>5000</v>
      </c>
      <c r="Y42" s="13" t="n">
        <f aca="false">IFERROR(AVERAGEIF(I42:M42,"&lt;&gt;0"),"")</f>
        <v>5000</v>
      </c>
      <c r="Z42" s="13" t="n">
        <f aca="false">IFERROR(AVERAGEIF(N42:R42,"&lt;&gt;0"),"")</f>
        <v>5000</v>
      </c>
      <c r="AA42" s="13" t="n">
        <f aca="false">IFERROR(AVERAGEIF(S42:W42,"&lt;&gt;0"),"")</f>
        <v>5000</v>
      </c>
      <c r="AB42" s="13" t="n">
        <f aca="false">IFERROR(AVERAGEIF(D42:W42,"&lt;&gt;0"),"")</f>
        <v>5000</v>
      </c>
    </row>
    <row r="43" customFormat="false" ht="15" hidden="false" customHeight="false" outlineLevel="0" collapsed="false">
      <c r="A43" s="3" t="n">
        <v>39</v>
      </c>
      <c r="B43" s="3" t="s">
        <v>482</v>
      </c>
      <c r="C43" s="3" t="s">
        <v>471</v>
      </c>
      <c r="D43" s="32" t="n">
        <v>7000</v>
      </c>
      <c r="E43" s="32" t="n">
        <v>7000</v>
      </c>
      <c r="F43" s="32" t="n">
        <v>7000</v>
      </c>
      <c r="G43" s="32" t="n">
        <v>7000</v>
      </c>
      <c r="H43" s="32" t="n">
        <v>7000</v>
      </c>
      <c r="I43" s="32" t="n">
        <v>7000</v>
      </c>
      <c r="J43" s="32" t="n">
        <v>7000</v>
      </c>
      <c r="K43" s="32" t="n">
        <v>7000</v>
      </c>
      <c r="L43" s="32" t="n">
        <v>7000</v>
      </c>
      <c r="M43" s="32" t="n">
        <v>7000</v>
      </c>
      <c r="N43" s="32" t="n">
        <v>7000</v>
      </c>
      <c r="O43" s="32" t="n">
        <v>7000</v>
      </c>
      <c r="P43" s="32" t="n">
        <v>7000</v>
      </c>
      <c r="Q43" s="32" t="n">
        <v>7000</v>
      </c>
      <c r="R43" s="32" t="n">
        <v>7000</v>
      </c>
      <c r="S43" s="32" t="n">
        <v>7000</v>
      </c>
      <c r="T43" s="32" t="n">
        <v>7000</v>
      </c>
      <c r="U43" s="32" t="n">
        <v>0</v>
      </c>
      <c r="V43" s="32" t="n">
        <v>7000</v>
      </c>
      <c r="W43" s="32" t="n">
        <v>7000</v>
      </c>
      <c r="X43" s="13" t="n">
        <f aca="false">IFERROR(AVERAGEIF(D43:H43,"&lt;&gt;0"),"")</f>
        <v>7000</v>
      </c>
      <c r="Y43" s="13" t="n">
        <f aca="false">IFERROR(AVERAGEIF(I43:M43,"&lt;&gt;0"),"")</f>
        <v>7000</v>
      </c>
      <c r="Z43" s="13" t="n">
        <f aca="false">IFERROR(AVERAGEIF(N43:R43,"&lt;&gt;0"),"")</f>
        <v>7000</v>
      </c>
      <c r="AA43" s="13" t="n">
        <f aca="false">IFERROR(AVERAGEIF(S43:W43,"&lt;&gt;0"),"")</f>
        <v>7000</v>
      </c>
      <c r="AB43" s="13" t="n">
        <f aca="false">IFERROR(AVERAGEIF(D43:W43,"&lt;&gt;0"),"")</f>
        <v>7000</v>
      </c>
    </row>
    <row r="44" customFormat="false" ht="15" hidden="false" customHeight="false" outlineLevel="0" collapsed="false">
      <c r="A44" s="3" t="n">
        <v>40</v>
      </c>
      <c r="B44" s="3" t="s">
        <v>483</v>
      </c>
      <c r="C44" s="3" t="s">
        <v>471</v>
      </c>
      <c r="D44" s="32" t="n">
        <v>5000</v>
      </c>
      <c r="E44" s="32" t="n">
        <v>5000</v>
      </c>
      <c r="F44" s="32" t="n">
        <v>5000</v>
      </c>
      <c r="G44" s="32" t="n">
        <v>5000</v>
      </c>
      <c r="H44" s="32" t="n">
        <v>5000</v>
      </c>
      <c r="I44" s="32" t="n">
        <v>5000</v>
      </c>
      <c r="J44" s="32" t="n">
        <v>5000</v>
      </c>
      <c r="K44" s="32" t="n">
        <v>5000</v>
      </c>
      <c r="L44" s="32" t="n">
        <v>5000</v>
      </c>
      <c r="M44" s="32" t="n">
        <v>5000</v>
      </c>
      <c r="N44" s="32" t="n">
        <v>5000</v>
      </c>
      <c r="O44" s="32" t="n">
        <v>5000</v>
      </c>
      <c r="P44" s="32" t="n">
        <v>5000</v>
      </c>
      <c r="Q44" s="32" t="n">
        <v>5000</v>
      </c>
      <c r="R44" s="32" t="n">
        <v>5000</v>
      </c>
      <c r="S44" s="32" t="n">
        <v>5000</v>
      </c>
      <c r="T44" s="32" t="n">
        <v>5000</v>
      </c>
      <c r="U44" s="32" t="n">
        <v>0</v>
      </c>
      <c r="V44" s="32" t="n">
        <v>5000</v>
      </c>
      <c r="W44" s="32" t="n">
        <v>5000</v>
      </c>
      <c r="X44" s="13" t="n">
        <f aca="false">IFERROR(AVERAGEIF(D44:H44,"&lt;&gt;0"),"")</f>
        <v>5000</v>
      </c>
      <c r="Y44" s="13" t="n">
        <f aca="false">IFERROR(AVERAGEIF(I44:M44,"&lt;&gt;0"),"")</f>
        <v>5000</v>
      </c>
      <c r="Z44" s="13" t="n">
        <f aca="false">IFERROR(AVERAGEIF(N44:R44,"&lt;&gt;0"),"")</f>
        <v>5000</v>
      </c>
      <c r="AA44" s="13" t="n">
        <f aca="false">IFERROR(AVERAGEIF(S44:W44,"&lt;&gt;0"),"")</f>
        <v>5000</v>
      </c>
      <c r="AB44" s="13" t="n">
        <f aca="false">IFERROR(AVERAGEIF(D44:W44,"&lt;&gt;0"),"")</f>
        <v>5000</v>
      </c>
    </row>
    <row r="45" customFormat="false" ht="15" hidden="false" customHeight="false" outlineLevel="0" collapsed="false">
      <c r="A45" s="3" t="n">
        <v>41</v>
      </c>
      <c r="B45" s="3" t="s">
        <v>484</v>
      </c>
      <c r="C45" s="3" t="s">
        <v>471</v>
      </c>
      <c r="D45" s="32" t="n">
        <v>70000</v>
      </c>
      <c r="E45" s="32" t="n">
        <v>70000</v>
      </c>
      <c r="F45" s="32" t="n">
        <v>70000</v>
      </c>
      <c r="G45" s="32" t="n">
        <v>70000</v>
      </c>
      <c r="H45" s="32" t="n">
        <v>70000</v>
      </c>
      <c r="I45" s="32" t="n">
        <v>70000</v>
      </c>
      <c r="J45" s="32" t="n">
        <v>7000</v>
      </c>
      <c r="K45" s="32" t="n">
        <v>7000</v>
      </c>
      <c r="L45" s="32" t="n">
        <v>7000</v>
      </c>
      <c r="M45" s="32" t="n">
        <v>70000</v>
      </c>
      <c r="N45" s="32" t="n">
        <v>70000</v>
      </c>
      <c r="O45" s="32" t="n">
        <v>70000</v>
      </c>
      <c r="P45" s="32" t="n">
        <v>70000</v>
      </c>
      <c r="Q45" s="32" t="n">
        <v>70000</v>
      </c>
      <c r="R45" s="32" t="n">
        <v>70000</v>
      </c>
      <c r="S45" s="32" t="n">
        <v>70000</v>
      </c>
      <c r="T45" s="32" t="n">
        <v>70000</v>
      </c>
      <c r="U45" s="32" t="n">
        <v>0</v>
      </c>
      <c r="V45" s="32" t="n">
        <v>70000</v>
      </c>
      <c r="W45" s="32" t="n">
        <v>70000</v>
      </c>
      <c r="X45" s="13" t="n">
        <f aca="false">IFERROR(AVERAGEIF(D45:H45,"&lt;&gt;0"),"")</f>
        <v>70000</v>
      </c>
      <c r="Y45" s="13" t="n">
        <f aca="false">IFERROR(AVERAGEIF(I45:M45,"&lt;&gt;0"),"")</f>
        <v>32200</v>
      </c>
      <c r="Z45" s="13" t="n">
        <f aca="false">IFERROR(AVERAGEIF(N45:R45,"&lt;&gt;0"),"")</f>
        <v>70000</v>
      </c>
      <c r="AA45" s="13" t="n">
        <f aca="false">IFERROR(AVERAGEIF(S45:W45,"&lt;&gt;0"),"")</f>
        <v>70000</v>
      </c>
      <c r="AB45" s="13" t="n">
        <f aca="false">IFERROR(AVERAGEIF(D45:W45,"&lt;&gt;0"),"")</f>
        <v>60052.6315789474</v>
      </c>
    </row>
    <row r="46" customFormat="false" ht="15" hidden="false" customHeight="false" outlineLevel="0" collapsed="false">
      <c r="A46" s="3" t="n">
        <v>42</v>
      </c>
      <c r="B46" s="3" t="s">
        <v>485</v>
      </c>
      <c r="C46" s="3" t="s">
        <v>471</v>
      </c>
      <c r="D46" s="32" t="n">
        <v>40000</v>
      </c>
      <c r="E46" s="32" t="n">
        <v>40000</v>
      </c>
      <c r="F46" s="32" t="n">
        <v>40000</v>
      </c>
      <c r="G46" s="32" t="n">
        <v>40000</v>
      </c>
      <c r="H46" s="32" t="n">
        <v>40000</v>
      </c>
      <c r="I46" s="32" t="n">
        <v>40000</v>
      </c>
      <c r="J46" s="32" t="n">
        <v>40000</v>
      </c>
      <c r="K46" s="32" t="n">
        <v>40000</v>
      </c>
      <c r="L46" s="32" t="n">
        <v>40000</v>
      </c>
      <c r="M46" s="32" t="n">
        <v>40000</v>
      </c>
      <c r="N46" s="32" t="n">
        <v>40000</v>
      </c>
      <c r="O46" s="32" t="n">
        <v>40000</v>
      </c>
      <c r="P46" s="32" t="n">
        <v>40000</v>
      </c>
      <c r="Q46" s="32" t="n">
        <v>40000</v>
      </c>
      <c r="R46" s="32" t="n">
        <v>40000</v>
      </c>
      <c r="S46" s="32" t="n">
        <v>40000</v>
      </c>
      <c r="T46" s="32" t="n">
        <v>40000</v>
      </c>
      <c r="U46" s="32" t="n">
        <v>0</v>
      </c>
      <c r="V46" s="32" t="n">
        <v>40000</v>
      </c>
      <c r="W46" s="32" t="n">
        <v>40000</v>
      </c>
      <c r="X46" s="13" t="n">
        <f aca="false">IFERROR(AVERAGEIF(D46:H46,"&lt;&gt;0"),"")</f>
        <v>40000</v>
      </c>
      <c r="Y46" s="13" t="n">
        <f aca="false">IFERROR(AVERAGEIF(I46:M46,"&lt;&gt;0"),"")</f>
        <v>40000</v>
      </c>
      <c r="Z46" s="13" t="n">
        <f aca="false">IFERROR(AVERAGEIF(N46:R46,"&lt;&gt;0"),"")</f>
        <v>40000</v>
      </c>
      <c r="AA46" s="13" t="n">
        <f aca="false">IFERROR(AVERAGEIF(S46:W46,"&lt;&gt;0"),"")</f>
        <v>40000</v>
      </c>
      <c r="AB46" s="13" t="n">
        <f aca="false">IFERROR(AVERAGEIF(D46:W46,"&lt;&gt;0"),"")</f>
        <v>40000</v>
      </c>
    </row>
    <row r="47" customFormat="false" ht="15" hidden="false" customHeight="false" outlineLevel="0" collapsed="false">
      <c r="A47" s="3" t="n">
        <v>43</v>
      </c>
      <c r="B47" s="3" t="s">
        <v>486</v>
      </c>
      <c r="C47" s="3" t="s">
        <v>471</v>
      </c>
      <c r="D47" s="32" t="n">
        <v>27000</v>
      </c>
      <c r="E47" s="32" t="n">
        <v>27000</v>
      </c>
      <c r="F47" s="32" t="n">
        <v>27000</v>
      </c>
      <c r="G47" s="32" t="n">
        <v>27000</v>
      </c>
      <c r="H47" s="32" t="n">
        <v>27000</v>
      </c>
      <c r="I47" s="32" t="n">
        <v>27000</v>
      </c>
      <c r="J47" s="32" t="n">
        <v>27000</v>
      </c>
      <c r="K47" s="32" t="n">
        <v>27000</v>
      </c>
      <c r="L47" s="32" t="n">
        <v>27000</v>
      </c>
      <c r="M47" s="32" t="n">
        <v>27000</v>
      </c>
      <c r="N47" s="32" t="n">
        <v>27000</v>
      </c>
      <c r="O47" s="32" t="n">
        <v>27000</v>
      </c>
      <c r="P47" s="32" t="n">
        <v>27000</v>
      </c>
      <c r="Q47" s="32" t="n">
        <v>27000</v>
      </c>
      <c r="R47" s="32" t="n">
        <v>27000</v>
      </c>
      <c r="S47" s="32" t="n">
        <v>27000</v>
      </c>
      <c r="T47" s="32" t="n">
        <v>27000</v>
      </c>
      <c r="U47" s="32" t="n">
        <v>0</v>
      </c>
      <c r="V47" s="32" t="n">
        <v>27000</v>
      </c>
      <c r="W47" s="32" t="n">
        <v>27000</v>
      </c>
      <c r="X47" s="13" t="n">
        <f aca="false">IFERROR(AVERAGEIF(D47:H47,"&lt;&gt;0"),"")</f>
        <v>27000</v>
      </c>
      <c r="Y47" s="13" t="n">
        <f aca="false">IFERROR(AVERAGEIF(I47:M47,"&lt;&gt;0"),"")</f>
        <v>27000</v>
      </c>
      <c r="Z47" s="13" t="n">
        <f aca="false">IFERROR(AVERAGEIF(N47:R47,"&lt;&gt;0"),"")</f>
        <v>27000</v>
      </c>
      <c r="AA47" s="13" t="n">
        <f aca="false">IFERROR(AVERAGEIF(S47:W47,"&lt;&gt;0"),"")</f>
        <v>27000</v>
      </c>
      <c r="AB47" s="13" t="n">
        <f aca="false">IFERROR(AVERAGEIF(D47:W47,"&lt;&gt;0"),"")</f>
        <v>27000</v>
      </c>
    </row>
    <row r="48" customFormat="false" ht="15" hidden="false" customHeight="false" outlineLevel="0" collapsed="false">
      <c r="A48" s="3" t="n">
        <v>44</v>
      </c>
      <c r="B48" s="3" t="s">
        <v>487</v>
      </c>
      <c r="C48" s="3" t="s">
        <v>471</v>
      </c>
      <c r="D48" s="32" t="n">
        <v>14000</v>
      </c>
      <c r="E48" s="32" t="n">
        <v>14000</v>
      </c>
      <c r="F48" s="32" t="n">
        <v>14000</v>
      </c>
      <c r="G48" s="32" t="n">
        <v>14000</v>
      </c>
      <c r="H48" s="32" t="n">
        <v>14000</v>
      </c>
      <c r="I48" s="32" t="n">
        <v>14000</v>
      </c>
      <c r="J48" s="32" t="n">
        <v>14000</v>
      </c>
      <c r="K48" s="32" t="n">
        <v>14000</v>
      </c>
      <c r="L48" s="32" t="n">
        <v>14000</v>
      </c>
      <c r="M48" s="32" t="n">
        <v>14000</v>
      </c>
      <c r="N48" s="32" t="n">
        <v>14000</v>
      </c>
      <c r="O48" s="32" t="n">
        <v>14000</v>
      </c>
      <c r="P48" s="32" t="n">
        <v>14000</v>
      </c>
      <c r="Q48" s="32" t="n">
        <v>14000</v>
      </c>
      <c r="R48" s="32" t="n">
        <v>14000</v>
      </c>
      <c r="S48" s="32" t="n">
        <v>14000</v>
      </c>
      <c r="T48" s="32" t="n">
        <v>14000</v>
      </c>
      <c r="U48" s="32" t="n">
        <v>0</v>
      </c>
      <c r="V48" s="32" t="n">
        <v>14000</v>
      </c>
      <c r="W48" s="32" t="n">
        <v>14000</v>
      </c>
      <c r="X48" s="13" t="n">
        <f aca="false">IFERROR(AVERAGEIF(D48:H48,"&lt;&gt;0"),"")</f>
        <v>14000</v>
      </c>
      <c r="Y48" s="13" t="n">
        <f aca="false">IFERROR(AVERAGEIF(I48:M48,"&lt;&gt;0"),"")</f>
        <v>14000</v>
      </c>
      <c r="Z48" s="13" t="n">
        <f aca="false">IFERROR(AVERAGEIF(N48:R48,"&lt;&gt;0"),"")</f>
        <v>14000</v>
      </c>
      <c r="AA48" s="13" t="n">
        <f aca="false">IFERROR(AVERAGEIF(S48:W48,"&lt;&gt;0"),"")</f>
        <v>14000</v>
      </c>
      <c r="AB48" s="13" t="n">
        <f aca="false">IFERROR(AVERAGEIF(D48:W48,"&lt;&gt;0"),"")</f>
        <v>14000</v>
      </c>
    </row>
  </sheetData>
  <mergeCells count="1">
    <mergeCell ref="A1:A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4"/>
    <col collapsed="false" customWidth="true" hidden="false" outlineLevel="0" max="24" min="4" style="0" width="9"/>
    <col collapsed="false" customWidth="true" hidden="false" outlineLevel="0" max="30" min="25" style="0" width="14"/>
  </cols>
  <sheetData>
    <row r="1" customFormat="false" ht="16.15" hidden="false" customHeight="false" outlineLevel="0" collapsed="false">
      <c r="A1" s="1" t="s">
        <v>544</v>
      </c>
      <c r="B1" s="1"/>
      <c r="C1" s="1"/>
      <c r="D1" s="1"/>
      <c r="E1" s="1"/>
      <c r="F1" s="1"/>
      <c r="G1" s="1"/>
      <c r="H1" s="1"/>
      <c r="I1" s="1"/>
      <c r="J1" s="1"/>
      <c r="K1" s="1"/>
      <c r="L1" s="1"/>
      <c r="M1" s="1"/>
      <c r="N1" s="1"/>
      <c r="O1" s="1"/>
      <c r="P1" s="1"/>
      <c r="Q1" s="1"/>
      <c r="R1" s="1"/>
      <c r="S1" s="1"/>
      <c r="T1" s="1"/>
      <c r="U1" s="1"/>
      <c r="V1" s="1"/>
      <c r="W1" s="1"/>
      <c r="X1" s="1"/>
      <c r="Y1" s="1"/>
      <c r="Z1" s="1"/>
      <c r="AA1" s="1"/>
      <c r="AB1" s="1"/>
      <c r="AC1" s="1"/>
      <c r="AD1" s="1"/>
    </row>
    <row r="2" customFormat="false" ht="15" hidden="false" customHeight="false" outlineLevel="0" collapsed="false">
      <c r="A2" s="7" t="s">
        <v>443</v>
      </c>
    </row>
    <row r="4" customFormat="false" ht="19.4" hidden="false" customHeight="false" outlineLevel="0" collapsed="false">
      <c r="A4" s="10" t="s">
        <v>1</v>
      </c>
      <c r="B4" s="10" t="s">
        <v>444</v>
      </c>
      <c r="C4" s="10" t="s">
        <v>445</v>
      </c>
      <c r="D4" s="10" t="s">
        <v>545</v>
      </c>
      <c r="E4" s="10" t="s">
        <v>546</v>
      </c>
      <c r="F4" s="10" t="s">
        <v>547</v>
      </c>
      <c r="G4" s="10" t="s">
        <v>548</v>
      </c>
      <c r="H4" s="10" t="s">
        <v>549</v>
      </c>
      <c r="I4" s="10" t="s">
        <v>550</v>
      </c>
      <c r="J4" s="10" t="s">
        <v>551</v>
      </c>
      <c r="K4" s="10" t="s">
        <v>552</v>
      </c>
      <c r="L4" s="10" t="s">
        <v>553</v>
      </c>
      <c r="M4" s="10" t="s">
        <v>554</v>
      </c>
      <c r="N4" s="10" t="s">
        <v>555</v>
      </c>
      <c r="O4" s="10" t="s">
        <v>556</v>
      </c>
      <c r="P4" s="10" t="s">
        <v>557</v>
      </c>
      <c r="Q4" s="10" t="s">
        <v>558</v>
      </c>
      <c r="R4" s="10" t="s">
        <v>559</v>
      </c>
      <c r="S4" s="10" t="s">
        <v>560</v>
      </c>
      <c r="T4" s="10" t="s">
        <v>561</v>
      </c>
      <c r="U4" s="10" t="s">
        <v>562</v>
      </c>
      <c r="V4" s="10" t="s">
        <v>563</v>
      </c>
      <c r="W4" s="10" t="s">
        <v>564</v>
      </c>
      <c r="X4" s="10" t="s">
        <v>565</v>
      </c>
      <c r="Y4" s="10" t="s">
        <v>539</v>
      </c>
      <c r="Z4" s="10" t="s">
        <v>540</v>
      </c>
      <c r="AA4" s="10" t="s">
        <v>541</v>
      </c>
      <c r="AB4" s="10" t="s">
        <v>542</v>
      </c>
      <c r="AC4" s="10" t="s">
        <v>566</v>
      </c>
      <c r="AD4" s="10" t="s">
        <v>567</v>
      </c>
    </row>
    <row r="5" customFormat="false" ht="15" hidden="false" customHeight="false" outlineLevel="0" collapsed="false">
      <c r="A5" s="3" t="n">
        <v>1</v>
      </c>
      <c r="B5" s="3" t="s">
        <v>407</v>
      </c>
      <c r="C5" s="3" t="s">
        <v>471</v>
      </c>
      <c r="D5" s="32" t="n">
        <v>12000</v>
      </c>
      <c r="E5" s="32" t="n">
        <v>12000</v>
      </c>
      <c r="F5" s="32" t="n">
        <v>12000</v>
      </c>
      <c r="G5" s="32" t="n">
        <v>12000</v>
      </c>
      <c r="H5" s="32" t="n">
        <v>12000</v>
      </c>
      <c r="I5" s="32" t="n">
        <v>12000</v>
      </c>
      <c r="J5" s="32" t="n">
        <v>12000</v>
      </c>
      <c r="K5" s="32" t="n">
        <v>12000</v>
      </c>
      <c r="L5" s="32" t="n">
        <v>12000</v>
      </c>
      <c r="M5" s="32" t="n">
        <v>12000</v>
      </c>
      <c r="N5" s="32" t="n">
        <v>12000</v>
      </c>
      <c r="O5" s="32" t="n">
        <v>12000</v>
      </c>
      <c r="P5" s="32" t="n">
        <v>12000</v>
      </c>
      <c r="Q5" s="32" t="n">
        <v>12000</v>
      </c>
      <c r="R5" s="32" t="n">
        <v>12000</v>
      </c>
      <c r="S5" s="32" t="n">
        <v>12000</v>
      </c>
      <c r="T5" s="32" t="n">
        <v>12000</v>
      </c>
      <c r="U5" s="32" t="n">
        <v>12000</v>
      </c>
      <c r="V5" s="32" t="n">
        <v>12000</v>
      </c>
      <c r="W5" s="32" t="n">
        <v>0</v>
      </c>
      <c r="X5" s="32" t="n">
        <v>0</v>
      </c>
      <c r="Y5" s="13" t="n">
        <f aca="false">IFERROR(AVERAGEIF(D5:H5,"&lt;&gt;0"),"")</f>
        <v>12000</v>
      </c>
      <c r="Z5" s="13" t="n">
        <f aca="false">IFERROR(AVERAGEIF(I5:M5,"&lt;&gt;0"),"")</f>
        <v>12000</v>
      </c>
      <c r="AA5" s="13" t="n">
        <f aca="false">IFERROR(AVERAGEIF(N5:R5,"&lt;&gt;0"),"")</f>
        <v>12000</v>
      </c>
      <c r="AB5" s="13" t="n">
        <f aca="false">IFERROR(AVERAGEIF(S5:W5,"&lt;&gt;0"),"")</f>
        <v>12000</v>
      </c>
      <c r="AC5" s="13" t="str">
        <f aca="false">IFERROR(AVERAGEIF(X5:X5,"&lt;&gt;0"),"")</f>
        <v/>
      </c>
      <c r="AD5" s="13" t="n">
        <f aca="false">IFERROR(AVERAGEIF(D5:X5,"&lt;&gt;0"),"")</f>
        <v>12000</v>
      </c>
    </row>
    <row r="6" customFormat="false" ht="15" hidden="false" customHeight="false" outlineLevel="0" collapsed="false">
      <c r="A6" s="3" t="n">
        <v>2</v>
      </c>
      <c r="B6" s="3" t="s">
        <v>408</v>
      </c>
      <c r="C6" s="3" t="s">
        <v>471</v>
      </c>
      <c r="D6" s="32" t="n">
        <v>13000</v>
      </c>
      <c r="E6" s="32" t="n">
        <v>13000</v>
      </c>
      <c r="F6" s="32" t="n">
        <v>13000</v>
      </c>
      <c r="G6" s="32" t="n">
        <v>13000</v>
      </c>
      <c r="H6" s="32" t="n">
        <v>13000</v>
      </c>
      <c r="I6" s="32" t="n">
        <v>13000</v>
      </c>
      <c r="J6" s="32" t="n">
        <v>13000</v>
      </c>
      <c r="K6" s="32" t="n">
        <v>13000</v>
      </c>
      <c r="L6" s="32" t="n">
        <v>13000</v>
      </c>
      <c r="M6" s="32" t="n">
        <v>13000</v>
      </c>
      <c r="N6" s="32" t="n">
        <v>13000</v>
      </c>
      <c r="O6" s="32" t="n">
        <v>13000</v>
      </c>
      <c r="P6" s="32" t="n">
        <v>13000</v>
      </c>
      <c r="Q6" s="32" t="n">
        <v>13000</v>
      </c>
      <c r="R6" s="32" t="n">
        <v>13000</v>
      </c>
      <c r="S6" s="32" t="n">
        <v>13000</v>
      </c>
      <c r="T6" s="32" t="n">
        <v>13000</v>
      </c>
      <c r="U6" s="32" t="n">
        <v>13000</v>
      </c>
      <c r="V6" s="32" t="n">
        <v>13000</v>
      </c>
      <c r="W6" s="32" t="n">
        <v>0</v>
      </c>
      <c r="X6" s="32" t="n">
        <v>0</v>
      </c>
      <c r="Y6" s="13" t="n">
        <f aca="false">IFERROR(AVERAGEIF(D6:H6,"&lt;&gt;0"),"")</f>
        <v>13000</v>
      </c>
      <c r="Z6" s="13" t="n">
        <f aca="false">IFERROR(AVERAGEIF(I6:M6,"&lt;&gt;0"),"")</f>
        <v>13000</v>
      </c>
      <c r="AA6" s="13" t="n">
        <f aca="false">IFERROR(AVERAGEIF(N6:R6,"&lt;&gt;0"),"")</f>
        <v>13000</v>
      </c>
      <c r="AB6" s="13" t="n">
        <f aca="false">IFERROR(AVERAGEIF(S6:W6,"&lt;&gt;0"),"")</f>
        <v>13000</v>
      </c>
      <c r="AC6" s="13" t="str">
        <f aca="false">IFERROR(AVERAGEIF(X6:X6,"&lt;&gt;0"),"")</f>
        <v/>
      </c>
      <c r="AD6" s="13" t="n">
        <f aca="false">IFERROR(AVERAGEIF(D6:X6,"&lt;&gt;0"),"")</f>
        <v>13000</v>
      </c>
    </row>
    <row r="7" customFormat="false" ht="15" hidden="false" customHeight="false" outlineLevel="0" collapsed="false">
      <c r="A7" s="3" t="n">
        <v>3</v>
      </c>
      <c r="B7" s="3" t="s">
        <v>409</v>
      </c>
      <c r="C7" s="3" t="s">
        <v>471</v>
      </c>
      <c r="D7" s="32" t="n">
        <v>0</v>
      </c>
      <c r="E7" s="32" t="n">
        <v>0</v>
      </c>
      <c r="F7" s="32" t="n">
        <v>0</v>
      </c>
      <c r="G7" s="32" t="n">
        <v>0</v>
      </c>
      <c r="H7" s="32" t="n">
        <v>12500</v>
      </c>
      <c r="I7" s="32" t="n">
        <v>12500</v>
      </c>
      <c r="J7" s="32" t="n">
        <v>12500</v>
      </c>
      <c r="K7" s="32" t="n">
        <v>12500</v>
      </c>
      <c r="L7" s="32" t="n">
        <v>12500</v>
      </c>
      <c r="M7" s="32" t="n">
        <v>12500</v>
      </c>
      <c r="N7" s="32" t="n">
        <v>12500</v>
      </c>
      <c r="O7" s="32" t="n">
        <v>12500</v>
      </c>
      <c r="P7" s="32" t="n">
        <v>12500</v>
      </c>
      <c r="Q7" s="32" t="n">
        <v>12500</v>
      </c>
      <c r="R7" s="32" t="n">
        <v>12500</v>
      </c>
      <c r="S7" s="32" t="n">
        <v>12500</v>
      </c>
      <c r="T7" s="32" t="n">
        <v>12500</v>
      </c>
      <c r="U7" s="32" t="n">
        <v>12500</v>
      </c>
      <c r="V7" s="32" t="n">
        <v>12500</v>
      </c>
      <c r="W7" s="32" t="n">
        <v>0</v>
      </c>
      <c r="X7" s="32" t="n">
        <v>0</v>
      </c>
      <c r="Y7" s="13" t="n">
        <f aca="false">IFERROR(AVERAGEIF(D7:H7,"&lt;&gt;0"),"")</f>
        <v>12500</v>
      </c>
      <c r="Z7" s="13" t="n">
        <f aca="false">IFERROR(AVERAGEIF(I7:M7,"&lt;&gt;0"),"")</f>
        <v>12500</v>
      </c>
      <c r="AA7" s="13" t="n">
        <f aca="false">IFERROR(AVERAGEIF(N7:R7,"&lt;&gt;0"),"")</f>
        <v>12500</v>
      </c>
      <c r="AB7" s="13" t="n">
        <f aca="false">IFERROR(AVERAGEIF(S7:W7,"&lt;&gt;0"),"")</f>
        <v>12500</v>
      </c>
      <c r="AC7" s="13" t="str">
        <f aca="false">IFERROR(AVERAGEIF(X7:X7,"&lt;&gt;0"),"")</f>
        <v/>
      </c>
      <c r="AD7" s="13" t="n">
        <f aca="false">IFERROR(AVERAGEIF(D7:X7,"&lt;&gt;0"),"")</f>
        <v>12500</v>
      </c>
    </row>
    <row r="8" customFormat="false" ht="15" hidden="false" customHeight="false" outlineLevel="0" collapsed="false">
      <c r="A8" s="3" t="n">
        <v>4</v>
      </c>
      <c r="B8" s="3" t="s">
        <v>472</v>
      </c>
      <c r="C8" s="3" t="s">
        <v>471</v>
      </c>
      <c r="D8" s="32" t="n">
        <v>11000</v>
      </c>
      <c r="E8" s="32" t="n">
        <v>11000</v>
      </c>
      <c r="F8" s="32" t="n">
        <v>11000</v>
      </c>
      <c r="G8" s="32" t="n">
        <v>11000</v>
      </c>
      <c r="H8" s="32" t="n">
        <v>11000</v>
      </c>
      <c r="I8" s="32" t="n">
        <v>11000</v>
      </c>
      <c r="J8" s="32" t="n">
        <v>11000</v>
      </c>
      <c r="K8" s="32" t="n">
        <v>11000</v>
      </c>
      <c r="L8" s="32" t="n">
        <v>12000</v>
      </c>
      <c r="M8" s="32" t="n">
        <v>12000</v>
      </c>
      <c r="N8" s="32" t="n">
        <v>12000</v>
      </c>
      <c r="O8" s="32" t="n">
        <v>12000</v>
      </c>
      <c r="P8" s="32" t="n">
        <v>12000</v>
      </c>
      <c r="Q8" s="32" t="n">
        <v>12000</v>
      </c>
      <c r="R8" s="32" t="n">
        <v>12000</v>
      </c>
      <c r="S8" s="32" t="n">
        <v>12000</v>
      </c>
      <c r="T8" s="32" t="n">
        <v>12000</v>
      </c>
      <c r="U8" s="32" t="n">
        <v>12000</v>
      </c>
      <c r="V8" s="32" t="n">
        <v>12000</v>
      </c>
      <c r="W8" s="32" t="n">
        <v>0</v>
      </c>
      <c r="X8" s="32" t="n">
        <v>0</v>
      </c>
      <c r="Y8" s="13" t="n">
        <f aca="false">IFERROR(AVERAGEIF(D8:H8,"&lt;&gt;0"),"")</f>
        <v>11000</v>
      </c>
      <c r="Z8" s="13" t="n">
        <f aca="false">IFERROR(AVERAGEIF(I8:M8,"&lt;&gt;0"),"")</f>
        <v>11400</v>
      </c>
      <c r="AA8" s="13" t="n">
        <f aca="false">IFERROR(AVERAGEIF(N8:R8,"&lt;&gt;0"),"")</f>
        <v>12000</v>
      </c>
      <c r="AB8" s="13" t="n">
        <f aca="false">IFERROR(AVERAGEIF(S8:W8,"&lt;&gt;0"),"")</f>
        <v>12000</v>
      </c>
      <c r="AC8" s="13" t="str">
        <f aca="false">IFERROR(AVERAGEIF(X8:X8,"&lt;&gt;0"),"")</f>
        <v/>
      </c>
      <c r="AD8" s="13" t="n">
        <f aca="false">IFERROR(AVERAGEIF(D8:X8,"&lt;&gt;0"),"")</f>
        <v>11578.9473684211</v>
      </c>
    </row>
    <row r="9" customFormat="false" ht="15" hidden="false" customHeight="false" outlineLevel="0" collapsed="false">
      <c r="A9" s="3" t="n">
        <v>5</v>
      </c>
      <c r="B9" s="3" t="s">
        <v>428</v>
      </c>
      <c r="C9" s="3" t="s">
        <v>471</v>
      </c>
      <c r="D9" s="32" t="n">
        <v>36000</v>
      </c>
      <c r="E9" s="32" t="n">
        <v>30000</v>
      </c>
      <c r="F9" s="32" t="n">
        <v>30000</v>
      </c>
      <c r="G9" s="32" t="n">
        <v>30000</v>
      </c>
      <c r="H9" s="32" t="n">
        <v>30000</v>
      </c>
      <c r="I9" s="32" t="n">
        <v>30000</v>
      </c>
      <c r="J9" s="32" t="n">
        <v>30000</v>
      </c>
      <c r="K9" s="32" t="n">
        <v>30000</v>
      </c>
      <c r="L9" s="32" t="n">
        <v>30000</v>
      </c>
      <c r="M9" s="32" t="n">
        <v>30000</v>
      </c>
      <c r="N9" s="32" t="n">
        <v>30000</v>
      </c>
      <c r="O9" s="32" t="n">
        <v>30000</v>
      </c>
      <c r="P9" s="32" t="n">
        <v>32000</v>
      </c>
      <c r="Q9" s="32" t="n">
        <v>32000</v>
      </c>
      <c r="R9" s="32" t="n">
        <v>32000</v>
      </c>
      <c r="S9" s="32" t="n">
        <v>32000</v>
      </c>
      <c r="T9" s="32" t="n">
        <v>32000</v>
      </c>
      <c r="U9" s="32" t="n">
        <v>32000</v>
      </c>
      <c r="V9" s="32" t="n">
        <v>35000</v>
      </c>
      <c r="W9" s="32" t="n">
        <v>0</v>
      </c>
      <c r="X9" s="32" t="n">
        <v>0</v>
      </c>
      <c r="Y9" s="13" t="n">
        <f aca="false">IFERROR(AVERAGEIF(D9:H9,"&lt;&gt;0"),"")</f>
        <v>31200</v>
      </c>
      <c r="Z9" s="13" t="n">
        <f aca="false">IFERROR(AVERAGEIF(I9:M9,"&lt;&gt;0"),"")</f>
        <v>30000</v>
      </c>
      <c r="AA9" s="13" t="n">
        <f aca="false">IFERROR(AVERAGEIF(N9:R9,"&lt;&gt;0"),"")</f>
        <v>31200</v>
      </c>
      <c r="AB9" s="13" t="n">
        <f aca="false">IFERROR(AVERAGEIF(S9:W9,"&lt;&gt;0"),"")</f>
        <v>32750</v>
      </c>
      <c r="AC9" s="13" t="str">
        <f aca="false">IFERROR(AVERAGEIF(X9:X9,"&lt;&gt;0"),"")</f>
        <v/>
      </c>
      <c r="AD9" s="13" t="n">
        <f aca="false">IFERROR(AVERAGEIF(D9:X9,"&lt;&gt;0"),"")</f>
        <v>31210.5263157895</v>
      </c>
    </row>
    <row r="10" customFormat="false" ht="15" hidden="false" customHeight="false" outlineLevel="0" collapsed="false">
      <c r="A10" s="3" t="n">
        <v>6</v>
      </c>
      <c r="B10" s="3" t="s">
        <v>429</v>
      </c>
      <c r="C10" s="3" t="s">
        <v>471</v>
      </c>
      <c r="D10" s="32" t="n">
        <v>36000</v>
      </c>
      <c r="E10" s="32" t="n">
        <v>30000</v>
      </c>
      <c r="F10" s="32" t="n">
        <v>30000</v>
      </c>
      <c r="G10" s="32" t="n">
        <v>30000</v>
      </c>
      <c r="H10" s="32" t="n">
        <v>30000</v>
      </c>
      <c r="I10" s="32" t="n">
        <v>30000</v>
      </c>
      <c r="J10" s="32" t="n">
        <v>30000</v>
      </c>
      <c r="K10" s="32" t="n">
        <v>30000</v>
      </c>
      <c r="L10" s="32" t="n">
        <v>30000</v>
      </c>
      <c r="M10" s="32" t="n">
        <v>30000</v>
      </c>
      <c r="N10" s="32" t="n">
        <v>30000</v>
      </c>
      <c r="O10" s="32" t="n">
        <v>30000</v>
      </c>
      <c r="P10" s="32" t="n">
        <v>32000</v>
      </c>
      <c r="Q10" s="32" t="n">
        <v>32000</v>
      </c>
      <c r="R10" s="32" t="n">
        <v>32000</v>
      </c>
      <c r="S10" s="32" t="n">
        <v>32000</v>
      </c>
      <c r="T10" s="32" t="n">
        <v>32000</v>
      </c>
      <c r="U10" s="32" t="n">
        <v>32000</v>
      </c>
      <c r="V10" s="32" t="n">
        <v>35000</v>
      </c>
      <c r="W10" s="32" t="n">
        <v>0</v>
      </c>
      <c r="X10" s="32" t="n">
        <v>0</v>
      </c>
      <c r="Y10" s="13" t="n">
        <f aca="false">IFERROR(AVERAGEIF(D10:H10,"&lt;&gt;0"),"")</f>
        <v>31200</v>
      </c>
      <c r="Z10" s="13" t="n">
        <f aca="false">IFERROR(AVERAGEIF(I10:M10,"&lt;&gt;0"),"")</f>
        <v>30000</v>
      </c>
      <c r="AA10" s="13" t="n">
        <f aca="false">IFERROR(AVERAGEIF(N10:R10,"&lt;&gt;0"),"")</f>
        <v>31200</v>
      </c>
      <c r="AB10" s="13" t="n">
        <f aca="false">IFERROR(AVERAGEIF(S10:W10,"&lt;&gt;0"),"")</f>
        <v>32750</v>
      </c>
      <c r="AC10" s="13" t="str">
        <f aca="false">IFERROR(AVERAGEIF(X10:X10,"&lt;&gt;0"),"")</f>
        <v/>
      </c>
      <c r="AD10" s="13" t="n">
        <f aca="false">IFERROR(AVERAGEIF(D10:X10,"&lt;&gt;0"),"")</f>
        <v>31210.5263157895</v>
      </c>
    </row>
    <row r="11" customFormat="false" ht="15" hidden="false" customHeight="false" outlineLevel="0" collapsed="false">
      <c r="A11" s="3" t="n">
        <v>7</v>
      </c>
      <c r="B11" s="3" t="s">
        <v>418</v>
      </c>
      <c r="C11" s="3" t="s">
        <v>471</v>
      </c>
      <c r="D11" s="32" t="n">
        <v>50000</v>
      </c>
      <c r="E11" s="32" t="n">
        <v>45000</v>
      </c>
      <c r="F11" s="32" t="n">
        <v>45000</v>
      </c>
      <c r="G11" s="32" t="n">
        <v>45000</v>
      </c>
      <c r="H11" s="32" t="n">
        <v>45000</v>
      </c>
      <c r="I11" s="32" t="n">
        <v>45000</v>
      </c>
      <c r="J11" s="32" t="n">
        <v>45000</v>
      </c>
      <c r="K11" s="32" t="n">
        <v>45000</v>
      </c>
      <c r="L11" s="32" t="n">
        <v>45000</v>
      </c>
      <c r="M11" s="32" t="n">
        <v>45000</v>
      </c>
      <c r="N11" s="32" t="n">
        <v>45000</v>
      </c>
      <c r="O11" s="32" t="n">
        <v>45000</v>
      </c>
      <c r="P11" s="32" t="n">
        <v>47000</v>
      </c>
      <c r="Q11" s="32" t="n">
        <v>47000</v>
      </c>
      <c r="R11" s="32" t="n">
        <v>47000</v>
      </c>
      <c r="S11" s="32" t="n">
        <v>47000</v>
      </c>
      <c r="T11" s="32" t="n">
        <v>47000</v>
      </c>
      <c r="U11" s="32" t="n">
        <v>47000</v>
      </c>
      <c r="V11" s="32" t="n">
        <v>50000</v>
      </c>
      <c r="W11" s="32" t="n">
        <v>0</v>
      </c>
      <c r="X11" s="32" t="n">
        <v>0</v>
      </c>
      <c r="Y11" s="13" t="n">
        <f aca="false">IFERROR(AVERAGEIF(D11:H11,"&lt;&gt;0"),"")</f>
        <v>46000</v>
      </c>
      <c r="Z11" s="13" t="n">
        <f aca="false">IFERROR(AVERAGEIF(I11:M11,"&lt;&gt;0"),"")</f>
        <v>45000</v>
      </c>
      <c r="AA11" s="13" t="n">
        <f aca="false">IFERROR(AVERAGEIF(N11:R11,"&lt;&gt;0"),"")</f>
        <v>46200</v>
      </c>
      <c r="AB11" s="13" t="n">
        <f aca="false">IFERROR(AVERAGEIF(S11:W11,"&lt;&gt;0"),"")</f>
        <v>47750</v>
      </c>
      <c r="AC11" s="13" t="str">
        <f aca="false">IFERROR(AVERAGEIF(X11:X11,"&lt;&gt;0"),"")</f>
        <v/>
      </c>
      <c r="AD11" s="13" t="n">
        <f aca="false">IFERROR(AVERAGEIF(D11:X11,"&lt;&gt;0"),"")</f>
        <v>46157.8947368421</v>
      </c>
    </row>
    <row r="12" customFormat="false" ht="15" hidden="false" customHeight="false" outlineLevel="0" collapsed="false">
      <c r="A12" s="3" t="n">
        <v>8</v>
      </c>
      <c r="B12" s="3" t="s">
        <v>423</v>
      </c>
      <c r="C12" s="3" t="s">
        <v>471</v>
      </c>
      <c r="D12" s="32" t="n">
        <v>24000</v>
      </c>
      <c r="E12" s="32" t="n">
        <v>24000</v>
      </c>
      <c r="F12" s="32" t="n">
        <v>24000</v>
      </c>
      <c r="G12" s="32" t="n">
        <v>24000</v>
      </c>
      <c r="H12" s="32" t="n">
        <v>24000</v>
      </c>
      <c r="I12" s="32" t="n">
        <v>24000</v>
      </c>
      <c r="J12" s="32" t="n">
        <v>24000</v>
      </c>
      <c r="K12" s="32" t="n">
        <v>24000</v>
      </c>
      <c r="L12" s="32" t="n">
        <v>24000</v>
      </c>
      <c r="M12" s="32" t="n">
        <v>24000</v>
      </c>
      <c r="N12" s="32" t="n">
        <v>24000</v>
      </c>
      <c r="O12" s="32" t="n">
        <v>24000</v>
      </c>
      <c r="P12" s="32" t="n">
        <v>26000</v>
      </c>
      <c r="Q12" s="32" t="n">
        <v>26000</v>
      </c>
      <c r="R12" s="32" t="n">
        <v>26000</v>
      </c>
      <c r="S12" s="32" t="n">
        <v>26000</v>
      </c>
      <c r="T12" s="32" t="n">
        <v>26000</v>
      </c>
      <c r="U12" s="32" t="n">
        <v>26000</v>
      </c>
      <c r="V12" s="32" t="n">
        <v>30000</v>
      </c>
      <c r="W12" s="32" t="n">
        <v>0</v>
      </c>
      <c r="X12" s="32" t="n">
        <v>0</v>
      </c>
      <c r="Y12" s="13" t="n">
        <f aca="false">IFERROR(AVERAGEIF(D12:H12,"&lt;&gt;0"),"")</f>
        <v>24000</v>
      </c>
      <c r="Z12" s="13" t="n">
        <f aca="false">IFERROR(AVERAGEIF(I12:M12,"&lt;&gt;0"),"")</f>
        <v>24000</v>
      </c>
      <c r="AA12" s="13" t="n">
        <f aca="false">IFERROR(AVERAGEIF(N12:R12,"&lt;&gt;0"),"")</f>
        <v>25200</v>
      </c>
      <c r="AB12" s="13" t="n">
        <f aca="false">IFERROR(AVERAGEIF(S12:W12,"&lt;&gt;0"),"")</f>
        <v>27000</v>
      </c>
      <c r="AC12" s="13" t="str">
        <f aca="false">IFERROR(AVERAGEIF(X12:X12,"&lt;&gt;0"),"")</f>
        <v/>
      </c>
      <c r="AD12" s="13" t="n">
        <f aca="false">IFERROR(AVERAGEIF(D12:X12,"&lt;&gt;0"),"")</f>
        <v>24947.3684210526</v>
      </c>
    </row>
    <row r="13" customFormat="false" ht="15" hidden="false" customHeight="false" outlineLevel="0" collapsed="false">
      <c r="A13" s="3" t="n">
        <v>9</v>
      </c>
      <c r="B13" s="3" t="s">
        <v>420</v>
      </c>
      <c r="C13" s="3" t="s">
        <v>471</v>
      </c>
      <c r="D13" s="32" t="n">
        <v>16500</v>
      </c>
      <c r="E13" s="32" t="n">
        <v>16500</v>
      </c>
      <c r="F13" s="32" t="n">
        <v>16500</v>
      </c>
      <c r="G13" s="32" t="n">
        <v>16500</v>
      </c>
      <c r="H13" s="32" t="n">
        <v>16500</v>
      </c>
      <c r="I13" s="32" t="n">
        <v>16500</v>
      </c>
      <c r="J13" s="32" t="n">
        <v>16500</v>
      </c>
      <c r="K13" s="32" t="n">
        <v>16500</v>
      </c>
      <c r="L13" s="32" t="n">
        <v>16500</v>
      </c>
      <c r="M13" s="32" t="n">
        <v>16500</v>
      </c>
      <c r="N13" s="32" t="n">
        <v>16500</v>
      </c>
      <c r="O13" s="32" t="n">
        <v>16500</v>
      </c>
      <c r="P13" s="32" t="n">
        <v>16500</v>
      </c>
      <c r="Q13" s="32" t="n">
        <v>16500</v>
      </c>
      <c r="R13" s="32" t="n">
        <v>16500</v>
      </c>
      <c r="S13" s="32" t="n">
        <v>16500</v>
      </c>
      <c r="T13" s="32" t="n">
        <v>16500</v>
      </c>
      <c r="U13" s="32" t="n">
        <v>16500</v>
      </c>
      <c r="V13" s="32" t="n">
        <v>16500</v>
      </c>
      <c r="W13" s="32" t="n">
        <v>0</v>
      </c>
      <c r="X13" s="32" t="n">
        <v>0</v>
      </c>
      <c r="Y13" s="13" t="n">
        <f aca="false">IFERROR(AVERAGEIF(D13:H13,"&lt;&gt;0"),"")</f>
        <v>16500</v>
      </c>
      <c r="Z13" s="13" t="n">
        <f aca="false">IFERROR(AVERAGEIF(I13:M13,"&lt;&gt;0"),"")</f>
        <v>16500</v>
      </c>
      <c r="AA13" s="13" t="n">
        <f aca="false">IFERROR(AVERAGEIF(N13:R13,"&lt;&gt;0"),"")</f>
        <v>16500</v>
      </c>
      <c r="AB13" s="13" t="n">
        <f aca="false">IFERROR(AVERAGEIF(S13:W13,"&lt;&gt;0"),"")</f>
        <v>16500</v>
      </c>
      <c r="AC13" s="13" t="str">
        <f aca="false">IFERROR(AVERAGEIF(X13:X13,"&lt;&gt;0"),"")</f>
        <v/>
      </c>
      <c r="AD13" s="13" t="n">
        <f aca="false">IFERROR(AVERAGEIF(D13:X13,"&lt;&gt;0"),"")</f>
        <v>16500</v>
      </c>
    </row>
    <row r="14" customFormat="false" ht="15" hidden="false" customHeight="false" outlineLevel="0" collapsed="false">
      <c r="A14" s="3" t="n">
        <v>10</v>
      </c>
      <c r="B14" s="3" t="s">
        <v>413</v>
      </c>
      <c r="C14" s="3" t="s">
        <v>471</v>
      </c>
      <c r="D14" s="32" t="n">
        <v>15750</v>
      </c>
      <c r="E14" s="32" t="n">
        <v>15750</v>
      </c>
      <c r="F14" s="32" t="n">
        <v>15750</v>
      </c>
      <c r="G14" s="32" t="n">
        <v>15750</v>
      </c>
      <c r="H14" s="32" t="n">
        <v>15750</v>
      </c>
      <c r="I14" s="32" t="n">
        <v>15750</v>
      </c>
      <c r="J14" s="32" t="n">
        <v>15750</v>
      </c>
      <c r="K14" s="32" t="n">
        <v>15750</v>
      </c>
      <c r="L14" s="32" t="n">
        <v>15750</v>
      </c>
      <c r="M14" s="32" t="n">
        <v>15750</v>
      </c>
      <c r="N14" s="32" t="n">
        <v>15750</v>
      </c>
      <c r="O14" s="32" t="n">
        <v>15750</v>
      </c>
      <c r="P14" s="32" t="n">
        <v>15750</v>
      </c>
      <c r="Q14" s="32" t="n">
        <v>15750</v>
      </c>
      <c r="R14" s="32" t="n">
        <v>15750</v>
      </c>
      <c r="S14" s="32" t="n">
        <v>15750</v>
      </c>
      <c r="T14" s="32" t="n">
        <v>15750</v>
      </c>
      <c r="U14" s="32" t="n">
        <v>15750</v>
      </c>
      <c r="V14" s="32" t="n">
        <v>15750</v>
      </c>
      <c r="W14" s="32" t="n">
        <v>0</v>
      </c>
      <c r="X14" s="32" t="n">
        <v>0</v>
      </c>
      <c r="Y14" s="13" t="n">
        <f aca="false">IFERROR(AVERAGEIF(D14:H14,"&lt;&gt;0"),"")</f>
        <v>15750</v>
      </c>
      <c r="Z14" s="13" t="n">
        <f aca="false">IFERROR(AVERAGEIF(I14:M14,"&lt;&gt;0"),"")</f>
        <v>15750</v>
      </c>
      <c r="AA14" s="13" t="n">
        <f aca="false">IFERROR(AVERAGEIF(N14:R14,"&lt;&gt;0"),"")</f>
        <v>15750</v>
      </c>
      <c r="AB14" s="13" t="n">
        <f aca="false">IFERROR(AVERAGEIF(S14:W14,"&lt;&gt;0"),"")</f>
        <v>15750</v>
      </c>
      <c r="AC14" s="13" t="str">
        <f aca="false">IFERROR(AVERAGEIF(X14:X14,"&lt;&gt;0"),"")</f>
        <v/>
      </c>
      <c r="AD14" s="13" t="n">
        <f aca="false">IFERROR(AVERAGEIF(D14:X14,"&lt;&gt;0"),"")</f>
        <v>15750</v>
      </c>
    </row>
    <row r="15" customFormat="false" ht="15" hidden="false" customHeight="false" outlineLevel="0" collapsed="false">
      <c r="A15" s="3" t="n">
        <v>11</v>
      </c>
      <c r="B15" s="3" t="s">
        <v>414</v>
      </c>
      <c r="C15" s="3" t="s">
        <v>471</v>
      </c>
      <c r="D15" s="32" t="n">
        <v>18000</v>
      </c>
      <c r="E15" s="32" t="n">
        <v>18000</v>
      </c>
      <c r="F15" s="32" t="n">
        <v>18000</v>
      </c>
      <c r="G15" s="32" t="n">
        <v>18000</v>
      </c>
      <c r="H15" s="32" t="n">
        <v>18000</v>
      </c>
      <c r="I15" s="32" t="n">
        <v>18000</v>
      </c>
      <c r="J15" s="32" t="n">
        <v>18000</v>
      </c>
      <c r="K15" s="32" t="n">
        <v>18000</v>
      </c>
      <c r="L15" s="32" t="n">
        <v>18000</v>
      </c>
      <c r="M15" s="32" t="n">
        <v>18000</v>
      </c>
      <c r="N15" s="32" t="n">
        <v>18000</v>
      </c>
      <c r="O15" s="32" t="n">
        <v>18000</v>
      </c>
      <c r="P15" s="32" t="n">
        <v>18000</v>
      </c>
      <c r="Q15" s="32" t="n">
        <v>18000</v>
      </c>
      <c r="R15" s="32" t="n">
        <v>18000</v>
      </c>
      <c r="S15" s="32" t="n">
        <v>18000</v>
      </c>
      <c r="T15" s="32" t="n">
        <v>18000</v>
      </c>
      <c r="U15" s="32" t="n">
        <v>18000</v>
      </c>
      <c r="V15" s="32" t="n">
        <v>18000</v>
      </c>
      <c r="W15" s="32" t="n">
        <v>0</v>
      </c>
      <c r="X15" s="32" t="n">
        <v>0</v>
      </c>
      <c r="Y15" s="13" t="n">
        <f aca="false">IFERROR(AVERAGEIF(D15:H15,"&lt;&gt;0"),"")</f>
        <v>18000</v>
      </c>
      <c r="Z15" s="13" t="n">
        <f aca="false">IFERROR(AVERAGEIF(I15:M15,"&lt;&gt;0"),"")</f>
        <v>18000</v>
      </c>
      <c r="AA15" s="13" t="n">
        <f aca="false">IFERROR(AVERAGEIF(N15:R15,"&lt;&gt;0"),"")</f>
        <v>18000</v>
      </c>
      <c r="AB15" s="13" t="n">
        <f aca="false">IFERROR(AVERAGEIF(S15:W15,"&lt;&gt;0"),"")</f>
        <v>18000</v>
      </c>
      <c r="AC15" s="13" t="str">
        <f aca="false">IFERROR(AVERAGEIF(X15:X15,"&lt;&gt;0"),"")</f>
        <v/>
      </c>
      <c r="AD15" s="13" t="n">
        <f aca="false">IFERROR(AVERAGEIF(D15:X15,"&lt;&gt;0"),"")</f>
        <v>18000</v>
      </c>
    </row>
    <row r="16" customFormat="false" ht="15" hidden="false" customHeight="false" outlineLevel="0" collapsed="false">
      <c r="A16" s="3" t="n">
        <v>12</v>
      </c>
      <c r="B16" s="3" t="s">
        <v>415</v>
      </c>
      <c r="C16" s="3" t="s">
        <v>471</v>
      </c>
      <c r="D16" s="32" t="n">
        <v>15500</v>
      </c>
      <c r="E16" s="32" t="n">
        <v>15500</v>
      </c>
      <c r="F16" s="32" t="n">
        <v>15500</v>
      </c>
      <c r="G16" s="32" t="n">
        <v>15500</v>
      </c>
      <c r="H16" s="32" t="n">
        <v>15500</v>
      </c>
      <c r="I16" s="32" t="n">
        <v>15500</v>
      </c>
      <c r="J16" s="32" t="n">
        <v>15500</v>
      </c>
      <c r="K16" s="32" t="n">
        <v>15500</v>
      </c>
      <c r="L16" s="32" t="n">
        <v>15500</v>
      </c>
      <c r="M16" s="32" t="n">
        <v>15500</v>
      </c>
      <c r="N16" s="32" t="n">
        <v>15500</v>
      </c>
      <c r="O16" s="32" t="n">
        <v>15500</v>
      </c>
      <c r="P16" s="32" t="n">
        <v>15500</v>
      </c>
      <c r="Q16" s="32" t="n">
        <v>15500</v>
      </c>
      <c r="R16" s="32" t="n">
        <v>15500</v>
      </c>
      <c r="S16" s="32" t="n">
        <v>15500</v>
      </c>
      <c r="T16" s="32" t="n">
        <v>15500</v>
      </c>
      <c r="U16" s="32" t="n">
        <v>15500</v>
      </c>
      <c r="V16" s="32" t="n">
        <v>15500</v>
      </c>
      <c r="W16" s="32" t="n">
        <v>0</v>
      </c>
      <c r="X16" s="32" t="n">
        <v>0</v>
      </c>
      <c r="Y16" s="13" t="n">
        <f aca="false">IFERROR(AVERAGEIF(D16:H16,"&lt;&gt;0"),"")</f>
        <v>15500</v>
      </c>
      <c r="Z16" s="13" t="n">
        <f aca="false">IFERROR(AVERAGEIF(I16:M16,"&lt;&gt;0"),"")</f>
        <v>15500</v>
      </c>
      <c r="AA16" s="13" t="n">
        <f aca="false">IFERROR(AVERAGEIF(N16:R16,"&lt;&gt;0"),"")</f>
        <v>15500</v>
      </c>
      <c r="AB16" s="13" t="n">
        <f aca="false">IFERROR(AVERAGEIF(S16:W16,"&lt;&gt;0"),"")</f>
        <v>15500</v>
      </c>
      <c r="AC16" s="13" t="str">
        <f aca="false">IFERROR(AVERAGEIF(X16:X16,"&lt;&gt;0"),"")</f>
        <v/>
      </c>
      <c r="AD16" s="13" t="n">
        <f aca="false">IFERROR(AVERAGEIF(D16:X16,"&lt;&gt;0"),"")</f>
        <v>15500</v>
      </c>
    </row>
    <row r="17" customFormat="false" ht="15" hidden="false" customHeight="false" outlineLevel="0" collapsed="false">
      <c r="A17" s="3" t="n">
        <v>13</v>
      </c>
      <c r="B17" s="3" t="s">
        <v>410</v>
      </c>
      <c r="C17" s="3" t="s">
        <v>471</v>
      </c>
      <c r="D17" s="32" t="n">
        <v>9000</v>
      </c>
      <c r="E17" s="32" t="n">
        <v>9000</v>
      </c>
      <c r="F17" s="32" t="n">
        <v>9000</v>
      </c>
      <c r="G17" s="32" t="n">
        <v>9000</v>
      </c>
      <c r="H17" s="32" t="n">
        <v>9000</v>
      </c>
      <c r="I17" s="32" t="n">
        <v>9000</v>
      </c>
      <c r="J17" s="32" t="n">
        <v>9000</v>
      </c>
      <c r="K17" s="32" t="n">
        <v>9000</v>
      </c>
      <c r="L17" s="32" t="n">
        <v>9000</v>
      </c>
      <c r="M17" s="32" t="n">
        <v>9000</v>
      </c>
      <c r="N17" s="32" t="n">
        <v>9000</v>
      </c>
      <c r="O17" s="32" t="n">
        <v>9000</v>
      </c>
      <c r="P17" s="32" t="n">
        <v>9000</v>
      </c>
      <c r="Q17" s="32" t="n">
        <v>9000</v>
      </c>
      <c r="R17" s="32" t="n">
        <v>9000</v>
      </c>
      <c r="S17" s="32" t="n">
        <v>9000</v>
      </c>
      <c r="T17" s="32" t="n">
        <v>9000</v>
      </c>
      <c r="U17" s="32" t="n">
        <v>9000</v>
      </c>
      <c r="V17" s="32" t="n">
        <v>9000</v>
      </c>
      <c r="W17" s="32" t="n">
        <v>0</v>
      </c>
      <c r="X17" s="32" t="n">
        <v>0</v>
      </c>
      <c r="Y17" s="13" t="n">
        <f aca="false">IFERROR(AVERAGEIF(D17:H17,"&lt;&gt;0"),"")</f>
        <v>9000</v>
      </c>
      <c r="Z17" s="13" t="n">
        <f aca="false">IFERROR(AVERAGEIF(I17:M17,"&lt;&gt;0"),"")</f>
        <v>9000</v>
      </c>
      <c r="AA17" s="13" t="n">
        <f aca="false">IFERROR(AVERAGEIF(N17:R17,"&lt;&gt;0"),"")</f>
        <v>9000</v>
      </c>
      <c r="AB17" s="13" t="n">
        <f aca="false">IFERROR(AVERAGEIF(S17:W17,"&lt;&gt;0"),"")</f>
        <v>9000</v>
      </c>
      <c r="AC17" s="13" t="str">
        <f aca="false">IFERROR(AVERAGEIF(X17:X17,"&lt;&gt;0"),"")</f>
        <v/>
      </c>
      <c r="AD17" s="13" t="n">
        <f aca="false">IFERROR(AVERAGEIF(D17:X17,"&lt;&gt;0"),"")</f>
        <v>9000</v>
      </c>
    </row>
    <row r="18" customFormat="false" ht="15" hidden="false" customHeight="false" outlineLevel="0" collapsed="false">
      <c r="A18" s="3" t="n">
        <v>14</v>
      </c>
      <c r="B18" s="3" t="s">
        <v>412</v>
      </c>
      <c r="C18" s="3" t="s">
        <v>471</v>
      </c>
      <c r="D18" s="32" t="n">
        <v>31000</v>
      </c>
      <c r="E18" s="32" t="n">
        <v>31000</v>
      </c>
      <c r="F18" s="32" t="n">
        <v>31000</v>
      </c>
      <c r="G18" s="32" t="n">
        <v>30000</v>
      </c>
      <c r="H18" s="32" t="n">
        <v>30000</v>
      </c>
      <c r="I18" s="32" t="n">
        <v>30000</v>
      </c>
      <c r="J18" s="32" t="n">
        <v>30000</v>
      </c>
      <c r="K18" s="32" t="n">
        <v>30000</v>
      </c>
      <c r="L18" s="32" t="n">
        <v>30000</v>
      </c>
      <c r="M18" s="32" t="n">
        <v>30000</v>
      </c>
      <c r="N18" s="32" t="n">
        <v>30000</v>
      </c>
      <c r="O18" s="32" t="n">
        <v>30000</v>
      </c>
      <c r="P18" s="32" t="n">
        <v>30000</v>
      </c>
      <c r="Q18" s="32" t="n">
        <v>30000</v>
      </c>
      <c r="R18" s="32" t="n">
        <v>30000</v>
      </c>
      <c r="S18" s="32" t="n">
        <v>30000</v>
      </c>
      <c r="T18" s="32" t="n">
        <v>30000</v>
      </c>
      <c r="U18" s="32" t="n">
        <v>30000</v>
      </c>
      <c r="V18" s="32" t="n">
        <v>29000</v>
      </c>
      <c r="W18" s="32" t="n">
        <v>0</v>
      </c>
      <c r="X18" s="32" t="n">
        <v>0</v>
      </c>
      <c r="Y18" s="13" t="n">
        <f aca="false">IFERROR(AVERAGEIF(D18:H18,"&lt;&gt;0"),"")</f>
        <v>30600</v>
      </c>
      <c r="Z18" s="13" t="n">
        <f aca="false">IFERROR(AVERAGEIF(I18:M18,"&lt;&gt;0"),"")</f>
        <v>30000</v>
      </c>
      <c r="AA18" s="13" t="n">
        <f aca="false">IFERROR(AVERAGEIF(N18:R18,"&lt;&gt;0"),"")</f>
        <v>30000</v>
      </c>
      <c r="AB18" s="13" t="n">
        <f aca="false">IFERROR(AVERAGEIF(S18:W18,"&lt;&gt;0"),"")</f>
        <v>29750</v>
      </c>
      <c r="AC18" s="13" t="str">
        <f aca="false">IFERROR(AVERAGEIF(X18:X18,"&lt;&gt;0"),"")</f>
        <v/>
      </c>
      <c r="AD18" s="13" t="n">
        <f aca="false">IFERROR(AVERAGEIF(D18:X18,"&lt;&gt;0"),"")</f>
        <v>30105.2631578947</v>
      </c>
    </row>
    <row r="19" customFormat="false" ht="15" hidden="false" customHeight="false" outlineLevel="0" collapsed="false">
      <c r="A19" s="3" t="n">
        <v>15</v>
      </c>
      <c r="B19" s="3" t="s">
        <v>419</v>
      </c>
      <c r="C19" s="3" t="s">
        <v>471</v>
      </c>
      <c r="D19" s="32" t="n">
        <v>26500</v>
      </c>
      <c r="E19" s="32" t="n">
        <v>26000</v>
      </c>
      <c r="F19" s="32" t="n">
        <v>26000</v>
      </c>
      <c r="G19" s="32" t="n">
        <v>26000</v>
      </c>
      <c r="H19" s="32" t="n">
        <v>26000</v>
      </c>
      <c r="I19" s="32" t="n">
        <v>26000</v>
      </c>
      <c r="J19" s="32" t="n">
        <v>26000</v>
      </c>
      <c r="K19" s="32" t="n">
        <v>26000</v>
      </c>
      <c r="L19" s="32" t="n">
        <v>25000</v>
      </c>
      <c r="M19" s="32" t="n">
        <v>25000</v>
      </c>
      <c r="N19" s="32" t="n">
        <v>25000</v>
      </c>
      <c r="O19" s="32" t="n">
        <v>25000</v>
      </c>
      <c r="P19" s="32" t="n">
        <v>25000</v>
      </c>
      <c r="Q19" s="32" t="n">
        <v>25000</v>
      </c>
      <c r="R19" s="32" t="n">
        <v>25000</v>
      </c>
      <c r="S19" s="32" t="n">
        <v>25000</v>
      </c>
      <c r="T19" s="32" t="n">
        <v>25000</v>
      </c>
      <c r="U19" s="32" t="n">
        <v>25000</v>
      </c>
      <c r="V19" s="32" t="n">
        <v>24500</v>
      </c>
      <c r="W19" s="32" t="n">
        <v>0</v>
      </c>
      <c r="X19" s="32" t="n">
        <v>0</v>
      </c>
      <c r="Y19" s="13" t="n">
        <f aca="false">IFERROR(AVERAGEIF(D19:H19,"&lt;&gt;0"),"")</f>
        <v>26100</v>
      </c>
      <c r="Z19" s="13" t="n">
        <f aca="false">IFERROR(AVERAGEIF(I19:M19,"&lt;&gt;0"),"")</f>
        <v>25600</v>
      </c>
      <c r="AA19" s="13" t="n">
        <f aca="false">IFERROR(AVERAGEIF(N19:R19,"&lt;&gt;0"),"")</f>
        <v>25000</v>
      </c>
      <c r="AB19" s="13" t="n">
        <f aca="false">IFERROR(AVERAGEIF(S19:W19,"&lt;&gt;0"),"")</f>
        <v>24875</v>
      </c>
      <c r="AC19" s="13" t="str">
        <f aca="false">IFERROR(AVERAGEIF(X19:X19,"&lt;&gt;0"),"")</f>
        <v/>
      </c>
      <c r="AD19" s="13" t="n">
        <f aca="false">IFERROR(AVERAGEIF(D19:X19,"&lt;&gt;0"),"")</f>
        <v>25421.0526315789</v>
      </c>
    </row>
    <row r="20" customFormat="false" ht="15" hidden="false" customHeight="false" outlineLevel="0" collapsed="false">
      <c r="A20" s="3" t="n">
        <v>16</v>
      </c>
      <c r="B20" s="3" t="s">
        <v>430</v>
      </c>
      <c r="C20" s="3" t="s">
        <v>471</v>
      </c>
      <c r="D20" s="32" t="n">
        <v>103000</v>
      </c>
      <c r="E20" s="32" t="n">
        <v>103000</v>
      </c>
      <c r="F20" s="32" t="n">
        <v>103000</v>
      </c>
      <c r="G20" s="32" t="n">
        <v>103000</v>
      </c>
      <c r="H20" s="32" t="n">
        <v>103000</v>
      </c>
      <c r="I20" s="32" t="n">
        <v>103000</v>
      </c>
      <c r="J20" s="32" t="n">
        <v>103000</v>
      </c>
      <c r="K20" s="32" t="n">
        <v>103000</v>
      </c>
      <c r="L20" s="32" t="n">
        <v>103000</v>
      </c>
      <c r="M20" s="32" t="n">
        <v>103000</v>
      </c>
      <c r="N20" s="32" t="n">
        <v>103000</v>
      </c>
      <c r="O20" s="32" t="n">
        <v>103000</v>
      </c>
      <c r="P20" s="32" t="n">
        <v>103000</v>
      </c>
      <c r="Q20" s="32" t="n">
        <v>103000</v>
      </c>
      <c r="R20" s="32" t="n">
        <v>103000</v>
      </c>
      <c r="S20" s="32" t="n">
        <v>103000</v>
      </c>
      <c r="T20" s="32" t="n">
        <v>103000</v>
      </c>
      <c r="U20" s="32" t="n">
        <v>103000</v>
      </c>
      <c r="V20" s="32" t="n">
        <v>102000</v>
      </c>
      <c r="W20" s="32" t="n">
        <v>0</v>
      </c>
      <c r="X20" s="32" t="n">
        <v>0</v>
      </c>
      <c r="Y20" s="13" t="n">
        <f aca="false">IFERROR(AVERAGEIF(D20:H20,"&lt;&gt;0"),"")</f>
        <v>103000</v>
      </c>
      <c r="Z20" s="13" t="n">
        <f aca="false">IFERROR(AVERAGEIF(I20:M20,"&lt;&gt;0"),"")</f>
        <v>103000</v>
      </c>
      <c r="AA20" s="13" t="n">
        <f aca="false">IFERROR(AVERAGEIF(N20:R20,"&lt;&gt;0"),"")</f>
        <v>103000</v>
      </c>
      <c r="AB20" s="13" t="n">
        <f aca="false">IFERROR(AVERAGEIF(S20:W20,"&lt;&gt;0"),"")</f>
        <v>102750</v>
      </c>
      <c r="AC20" s="13" t="str">
        <f aca="false">IFERROR(AVERAGEIF(X20:X20,"&lt;&gt;0"),"")</f>
        <v/>
      </c>
      <c r="AD20" s="13" t="n">
        <f aca="false">IFERROR(AVERAGEIF(D20:X20,"&lt;&gt;0"),"")</f>
        <v>102947.368421053</v>
      </c>
    </row>
    <row r="21" customFormat="false" ht="15" hidden="false" customHeight="false" outlineLevel="0" collapsed="false">
      <c r="A21" s="3" t="n">
        <v>17</v>
      </c>
      <c r="B21" s="3" t="s">
        <v>431</v>
      </c>
      <c r="C21" s="3" t="s">
        <v>471</v>
      </c>
      <c r="D21" s="32" t="n">
        <v>60000</v>
      </c>
      <c r="E21" s="32" t="n">
        <v>60000</v>
      </c>
      <c r="F21" s="32" t="n">
        <v>60000</v>
      </c>
      <c r="G21" s="32" t="n">
        <v>60000</v>
      </c>
      <c r="H21" s="32" t="n">
        <v>60000</v>
      </c>
      <c r="I21" s="32" t="n">
        <v>60000</v>
      </c>
      <c r="J21" s="32" t="n">
        <v>60000</v>
      </c>
      <c r="K21" s="32" t="n">
        <v>60000</v>
      </c>
      <c r="L21" s="32" t="n">
        <v>60000</v>
      </c>
      <c r="M21" s="32" t="n">
        <v>60000</v>
      </c>
      <c r="N21" s="32" t="n">
        <v>60000</v>
      </c>
      <c r="O21" s="32" t="n">
        <v>60000</v>
      </c>
      <c r="P21" s="32" t="n">
        <v>60000</v>
      </c>
      <c r="Q21" s="32" t="n">
        <v>60000</v>
      </c>
      <c r="R21" s="32" t="n">
        <v>60000</v>
      </c>
      <c r="S21" s="32" t="n">
        <v>60000</v>
      </c>
      <c r="T21" s="32" t="n">
        <v>60000</v>
      </c>
      <c r="U21" s="32" t="n">
        <v>60000</v>
      </c>
      <c r="V21" s="32" t="n">
        <v>60000</v>
      </c>
      <c r="W21" s="32" t="n">
        <v>0</v>
      </c>
      <c r="X21" s="32" t="n">
        <v>0</v>
      </c>
      <c r="Y21" s="13" t="n">
        <f aca="false">IFERROR(AVERAGEIF(D21:H21,"&lt;&gt;0"),"")</f>
        <v>60000</v>
      </c>
      <c r="Z21" s="13" t="n">
        <f aca="false">IFERROR(AVERAGEIF(I21:M21,"&lt;&gt;0"),"")</f>
        <v>60000</v>
      </c>
      <c r="AA21" s="13" t="n">
        <f aca="false">IFERROR(AVERAGEIF(N21:R21,"&lt;&gt;0"),"")</f>
        <v>60000</v>
      </c>
      <c r="AB21" s="13" t="n">
        <f aca="false">IFERROR(AVERAGEIF(S21:W21,"&lt;&gt;0"),"")</f>
        <v>60000</v>
      </c>
      <c r="AC21" s="13" t="str">
        <f aca="false">IFERROR(AVERAGEIF(X21:X21,"&lt;&gt;0"),"")</f>
        <v/>
      </c>
      <c r="AD21" s="13" t="n">
        <f aca="false">IFERROR(AVERAGEIF(D21:X21,"&lt;&gt;0"),"")</f>
        <v>60000</v>
      </c>
    </row>
    <row r="22" customFormat="false" ht="15" hidden="false" customHeight="false" outlineLevel="0" collapsed="false">
      <c r="A22" s="3" t="n">
        <v>18</v>
      </c>
      <c r="B22" s="3" t="s">
        <v>432</v>
      </c>
      <c r="C22" s="3" t="s">
        <v>471</v>
      </c>
      <c r="D22" s="32" t="n">
        <v>70000</v>
      </c>
      <c r="E22" s="32" t="n">
        <v>70000</v>
      </c>
      <c r="F22" s="32" t="n">
        <v>70000</v>
      </c>
      <c r="G22" s="32" t="n">
        <v>70000</v>
      </c>
      <c r="H22" s="32" t="n">
        <v>70000</v>
      </c>
      <c r="I22" s="32" t="n">
        <v>70000</v>
      </c>
      <c r="J22" s="32" t="n">
        <v>70000</v>
      </c>
      <c r="K22" s="32" t="n">
        <v>70000</v>
      </c>
      <c r="L22" s="32" t="n">
        <v>70000</v>
      </c>
      <c r="M22" s="32" t="n">
        <v>70000</v>
      </c>
      <c r="N22" s="32" t="n">
        <v>70000</v>
      </c>
      <c r="O22" s="32" t="n">
        <v>70000</v>
      </c>
      <c r="P22" s="32" t="n">
        <v>70000</v>
      </c>
      <c r="Q22" s="32" t="n">
        <v>70000</v>
      </c>
      <c r="R22" s="32" t="n">
        <v>70000</v>
      </c>
      <c r="S22" s="32" t="n">
        <v>70000</v>
      </c>
      <c r="T22" s="32" t="n">
        <v>70000</v>
      </c>
      <c r="U22" s="32" t="n">
        <v>70000</v>
      </c>
      <c r="V22" s="32" t="n">
        <v>70000</v>
      </c>
      <c r="W22" s="32" t="n">
        <v>0</v>
      </c>
      <c r="X22" s="32" t="n">
        <v>0</v>
      </c>
      <c r="Y22" s="13" t="n">
        <f aca="false">IFERROR(AVERAGEIF(D22:H22,"&lt;&gt;0"),"")</f>
        <v>70000</v>
      </c>
      <c r="Z22" s="13" t="n">
        <f aca="false">IFERROR(AVERAGEIF(I22:M22,"&lt;&gt;0"),"")</f>
        <v>70000</v>
      </c>
      <c r="AA22" s="13" t="n">
        <f aca="false">IFERROR(AVERAGEIF(N22:R22,"&lt;&gt;0"),"")</f>
        <v>70000</v>
      </c>
      <c r="AB22" s="13" t="n">
        <f aca="false">IFERROR(AVERAGEIF(S22:W22,"&lt;&gt;0"),"")</f>
        <v>70000</v>
      </c>
      <c r="AC22" s="13" t="str">
        <f aca="false">IFERROR(AVERAGEIF(X22:X22,"&lt;&gt;0"),"")</f>
        <v/>
      </c>
      <c r="AD22" s="13" t="n">
        <f aca="false">IFERROR(AVERAGEIF(D22:X22,"&lt;&gt;0"),"")</f>
        <v>70000</v>
      </c>
    </row>
    <row r="23" customFormat="false" ht="15" hidden="false" customHeight="false" outlineLevel="0" collapsed="false">
      <c r="A23" s="3" t="n">
        <v>19</v>
      </c>
      <c r="B23" s="3" t="s">
        <v>473</v>
      </c>
      <c r="C23" s="3" t="s">
        <v>471</v>
      </c>
      <c r="D23" s="32" t="n">
        <v>30000</v>
      </c>
      <c r="E23" s="32" t="n">
        <v>30000</v>
      </c>
      <c r="F23" s="32" t="n">
        <v>30000</v>
      </c>
      <c r="G23" s="32" t="n">
        <v>30000</v>
      </c>
      <c r="H23" s="32" t="n">
        <v>30000</v>
      </c>
      <c r="I23" s="32" t="n">
        <v>30000</v>
      </c>
      <c r="J23" s="32" t="n">
        <v>30000</v>
      </c>
      <c r="K23" s="32" t="n">
        <v>30000</v>
      </c>
      <c r="L23" s="32" t="n">
        <v>30000</v>
      </c>
      <c r="M23" s="32" t="n">
        <v>30000</v>
      </c>
      <c r="N23" s="32" t="n">
        <v>30000</v>
      </c>
      <c r="O23" s="32" t="n">
        <v>30000</v>
      </c>
      <c r="P23" s="32" t="n">
        <v>30000</v>
      </c>
      <c r="Q23" s="32" t="n">
        <v>30000</v>
      </c>
      <c r="R23" s="32" t="n">
        <v>30000</v>
      </c>
      <c r="S23" s="32" t="n">
        <v>30000</v>
      </c>
      <c r="T23" s="32" t="n">
        <v>30000</v>
      </c>
      <c r="U23" s="32" t="n">
        <v>30000</v>
      </c>
      <c r="V23" s="32" t="n">
        <v>30000</v>
      </c>
      <c r="W23" s="32" t="n">
        <v>0</v>
      </c>
      <c r="X23" s="32" t="n">
        <v>0</v>
      </c>
      <c r="Y23" s="13" t="n">
        <f aca="false">IFERROR(AVERAGEIF(D23:H23,"&lt;&gt;0"),"")</f>
        <v>30000</v>
      </c>
      <c r="Z23" s="13" t="n">
        <f aca="false">IFERROR(AVERAGEIF(I23:M23,"&lt;&gt;0"),"")</f>
        <v>30000</v>
      </c>
      <c r="AA23" s="13" t="n">
        <f aca="false">IFERROR(AVERAGEIF(N23:R23,"&lt;&gt;0"),"")</f>
        <v>30000</v>
      </c>
      <c r="AB23" s="13" t="n">
        <f aca="false">IFERROR(AVERAGEIF(S23:W23,"&lt;&gt;0"),"")</f>
        <v>30000</v>
      </c>
      <c r="AC23" s="13" t="str">
        <f aca="false">IFERROR(AVERAGEIF(X23:X23,"&lt;&gt;0"),"")</f>
        <v/>
      </c>
      <c r="AD23" s="13" t="n">
        <f aca="false">IFERROR(AVERAGEIF(D23:X23,"&lt;&gt;0"),"")</f>
        <v>30000</v>
      </c>
    </row>
    <row r="24" customFormat="false" ht="15" hidden="false" customHeight="false" outlineLevel="0" collapsed="false">
      <c r="A24" s="3" t="n">
        <v>20</v>
      </c>
      <c r="B24" s="3" t="s">
        <v>421</v>
      </c>
      <c r="C24" s="3" t="s">
        <v>471</v>
      </c>
      <c r="D24" s="32" t="n">
        <v>35000</v>
      </c>
      <c r="E24" s="32" t="n">
        <v>35000</v>
      </c>
      <c r="F24" s="32" t="n">
        <v>35000</v>
      </c>
      <c r="G24" s="32" t="n">
        <v>35000</v>
      </c>
      <c r="H24" s="32" t="n">
        <v>35000</v>
      </c>
      <c r="I24" s="32" t="n">
        <v>35000</v>
      </c>
      <c r="J24" s="32" t="n">
        <v>35000</v>
      </c>
      <c r="K24" s="32" t="n">
        <v>35000</v>
      </c>
      <c r="L24" s="32" t="n">
        <v>35000</v>
      </c>
      <c r="M24" s="32" t="n">
        <v>35000</v>
      </c>
      <c r="N24" s="32" t="n">
        <v>35000</v>
      </c>
      <c r="O24" s="32" t="n">
        <v>35000</v>
      </c>
      <c r="P24" s="32" t="n">
        <v>35000</v>
      </c>
      <c r="Q24" s="32" t="n">
        <v>35000</v>
      </c>
      <c r="R24" s="32" t="n">
        <v>35000</v>
      </c>
      <c r="S24" s="32" t="n">
        <v>35000</v>
      </c>
      <c r="T24" s="32" t="n">
        <v>35000</v>
      </c>
      <c r="U24" s="32" t="n">
        <v>35000</v>
      </c>
      <c r="V24" s="32" t="n">
        <v>35000</v>
      </c>
      <c r="W24" s="32" t="n">
        <v>0</v>
      </c>
      <c r="X24" s="32" t="n">
        <v>0</v>
      </c>
      <c r="Y24" s="13" t="n">
        <f aca="false">IFERROR(AVERAGEIF(D24:H24,"&lt;&gt;0"),"")</f>
        <v>35000</v>
      </c>
      <c r="Z24" s="13" t="n">
        <f aca="false">IFERROR(AVERAGEIF(I24:M24,"&lt;&gt;0"),"")</f>
        <v>35000</v>
      </c>
      <c r="AA24" s="13" t="n">
        <f aca="false">IFERROR(AVERAGEIF(N24:R24,"&lt;&gt;0"),"")</f>
        <v>35000</v>
      </c>
      <c r="AB24" s="13" t="n">
        <f aca="false">IFERROR(AVERAGEIF(S24:W24,"&lt;&gt;0"),"")</f>
        <v>35000</v>
      </c>
      <c r="AC24" s="13" t="str">
        <f aca="false">IFERROR(AVERAGEIF(X24:X24,"&lt;&gt;0"),"")</f>
        <v/>
      </c>
      <c r="AD24" s="13" t="n">
        <f aca="false">IFERROR(AVERAGEIF(D24:X24,"&lt;&gt;0"),"")</f>
        <v>35000</v>
      </c>
    </row>
    <row r="25" customFormat="false" ht="15" hidden="false" customHeight="false" outlineLevel="0" collapsed="false">
      <c r="A25" s="3" t="n">
        <v>21</v>
      </c>
      <c r="B25" s="3" t="s">
        <v>474</v>
      </c>
      <c r="C25" s="3" t="s">
        <v>471</v>
      </c>
      <c r="D25" s="32" t="n">
        <v>75000</v>
      </c>
      <c r="E25" s="32" t="n">
        <v>75000</v>
      </c>
      <c r="F25" s="32" t="n">
        <v>75000</v>
      </c>
      <c r="G25" s="32" t="n">
        <v>75000</v>
      </c>
      <c r="H25" s="32" t="n">
        <v>75000</v>
      </c>
      <c r="I25" s="32" t="n">
        <v>75000</v>
      </c>
      <c r="J25" s="32" t="n">
        <v>75000</v>
      </c>
      <c r="K25" s="32" t="n">
        <v>75000</v>
      </c>
      <c r="L25" s="32" t="n">
        <v>75000</v>
      </c>
      <c r="M25" s="32" t="n">
        <v>75000</v>
      </c>
      <c r="N25" s="32" t="n">
        <v>75000</v>
      </c>
      <c r="O25" s="32" t="n">
        <v>75000</v>
      </c>
      <c r="P25" s="32" t="n">
        <v>75000</v>
      </c>
      <c r="Q25" s="32" t="n">
        <v>75000</v>
      </c>
      <c r="R25" s="32" t="n">
        <v>75000</v>
      </c>
      <c r="S25" s="32" t="n">
        <v>75000</v>
      </c>
      <c r="T25" s="32" t="n">
        <v>75000</v>
      </c>
      <c r="U25" s="32" t="n">
        <v>75000</v>
      </c>
      <c r="V25" s="32" t="n">
        <v>75000</v>
      </c>
      <c r="W25" s="32" t="n">
        <v>0</v>
      </c>
      <c r="X25" s="32" t="n">
        <v>0</v>
      </c>
      <c r="Y25" s="13" t="n">
        <f aca="false">IFERROR(AVERAGEIF(D25:H25,"&lt;&gt;0"),"")</f>
        <v>75000</v>
      </c>
      <c r="Z25" s="13" t="n">
        <f aca="false">IFERROR(AVERAGEIF(I25:M25,"&lt;&gt;0"),"")</f>
        <v>75000</v>
      </c>
      <c r="AA25" s="13" t="n">
        <f aca="false">IFERROR(AVERAGEIF(N25:R25,"&lt;&gt;0"),"")</f>
        <v>75000</v>
      </c>
      <c r="AB25" s="13" t="n">
        <f aca="false">IFERROR(AVERAGEIF(S25:W25,"&lt;&gt;0"),"")</f>
        <v>75000</v>
      </c>
      <c r="AC25" s="13" t="str">
        <f aca="false">IFERROR(AVERAGEIF(X25:X25,"&lt;&gt;0"),"")</f>
        <v/>
      </c>
      <c r="AD25" s="13" t="n">
        <f aca="false">IFERROR(AVERAGEIF(D25:X25,"&lt;&gt;0"),"")</f>
        <v>75000</v>
      </c>
    </row>
    <row r="26" customFormat="false" ht="15" hidden="false" customHeight="false" outlineLevel="0" collapsed="false">
      <c r="A26" s="3" t="n">
        <v>22</v>
      </c>
      <c r="B26" s="3" t="s">
        <v>426</v>
      </c>
      <c r="C26" s="3" t="s">
        <v>471</v>
      </c>
      <c r="D26" s="32" t="n">
        <v>2800</v>
      </c>
      <c r="E26" s="32" t="n">
        <v>2800</v>
      </c>
      <c r="F26" s="32" t="n">
        <v>2800</v>
      </c>
      <c r="G26" s="32" t="n">
        <v>2800</v>
      </c>
      <c r="H26" s="32" t="n">
        <v>2800</v>
      </c>
      <c r="I26" s="32" t="n">
        <v>2800</v>
      </c>
      <c r="J26" s="32" t="n">
        <v>2800</v>
      </c>
      <c r="K26" s="32" t="n">
        <v>2800</v>
      </c>
      <c r="L26" s="32" t="n">
        <v>2800</v>
      </c>
      <c r="M26" s="32" t="n">
        <v>2800</v>
      </c>
      <c r="N26" s="32" t="n">
        <v>2800</v>
      </c>
      <c r="O26" s="32" t="n">
        <v>2800</v>
      </c>
      <c r="P26" s="32" t="n">
        <v>2800</v>
      </c>
      <c r="Q26" s="32" t="n">
        <v>2800</v>
      </c>
      <c r="R26" s="32" t="n">
        <v>2800</v>
      </c>
      <c r="S26" s="32" t="n">
        <v>2800</v>
      </c>
      <c r="T26" s="32" t="n">
        <v>2800</v>
      </c>
      <c r="U26" s="32" t="n">
        <v>2800</v>
      </c>
      <c r="V26" s="32" t="n">
        <v>2800</v>
      </c>
      <c r="W26" s="32" t="n">
        <v>0</v>
      </c>
      <c r="X26" s="32" t="n">
        <v>0</v>
      </c>
      <c r="Y26" s="13" t="n">
        <f aca="false">IFERROR(AVERAGEIF(D26:H26,"&lt;&gt;0"),"")</f>
        <v>2800</v>
      </c>
      <c r="Z26" s="13" t="n">
        <f aca="false">IFERROR(AVERAGEIF(I26:M26,"&lt;&gt;0"),"")</f>
        <v>2800</v>
      </c>
      <c r="AA26" s="13" t="n">
        <f aca="false">IFERROR(AVERAGEIF(N26:R26,"&lt;&gt;0"),"")</f>
        <v>2800</v>
      </c>
      <c r="AB26" s="13" t="n">
        <f aca="false">IFERROR(AVERAGEIF(S26:W26,"&lt;&gt;0"),"")</f>
        <v>2800</v>
      </c>
      <c r="AC26" s="13" t="str">
        <f aca="false">IFERROR(AVERAGEIF(X26:X26,"&lt;&gt;0"),"")</f>
        <v/>
      </c>
      <c r="AD26" s="13" t="n">
        <f aca="false">IFERROR(AVERAGEIF(D26:X26,"&lt;&gt;0"),"")</f>
        <v>2800</v>
      </c>
    </row>
    <row r="27" customFormat="false" ht="15" hidden="false" customHeight="false" outlineLevel="0" collapsed="false">
      <c r="A27" s="3" t="n">
        <v>23</v>
      </c>
      <c r="B27" s="3" t="s">
        <v>424</v>
      </c>
      <c r="C27" s="3" t="s">
        <v>471</v>
      </c>
      <c r="D27" s="32" t="n">
        <v>36000</v>
      </c>
      <c r="E27" s="32" t="n">
        <v>36000</v>
      </c>
      <c r="F27" s="32" t="n">
        <v>36000</v>
      </c>
      <c r="G27" s="32" t="n">
        <v>36000</v>
      </c>
      <c r="H27" s="32" t="n">
        <v>36000</v>
      </c>
      <c r="I27" s="32" t="n">
        <v>36000</v>
      </c>
      <c r="J27" s="32" t="n">
        <v>36000</v>
      </c>
      <c r="K27" s="32" t="n">
        <v>36000</v>
      </c>
      <c r="L27" s="32" t="n">
        <v>36000</v>
      </c>
      <c r="M27" s="32" t="n">
        <v>36000</v>
      </c>
      <c r="N27" s="32" t="n">
        <v>36000</v>
      </c>
      <c r="O27" s="32" t="n">
        <v>36000</v>
      </c>
      <c r="P27" s="32" t="n">
        <v>36000</v>
      </c>
      <c r="Q27" s="32" t="n">
        <v>36000</v>
      </c>
      <c r="R27" s="32" t="n">
        <v>36000</v>
      </c>
      <c r="S27" s="32" t="n">
        <v>36000</v>
      </c>
      <c r="T27" s="32" t="n">
        <v>36000</v>
      </c>
      <c r="U27" s="32" t="n">
        <v>36000</v>
      </c>
      <c r="V27" s="32" t="n">
        <v>38000</v>
      </c>
      <c r="W27" s="32" t="n">
        <v>0</v>
      </c>
      <c r="X27" s="32" t="n">
        <v>0</v>
      </c>
      <c r="Y27" s="13" t="n">
        <f aca="false">IFERROR(AVERAGEIF(D27:H27,"&lt;&gt;0"),"")</f>
        <v>36000</v>
      </c>
      <c r="Z27" s="13" t="n">
        <f aca="false">IFERROR(AVERAGEIF(I27:M27,"&lt;&gt;0"),"")</f>
        <v>36000</v>
      </c>
      <c r="AA27" s="13" t="n">
        <f aca="false">IFERROR(AVERAGEIF(N27:R27,"&lt;&gt;0"),"")</f>
        <v>36000</v>
      </c>
      <c r="AB27" s="13" t="n">
        <f aca="false">IFERROR(AVERAGEIF(S27:W27,"&lt;&gt;0"),"")</f>
        <v>36500</v>
      </c>
      <c r="AC27" s="13" t="str">
        <f aca="false">IFERROR(AVERAGEIF(X27:X27,"&lt;&gt;0"),"")</f>
        <v/>
      </c>
      <c r="AD27" s="13" t="n">
        <f aca="false">IFERROR(AVERAGEIF(D27:X27,"&lt;&gt;0"),"")</f>
        <v>36105.2631578947</v>
      </c>
    </row>
    <row r="28" customFormat="false" ht="15" hidden="false" customHeight="false" outlineLevel="0" collapsed="false">
      <c r="A28" s="3" t="n">
        <v>24</v>
      </c>
      <c r="B28" s="3" t="s">
        <v>425</v>
      </c>
      <c r="C28" s="3" t="s">
        <v>471</v>
      </c>
      <c r="D28" s="32" t="n">
        <v>38000</v>
      </c>
      <c r="E28" s="32" t="n">
        <v>36000</v>
      </c>
      <c r="F28" s="32" t="n">
        <v>36000</v>
      </c>
      <c r="G28" s="32" t="n">
        <v>36000</v>
      </c>
      <c r="H28" s="32" t="n">
        <v>36000</v>
      </c>
      <c r="I28" s="32" t="n">
        <v>36000</v>
      </c>
      <c r="J28" s="32" t="n">
        <v>36000</v>
      </c>
      <c r="K28" s="32" t="n">
        <v>36000</v>
      </c>
      <c r="L28" s="32" t="n">
        <v>36000</v>
      </c>
      <c r="M28" s="32" t="n">
        <v>36000</v>
      </c>
      <c r="N28" s="32" t="n">
        <v>36000</v>
      </c>
      <c r="O28" s="32" t="n">
        <v>36000</v>
      </c>
      <c r="P28" s="32" t="n">
        <v>36000</v>
      </c>
      <c r="Q28" s="32" t="n">
        <v>36000</v>
      </c>
      <c r="R28" s="32" t="n">
        <v>36000</v>
      </c>
      <c r="S28" s="32" t="n">
        <v>36000</v>
      </c>
      <c r="T28" s="32" t="n">
        <v>36000</v>
      </c>
      <c r="U28" s="32" t="n">
        <v>36000</v>
      </c>
      <c r="V28" s="32" t="n">
        <v>36000</v>
      </c>
      <c r="W28" s="32" t="n">
        <v>0</v>
      </c>
      <c r="X28" s="32" t="n">
        <v>0</v>
      </c>
      <c r="Y28" s="13" t="n">
        <f aca="false">IFERROR(AVERAGEIF(D28:H28,"&lt;&gt;0"),"")</f>
        <v>36400</v>
      </c>
      <c r="Z28" s="13" t="n">
        <f aca="false">IFERROR(AVERAGEIF(I28:M28,"&lt;&gt;0"),"")</f>
        <v>36000</v>
      </c>
      <c r="AA28" s="13" t="n">
        <f aca="false">IFERROR(AVERAGEIF(N28:R28,"&lt;&gt;0"),"")</f>
        <v>36000</v>
      </c>
      <c r="AB28" s="13" t="n">
        <f aca="false">IFERROR(AVERAGEIF(S28:W28,"&lt;&gt;0"),"")</f>
        <v>36000</v>
      </c>
      <c r="AC28" s="13" t="str">
        <f aca="false">IFERROR(AVERAGEIF(X28:X28,"&lt;&gt;0"),"")</f>
        <v/>
      </c>
      <c r="AD28" s="13" t="n">
        <f aca="false">IFERROR(AVERAGEIF(D28:X28,"&lt;&gt;0"),"")</f>
        <v>36105.2631578947</v>
      </c>
    </row>
    <row r="29" customFormat="false" ht="15" hidden="false" customHeight="false" outlineLevel="0" collapsed="false">
      <c r="A29" s="3" t="n">
        <v>25</v>
      </c>
      <c r="B29" s="3" t="s">
        <v>475</v>
      </c>
      <c r="C29" s="3" t="s">
        <v>471</v>
      </c>
      <c r="D29" s="32" t="n">
        <v>25000</v>
      </c>
      <c r="E29" s="32" t="n">
        <v>25000</v>
      </c>
      <c r="F29" s="32" t="n">
        <v>25000</v>
      </c>
      <c r="G29" s="32" t="n">
        <v>25000</v>
      </c>
      <c r="H29" s="32" t="n">
        <v>25000</v>
      </c>
      <c r="I29" s="32" t="n">
        <v>25000</v>
      </c>
      <c r="J29" s="32" t="n">
        <v>25000</v>
      </c>
      <c r="K29" s="32" t="n">
        <v>25000</v>
      </c>
      <c r="L29" s="32" t="n">
        <v>25000</v>
      </c>
      <c r="M29" s="32" t="n">
        <v>25000</v>
      </c>
      <c r="N29" s="32" t="n">
        <v>25000</v>
      </c>
      <c r="O29" s="32" t="n">
        <v>25000</v>
      </c>
      <c r="P29" s="32" t="n">
        <v>25000</v>
      </c>
      <c r="Q29" s="32" t="n">
        <v>25000</v>
      </c>
      <c r="R29" s="32" t="n">
        <v>25000</v>
      </c>
      <c r="S29" s="32" t="n">
        <v>25000</v>
      </c>
      <c r="T29" s="32" t="n">
        <v>25000</v>
      </c>
      <c r="U29" s="32" t="n">
        <v>25000</v>
      </c>
      <c r="V29" s="32" t="n">
        <v>25000</v>
      </c>
      <c r="W29" s="32" t="n">
        <v>0</v>
      </c>
      <c r="X29" s="32" t="n">
        <v>0</v>
      </c>
      <c r="Y29" s="13" t="n">
        <f aca="false">IFERROR(AVERAGEIF(D29:H29,"&lt;&gt;0"),"")</f>
        <v>25000</v>
      </c>
      <c r="Z29" s="13" t="n">
        <f aca="false">IFERROR(AVERAGEIF(I29:M29,"&lt;&gt;0"),"")</f>
        <v>25000</v>
      </c>
      <c r="AA29" s="13" t="n">
        <f aca="false">IFERROR(AVERAGEIF(N29:R29,"&lt;&gt;0"),"")</f>
        <v>25000</v>
      </c>
      <c r="AB29" s="13" t="n">
        <f aca="false">IFERROR(AVERAGEIF(S29:W29,"&lt;&gt;0"),"")</f>
        <v>25000</v>
      </c>
      <c r="AC29" s="13" t="str">
        <f aca="false">IFERROR(AVERAGEIF(X29:X29,"&lt;&gt;0"),"")</f>
        <v/>
      </c>
      <c r="AD29" s="13" t="n">
        <f aca="false">IFERROR(AVERAGEIF(D29:X29,"&lt;&gt;0"),"")</f>
        <v>25000</v>
      </c>
    </row>
    <row r="30" customFormat="false" ht="15" hidden="false" customHeight="false" outlineLevel="0" collapsed="false">
      <c r="A30" s="3" t="n">
        <v>26</v>
      </c>
      <c r="B30" s="3" t="s">
        <v>476</v>
      </c>
      <c r="C30" s="3" t="s">
        <v>471</v>
      </c>
      <c r="D30" s="32" t="n">
        <v>8000</v>
      </c>
      <c r="E30" s="32" t="n">
        <v>8000</v>
      </c>
      <c r="F30" s="32" t="n">
        <v>8000</v>
      </c>
      <c r="G30" s="32" t="n">
        <v>8000</v>
      </c>
      <c r="H30" s="32" t="n">
        <v>8000</v>
      </c>
      <c r="I30" s="32" t="n">
        <v>8000</v>
      </c>
      <c r="J30" s="32" t="n">
        <v>8000</v>
      </c>
      <c r="K30" s="32" t="n">
        <v>8000</v>
      </c>
      <c r="L30" s="32" t="n">
        <v>8000</v>
      </c>
      <c r="M30" s="32" t="n">
        <v>8000</v>
      </c>
      <c r="N30" s="32" t="n">
        <v>8000</v>
      </c>
      <c r="O30" s="32" t="n">
        <v>8000</v>
      </c>
      <c r="P30" s="32" t="n">
        <v>8000</v>
      </c>
      <c r="Q30" s="32" t="n">
        <v>8000</v>
      </c>
      <c r="R30" s="32" t="n">
        <v>8000</v>
      </c>
      <c r="S30" s="32" t="n">
        <v>8000</v>
      </c>
      <c r="T30" s="32" t="n">
        <v>8000</v>
      </c>
      <c r="U30" s="32" t="n">
        <v>8000</v>
      </c>
      <c r="V30" s="32" t="n">
        <v>8000</v>
      </c>
      <c r="W30" s="32" t="n">
        <v>0</v>
      </c>
      <c r="X30" s="32" t="n">
        <v>0</v>
      </c>
      <c r="Y30" s="13" t="n">
        <f aca="false">IFERROR(AVERAGEIF(D30:H30,"&lt;&gt;0"),"")</f>
        <v>8000</v>
      </c>
      <c r="Z30" s="13" t="n">
        <f aca="false">IFERROR(AVERAGEIF(I30:M30,"&lt;&gt;0"),"")</f>
        <v>8000</v>
      </c>
      <c r="AA30" s="13" t="n">
        <f aca="false">IFERROR(AVERAGEIF(N30:R30,"&lt;&gt;0"),"")</f>
        <v>8000</v>
      </c>
      <c r="AB30" s="13" t="n">
        <f aca="false">IFERROR(AVERAGEIF(S30:W30,"&lt;&gt;0"),"")</f>
        <v>8000</v>
      </c>
      <c r="AC30" s="13" t="str">
        <f aca="false">IFERROR(AVERAGEIF(X30:X30,"&lt;&gt;0"),"")</f>
        <v/>
      </c>
      <c r="AD30" s="13" t="n">
        <f aca="false">IFERROR(AVERAGEIF(D30:X30,"&lt;&gt;0"),"")</f>
        <v>8000</v>
      </c>
    </row>
    <row r="31" customFormat="false" ht="15" hidden="false" customHeight="false" outlineLevel="0" collapsed="false">
      <c r="A31" s="3" t="n">
        <v>27</v>
      </c>
      <c r="B31" s="3" t="s">
        <v>427</v>
      </c>
      <c r="C31" s="3" t="s">
        <v>471</v>
      </c>
      <c r="D31" s="32" t="n">
        <v>10500</v>
      </c>
      <c r="E31" s="32" t="n">
        <v>10500</v>
      </c>
      <c r="F31" s="32" t="n">
        <v>10500</v>
      </c>
      <c r="G31" s="32" t="n">
        <v>10500</v>
      </c>
      <c r="H31" s="32" t="n">
        <v>10500</v>
      </c>
      <c r="I31" s="32" t="n">
        <v>10500</v>
      </c>
      <c r="J31" s="32" t="n">
        <v>10500</v>
      </c>
      <c r="K31" s="32" t="n">
        <v>10500</v>
      </c>
      <c r="L31" s="32" t="n">
        <v>10500</v>
      </c>
      <c r="M31" s="32" t="n">
        <v>10500</v>
      </c>
      <c r="N31" s="32" t="n">
        <v>10500</v>
      </c>
      <c r="O31" s="32" t="n">
        <v>10500</v>
      </c>
      <c r="P31" s="32" t="n">
        <v>10500</v>
      </c>
      <c r="Q31" s="32" t="n">
        <v>10500</v>
      </c>
      <c r="R31" s="32" t="n">
        <v>10500</v>
      </c>
      <c r="S31" s="32" t="n">
        <v>10500</v>
      </c>
      <c r="T31" s="32" t="n">
        <v>10500</v>
      </c>
      <c r="U31" s="32" t="n">
        <v>10500</v>
      </c>
      <c r="V31" s="32" t="n">
        <v>10500</v>
      </c>
      <c r="W31" s="32" t="n">
        <v>0</v>
      </c>
      <c r="X31" s="32" t="n">
        <v>0</v>
      </c>
      <c r="Y31" s="13" t="n">
        <f aca="false">IFERROR(AVERAGEIF(D31:H31,"&lt;&gt;0"),"")</f>
        <v>10500</v>
      </c>
      <c r="Z31" s="13" t="n">
        <f aca="false">IFERROR(AVERAGEIF(I31:M31,"&lt;&gt;0"),"")</f>
        <v>10500</v>
      </c>
      <c r="AA31" s="13" t="n">
        <f aca="false">IFERROR(AVERAGEIF(N31:R31,"&lt;&gt;0"),"")</f>
        <v>10500</v>
      </c>
      <c r="AB31" s="13" t="n">
        <f aca="false">IFERROR(AVERAGEIF(S31:W31,"&lt;&gt;0"),"")</f>
        <v>10500</v>
      </c>
      <c r="AC31" s="13" t="str">
        <f aca="false">IFERROR(AVERAGEIF(X31:X31,"&lt;&gt;0"),"")</f>
        <v/>
      </c>
      <c r="AD31" s="13" t="n">
        <f aca="false">IFERROR(AVERAGEIF(D31:X31,"&lt;&gt;0"),"")</f>
        <v>10500</v>
      </c>
    </row>
    <row r="32" customFormat="false" ht="15" hidden="false" customHeight="false" outlineLevel="0" collapsed="false">
      <c r="A32" s="3" t="n">
        <v>28</v>
      </c>
      <c r="B32" s="3" t="s">
        <v>422</v>
      </c>
      <c r="C32" s="3" t="s">
        <v>471</v>
      </c>
      <c r="D32" s="32" t="n">
        <v>42000</v>
      </c>
      <c r="E32" s="32" t="n">
        <v>42000</v>
      </c>
      <c r="F32" s="32" t="n">
        <v>42000</v>
      </c>
      <c r="G32" s="32" t="n">
        <v>42000</v>
      </c>
      <c r="H32" s="32" t="n">
        <v>42000</v>
      </c>
      <c r="I32" s="32" t="n">
        <v>42000</v>
      </c>
      <c r="J32" s="32" t="n">
        <v>42000</v>
      </c>
      <c r="K32" s="32" t="n">
        <v>42000</v>
      </c>
      <c r="L32" s="32" t="n">
        <v>42000</v>
      </c>
      <c r="M32" s="32" t="n">
        <v>42000</v>
      </c>
      <c r="N32" s="32" t="n">
        <v>42000</v>
      </c>
      <c r="O32" s="32" t="n">
        <v>42000</v>
      </c>
      <c r="P32" s="32" t="n">
        <v>42000</v>
      </c>
      <c r="Q32" s="32" t="n">
        <v>42000</v>
      </c>
      <c r="R32" s="32" t="n">
        <v>42000</v>
      </c>
      <c r="S32" s="32" t="n">
        <v>42000</v>
      </c>
      <c r="T32" s="32" t="n">
        <v>42000</v>
      </c>
      <c r="U32" s="32" t="n">
        <v>42000</v>
      </c>
      <c r="V32" s="32" t="n">
        <v>42000</v>
      </c>
      <c r="W32" s="32" t="n">
        <v>0</v>
      </c>
      <c r="X32" s="32" t="n">
        <v>0</v>
      </c>
      <c r="Y32" s="13" t="n">
        <f aca="false">IFERROR(AVERAGEIF(D32:H32,"&lt;&gt;0"),"")</f>
        <v>42000</v>
      </c>
      <c r="Z32" s="13" t="n">
        <f aca="false">IFERROR(AVERAGEIF(I32:M32,"&lt;&gt;0"),"")</f>
        <v>42000</v>
      </c>
      <c r="AA32" s="13" t="n">
        <f aca="false">IFERROR(AVERAGEIF(N32:R32,"&lt;&gt;0"),"")</f>
        <v>42000</v>
      </c>
      <c r="AB32" s="13" t="n">
        <f aca="false">IFERROR(AVERAGEIF(S32:W32,"&lt;&gt;0"),"")</f>
        <v>42000</v>
      </c>
      <c r="AC32" s="13" t="str">
        <f aca="false">IFERROR(AVERAGEIF(X32:X32,"&lt;&gt;0"),"")</f>
        <v/>
      </c>
      <c r="AD32" s="13" t="n">
        <f aca="false">IFERROR(AVERAGEIF(D32:X32,"&lt;&gt;0"),"")</f>
        <v>42000</v>
      </c>
    </row>
    <row r="33" customFormat="false" ht="15" hidden="false" customHeight="false" outlineLevel="0" collapsed="false">
      <c r="A33" s="3" t="n">
        <v>29</v>
      </c>
      <c r="B33" s="3" t="s">
        <v>433</v>
      </c>
      <c r="C33" s="3" t="s">
        <v>471</v>
      </c>
      <c r="D33" s="32" t="n">
        <v>9000</v>
      </c>
      <c r="E33" s="32" t="n">
        <v>9000</v>
      </c>
      <c r="F33" s="32" t="n">
        <v>9000</v>
      </c>
      <c r="G33" s="32" t="n">
        <v>9000</v>
      </c>
      <c r="H33" s="32" t="n">
        <v>9000</v>
      </c>
      <c r="I33" s="32" t="n">
        <v>9000</v>
      </c>
      <c r="J33" s="32" t="n">
        <v>9000</v>
      </c>
      <c r="K33" s="32" t="n">
        <v>9000</v>
      </c>
      <c r="L33" s="32" t="n">
        <v>9000</v>
      </c>
      <c r="M33" s="32" t="n">
        <v>9000</v>
      </c>
      <c r="N33" s="32" t="n">
        <v>9000</v>
      </c>
      <c r="O33" s="32" t="n">
        <v>9000</v>
      </c>
      <c r="P33" s="32" t="n">
        <v>9000</v>
      </c>
      <c r="Q33" s="32" t="n">
        <v>9000</v>
      </c>
      <c r="R33" s="32" t="n">
        <v>9000</v>
      </c>
      <c r="S33" s="32" t="n">
        <v>9000</v>
      </c>
      <c r="T33" s="32" t="n">
        <v>9000</v>
      </c>
      <c r="U33" s="32" t="n">
        <v>9000</v>
      </c>
      <c r="V33" s="32" t="n">
        <v>9000</v>
      </c>
      <c r="W33" s="32" t="n">
        <v>0</v>
      </c>
      <c r="X33" s="32" t="n">
        <v>0</v>
      </c>
      <c r="Y33" s="13" t="n">
        <f aca="false">IFERROR(AVERAGEIF(D33:H33,"&lt;&gt;0"),"")</f>
        <v>9000</v>
      </c>
      <c r="Z33" s="13" t="n">
        <f aca="false">IFERROR(AVERAGEIF(I33:M33,"&lt;&gt;0"),"")</f>
        <v>9000</v>
      </c>
      <c r="AA33" s="13" t="n">
        <f aca="false">IFERROR(AVERAGEIF(N33:R33,"&lt;&gt;0"),"")</f>
        <v>9000</v>
      </c>
      <c r="AB33" s="13" t="n">
        <f aca="false">IFERROR(AVERAGEIF(S33:W33,"&lt;&gt;0"),"")</f>
        <v>9000</v>
      </c>
      <c r="AC33" s="13" t="str">
        <f aca="false">IFERROR(AVERAGEIF(X33:X33,"&lt;&gt;0"),"")</f>
        <v/>
      </c>
      <c r="AD33" s="13" t="n">
        <f aca="false">IFERROR(AVERAGEIF(D33:X33,"&lt;&gt;0"),"")</f>
        <v>9000</v>
      </c>
    </row>
    <row r="34" customFormat="false" ht="15" hidden="false" customHeight="false" outlineLevel="0" collapsed="false">
      <c r="A34" s="3" t="n">
        <v>30</v>
      </c>
      <c r="B34" s="3" t="s">
        <v>411</v>
      </c>
      <c r="C34" s="3" t="s">
        <v>471</v>
      </c>
      <c r="D34" s="32" t="n">
        <v>4750</v>
      </c>
      <c r="E34" s="32" t="n">
        <v>4750</v>
      </c>
      <c r="F34" s="32" t="n">
        <v>4750</v>
      </c>
      <c r="G34" s="32" t="n">
        <v>4750</v>
      </c>
      <c r="H34" s="32" t="n">
        <v>4750</v>
      </c>
      <c r="I34" s="32" t="n">
        <v>4750</v>
      </c>
      <c r="J34" s="32" t="n">
        <v>4750</v>
      </c>
      <c r="K34" s="32" t="n">
        <v>4750</v>
      </c>
      <c r="L34" s="32" t="n">
        <v>4750</v>
      </c>
      <c r="M34" s="32" t="n">
        <v>4750</v>
      </c>
      <c r="N34" s="32" t="n">
        <v>4750</v>
      </c>
      <c r="O34" s="32" t="n">
        <v>4750</v>
      </c>
      <c r="P34" s="32" t="n">
        <v>4750</v>
      </c>
      <c r="Q34" s="32" t="n">
        <v>4750</v>
      </c>
      <c r="R34" s="32" t="n">
        <v>4750</v>
      </c>
      <c r="S34" s="32" t="n">
        <v>4750</v>
      </c>
      <c r="T34" s="32" t="n">
        <v>4750</v>
      </c>
      <c r="U34" s="32" t="n">
        <v>4750</v>
      </c>
      <c r="V34" s="32" t="n">
        <v>4750</v>
      </c>
      <c r="W34" s="32" t="n">
        <v>0</v>
      </c>
      <c r="X34" s="32" t="n">
        <v>0</v>
      </c>
      <c r="Y34" s="13" t="n">
        <f aca="false">IFERROR(AVERAGEIF(D34:H34,"&lt;&gt;0"),"")</f>
        <v>4750</v>
      </c>
      <c r="Z34" s="13" t="n">
        <f aca="false">IFERROR(AVERAGEIF(I34:M34,"&lt;&gt;0"),"")</f>
        <v>4750</v>
      </c>
      <c r="AA34" s="13" t="n">
        <f aca="false">IFERROR(AVERAGEIF(N34:R34,"&lt;&gt;0"),"")</f>
        <v>4750</v>
      </c>
      <c r="AB34" s="13" t="n">
        <f aca="false">IFERROR(AVERAGEIF(S34:W34,"&lt;&gt;0"),"")</f>
        <v>4750</v>
      </c>
      <c r="AC34" s="13" t="str">
        <f aca="false">IFERROR(AVERAGEIF(X34:X34,"&lt;&gt;0"),"")</f>
        <v/>
      </c>
      <c r="AD34" s="13" t="n">
        <f aca="false">IFERROR(AVERAGEIF(D34:X34,"&lt;&gt;0"),"")</f>
        <v>4750</v>
      </c>
    </row>
    <row r="35" customFormat="false" ht="15" hidden="false" customHeight="false" outlineLevel="0" collapsed="false">
      <c r="A35" s="3" t="n">
        <v>31</v>
      </c>
      <c r="B35" s="3" t="s">
        <v>416</v>
      </c>
      <c r="C35" s="3" t="s">
        <v>471</v>
      </c>
      <c r="D35" s="32" t="n">
        <v>68000</v>
      </c>
      <c r="E35" s="32" t="n">
        <v>68000</v>
      </c>
      <c r="F35" s="32" t="n">
        <v>65000</v>
      </c>
      <c r="G35" s="32" t="n">
        <v>65000</v>
      </c>
      <c r="H35" s="32" t="n">
        <v>65000</v>
      </c>
      <c r="I35" s="32" t="n">
        <v>65000</v>
      </c>
      <c r="J35" s="32" t="n">
        <v>65000</v>
      </c>
      <c r="K35" s="32" t="n">
        <v>65000</v>
      </c>
      <c r="L35" s="32" t="n">
        <v>65000</v>
      </c>
      <c r="M35" s="32" t="n">
        <v>65000</v>
      </c>
      <c r="N35" s="32" t="n">
        <v>65000</v>
      </c>
      <c r="O35" s="32" t="n">
        <v>65000</v>
      </c>
      <c r="P35" s="32" t="n">
        <v>65000</v>
      </c>
      <c r="Q35" s="32" t="n">
        <v>65000</v>
      </c>
      <c r="R35" s="32" t="n">
        <v>65000</v>
      </c>
      <c r="S35" s="32" t="n">
        <v>65000</v>
      </c>
      <c r="T35" s="32" t="n">
        <v>65000</v>
      </c>
      <c r="U35" s="32" t="n">
        <v>65000</v>
      </c>
      <c r="V35" s="32" t="n">
        <v>65000</v>
      </c>
      <c r="W35" s="32" t="n">
        <v>0</v>
      </c>
      <c r="X35" s="32" t="n">
        <v>0</v>
      </c>
      <c r="Y35" s="13" t="n">
        <f aca="false">IFERROR(AVERAGEIF(D35:H35,"&lt;&gt;0"),"")</f>
        <v>66200</v>
      </c>
      <c r="Z35" s="13" t="n">
        <f aca="false">IFERROR(AVERAGEIF(I35:M35,"&lt;&gt;0"),"")</f>
        <v>65000</v>
      </c>
      <c r="AA35" s="13" t="n">
        <f aca="false">IFERROR(AVERAGEIF(N35:R35,"&lt;&gt;0"),"")</f>
        <v>65000</v>
      </c>
      <c r="AB35" s="13" t="n">
        <f aca="false">IFERROR(AVERAGEIF(S35:W35,"&lt;&gt;0"),"")</f>
        <v>65000</v>
      </c>
      <c r="AC35" s="13" t="str">
        <f aca="false">IFERROR(AVERAGEIF(X35:X35,"&lt;&gt;0"),"")</f>
        <v/>
      </c>
      <c r="AD35" s="13" t="n">
        <f aca="false">IFERROR(AVERAGEIF(D35:X35,"&lt;&gt;0"),"")</f>
        <v>65315.7894736842</v>
      </c>
    </row>
    <row r="36" customFormat="false" ht="15" hidden="false" customHeight="false" outlineLevel="0" collapsed="false">
      <c r="A36" s="3" t="n">
        <v>32</v>
      </c>
      <c r="B36" s="3" t="s">
        <v>417</v>
      </c>
      <c r="C36" s="3" t="s">
        <v>471</v>
      </c>
      <c r="D36" s="32" t="n">
        <v>13000</v>
      </c>
      <c r="E36" s="32" t="n">
        <v>13000</v>
      </c>
      <c r="F36" s="32" t="n">
        <v>13000</v>
      </c>
      <c r="G36" s="32" t="n">
        <v>13000</v>
      </c>
      <c r="H36" s="32" t="n">
        <v>13000</v>
      </c>
      <c r="I36" s="32" t="n">
        <v>13000</v>
      </c>
      <c r="J36" s="32" t="n">
        <v>13000</v>
      </c>
      <c r="K36" s="32" t="n">
        <v>13000</v>
      </c>
      <c r="L36" s="32" t="n">
        <v>13000</v>
      </c>
      <c r="M36" s="32" t="n">
        <v>13000</v>
      </c>
      <c r="N36" s="32" t="n">
        <v>13000</v>
      </c>
      <c r="O36" s="32" t="n">
        <v>13000</v>
      </c>
      <c r="P36" s="32" t="n">
        <v>13000</v>
      </c>
      <c r="Q36" s="32" t="n">
        <v>13000</v>
      </c>
      <c r="R36" s="32" t="n">
        <v>13000</v>
      </c>
      <c r="S36" s="32" t="n">
        <v>13000</v>
      </c>
      <c r="T36" s="32" t="n">
        <v>13000</v>
      </c>
      <c r="U36" s="32" t="n">
        <v>13000</v>
      </c>
      <c r="V36" s="32" t="n">
        <v>13000</v>
      </c>
      <c r="W36" s="32" t="n">
        <v>0</v>
      </c>
      <c r="X36" s="32" t="n">
        <v>0</v>
      </c>
      <c r="Y36" s="13" t="n">
        <f aca="false">IFERROR(AVERAGEIF(D36:H36,"&lt;&gt;0"),"")</f>
        <v>13000</v>
      </c>
      <c r="Z36" s="13" t="n">
        <f aca="false">IFERROR(AVERAGEIF(I36:M36,"&lt;&gt;0"),"")</f>
        <v>13000</v>
      </c>
      <c r="AA36" s="13" t="n">
        <f aca="false">IFERROR(AVERAGEIF(N36:R36,"&lt;&gt;0"),"")</f>
        <v>13000</v>
      </c>
      <c r="AB36" s="13" t="n">
        <f aca="false">IFERROR(AVERAGEIF(S36:W36,"&lt;&gt;0"),"")</f>
        <v>13000</v>
      </c>
      <c r="AC36" s="13" t="str">
        <f aca="false">IFERROR(AVERAGEIF(X36:X36,"&lt;&gt;0"),"")</f>
        <v/>
      </c>
      <c r="AD36" s="13" t="n">
        <f aca="false">IFERROR(AVERAGEIF(D36:X36,"&lt;&gt;0"),"")</f>
        <v>13000</v>
      </c>
    </row>
    <row r="37" customFormat="false" ht="15" hidden="false" customHeight="false" outlineLevel="0" collapsed="false">
      <c r="A37" s="3" t="n">
        <v>33</v>
      </c>
      <c r="B37" s="3" t="s">
        <v>434</v>
      </c>
      <c r="C37" s="3" t="s">
        <v>471</v>
      </c>
      <c r="D37" s="32" t="n">
        <v>9000</v>
      </c>
      <c r="E37" s="32" t="n">
        <v>9000</v>
      </c>
      <c r="F37" s="32" t="n">
        <v>9000</v>
      </c>
      <c r="G37" s="32" t="n">
        <v>9000</v>
      </c>
      <c r="H37" s="32" t="n">
        <v>9000</v>
      </c>
      <c r="I37" s="32" t="n">
        <v>9000</v>
      </c>
      <c r="J37" s="32" t="n">
        <v>9000</v>
      </c>
      <c r="K37" s="32" t="n">
        <v>9000</v>
      </c>
      <c r="L37" s="32" t="n">
        <v>9000</v>
      </c>
      <c r="M37" s="32" t="n">
        <v>9000</v>
      </c>
      <c r="N37" s="32" t="n">
        <v>9000</v>
      </c>
      <c r="O37" s="32" t="n">
        <v>9000</v>
      </c>
      <c r="P37" s="32" t="n">
        <v>9000</v>
      </c>
      <c r="Q37" s="32" t="n">
        <v>9000</v>
      </c>
      <c r="R37" s="32" t="n">
        <v>9000</v>
      </c>
      <c r="S37" s="32" t="n">
        <v>9000</v>
      </c>
      <c r="T37" s="32" t="n">
        <v>9000</v>
      </c>
      <c r="U37" s="32" t="n">
        <v>9000</v>
      </c>
      <c r="V37" s="32" t="n">
        <v>9000</v>
      </c>
      <c r="W37" s="32" t="n">
        <v>0</v>
      </c>
      <c r="X37" s="32" t="n">
        <v>0</v>
      </c>
      <c r="Y37" s="13" t="n">
        <f aca="false">IFERROR(AVERAGEIF(D37:H37,"&lt;&gt;0"),"")</f>
        <v>9000</v>
      </c>
      <c r="Z37" s="13" t="n">
        <f aca="false">IFERROR(AVERAGEIF(I37:M37,"&lt;&gt;0"),"")</f>
        <v>9000</v>
      </c>
      <c r="AA37" s="13" t="n">
        <f aca="false">IFERROR(AVERAGEIF(N37:R37,"&lt;&gt;0"),"")</f>
        <v>9000</v>
      </c>
      <c r="AB37" s="13" t="n">
        <f aca="false">IFERROR(AVERAGEIF(S37:W37,"&lt;&gt;0"),"")</f>
        <v>9000</v>
      </c>
      <c r="AC37" s="13" t="str">
        <f aca="false">IFERROR(AVERAGEIF(X37:X37,"&lt;&gt;0"),"")</f>
        <v/>
      </c>
      <c r="AD37" s="13" t="n">
        <f aca="false">IFERROR(AVERAGEIF(D37:X37,"&lt;&gt;0"),"")</f>
        <v>9000</v>
      </c>
    </row>
    <row r="38" customFormat="false" ht="15" hidden="false" customHeight="false" outlineLevel="0" collapsed="false">
      <c r="A38" s="3" t="n">
        <v>34</v>
      </c>
      <c r="B38" s="3" t="s">
        <v>477</v>
      </c>
      <c r="C38" s="3" t="s">
        <v>471</v>
      </c>
      <c r="D38" s="32" t="n">
        <v>6000</v>
      </c>
      <c r="E38" s="32" t="n">
        <v>6000</v>
      </c>
      <c r="F38" s="32" t="n">
        <v>6000</v>
      </c>
      <c r="G38" s="32" t="n">
        <v>6000</v>
      </c>
      <c r="H38" s="32" t="n">
        <v>6000</v>
      </c>
      <c r="I38" s="32" t="n">
        <v>6000</v>
      </c>
      <c r="J38" s="32" t="n">
        <v>6000</v>
      </c>
      <c r="K38" s="32" t="n">
        <v>6000</v>
      </c>
      <c r="L38" s="32" t="n">
        <v>6000</v>
      </c>
      <c r="M38" s="32" t="n">
        <v>6000</v>
      </c>
      <c r="N38" s="32" t="n">
        <v>6000</v>
      </c>
      <c r="O38" s="32" t="n">
        <v>6000</v>
      </c>
      <c r="P38" s="32" t="n">
        <v>6000</v>
      </c>
      <c r="Q38" s="32" t="n">
        <v>6000</v>
      </c>
      <c r="R38" s="32" t="n">
        <v>6000</v>
      </c>
      <c r="S38" s="32" t="n">
        <v>6000</v>
      </c>
      <c r="T38" s="32" t="n">
        <v>6000</v>
      </c>
      <c r="U38" s="32" t="n">
        <v>6000</v>
      </c>
      <c r="V38" s="32" t="n">
        <v>6000</v>
      </c>
      <c r="W38" s="32" t="n">
        <v>0</v>
      </c>
      <c r="X38" s="32" t="n">
        <v>0</v>
      </c>
      <c r="Y38" s="13" t="n">
        <f aca="false">IFERROR(AVERAGEIF(D38:H38,"&lt;&gt;0"),"")</f>
        <v>6000</v>
      </c>
      <c r="Z38" s="13" t="n">
        <f aca="false">IFERROR(AVERAGEIF(I38:M38,"&lt;&gt;0"),"")</f>
        <v>6000</v>
      </c>
      <c r="AA38" s="13" t="n">
        <f aca="false">IFERROR(AVERAGEIF(N38:R38,"&lt;&gt;0"),"")</f>
        <v>6000</v>
      </c>
      <c r="AB38" s="13" t="n">
        <f aca="false">IFERROR(AVERAGEIF(S38:W38,"&lt;&gt;0"),"")</f>
        <v>6000</v>
      </c>
      <c r="AC38" s="13" t="str">
        <f aca="false">IFERROR(AVERAGEIF(X38:X38,"&lt;&gt;0"),"")</f>
        <v/>
      </c>
      <c r="AD38" s="13" t="n">
        <f aca="false">IFERROR(AVERAGEIF(D38:X38,"&lt;&gt;0"),"")</f>
        <v>6000</v>
      </c>
    </row>
    <row r="39" customFormat="false" ht="15" hidden="false" customHeight="false" outlineLevel="0" collapsed="false">
      <c r="A39" s="3" t="n">
        <v>35</v>
      </c>
      <c r="B39" s="3" t="s">
        <v>478</v>
      </c>
      <c r="C39" s="3" t="s">
        <v>471</v>
      </c>
      <c r="D39" s="32" t="n">
        <v>15000</v>
      </c>
      <c r="E39" s="32" t="n">
        <v>15000</v>
      </c>
      <c r="F39" s="32" t="n">
        <v>15000</v>
      </c>
      <c r="G39" s="32" t="n">
        <v>15000</v>
      </c>
      <c r="H39" s="32" t="n">
        <v>15000</v>
      </c>
      <c r="I39" s="32" t="n">
        <v>15000</v>
      </c>
      <c r="J39" s="32" t="n">
        <v>15000</v>
      </c>
      <c r="K39" s="32" t="n">
        <v>15000</v>
      </c>
      <c r="L39" s="32" t="n">
        <v>15000</v>
      </c>
      <c r="M39" s="32" t="n">
        <v>15000</v>
      </c>
      <c r="N39" s="32" t="n">
        <v>15000</v>
      </c>
      <c r="O39" s="32" t="n">
        <v>15000</v>
      </c>
      <c r="P39" s="32" t="n">
        <v>15000</v>
      </c>
      <c r="Q39" s="32" t="n">
        <v>15000</v>
      </c>
      <c r="R39" s="32" t="n">
        <v>15000</v>
      </c>
      <c r="S39" s="32" t="n">
        <v>15000</v>
      </c>
      <c r="T39" s="32" t="n">
        <v>15000</v>
      </c>
      <c r="U39" s="32" t="n">
        <v>15000</v>
      </c>
      <c r="V39" s="32" t="n">
        <v>15000</v>
      </c>
      <c r="W39" s="32" t="n">
        <v>0</v>
      </c>
      <c r="X39" s="32" t="n">
        <v>0</v>
      </c>
      <c r="Y39" s="13" t="n">
        <f aca="false">IFERROR(AVERAGEIF(D39:H39,"&lt;&gt;0"),"")</f>
        <v>15000</v>
      </c>
      <c r="Z39" s="13" t="n">
        <f aca="false">IFERROR(AVERAGEIF(I39:M39,"&lt;&gt;0"),"")</f>
        <v>15000</v>
      </c>
      <c r="AA39" s="13" t="n">
        <f aca="false">IFERROR(AVERAGEIF(N39:R39,"&lt;&gt;0"),"")</f>
        <v>15000</v>
      </c>
      <c r="AB39" s="13" t="n">
        <f aca="false">IFERROR(AVERAGEIF(S39:W39,"&lt;&gt;0"),"")</f>
        <v>15000</v>
      </c>
      <c r="AC39" s="13" t="str">
        <f aca="false">IFERROR(AVERAGEIF(X39:X39,"&lt;&gt;0"),"")</f>
        <v/>
      </c>
      <c r="AD39" s="13" t="n">
        <f aca="false">IFERROR(AVERAGEIF(D39:X39,"&lt;&gt;0"),"")</f>
        <v>15000</v>
      </c>
    </row>
    <row r="40" customFormat="false" ht="15" hidden="false" customHeight="false" outlineLevel="0" collapsed="false">
      <c r="A40" s="3" t="n">
        <v>36</v>
      </c>
      <c r="B40" s="3" t="s">
        <v>479</v>
      </c>
      <c r="C40" s="3" t="s">
        <v>471</v>
      </c>
      <c r="D40" s="32" t="n">
        <v>4000</v>
      </c>
      <c r="E40" s="32" t="n">
        <v>4000</v>
      </c>
      <c r="F40" s="32" t="n">
        <v>4000</v>
      </c>
      <c r="G40" s="32" t="n">
        <v>4000</v>
      </c>
      <c r="H40" s="32" t="n">
        <v>4000</v>
      </c>
      <c r="I40" s="32" t="n">
        <v>4000</v>
      </c>
      <c r="J40" s="32" t="n">
        <v>4000</v>
      </c>
      <c r="K40" s="32" t="n">
        <v>4000</v>
      </c>
      <c r="L40" s="32" t="n">
        <v>4000</v>
      </c>
      <c r="M40" s="32" t="n">
        <v>4000</v>
      </c>
      <c r="N40" s="32" t="n">
        <v>4000</v>
      </c>
      <c r="O40" s="32" t="n">
        <v>4000</v>
      </c>
      <c r="P40" s="32" t="n">
        <v>4000</v>
      </c>
      <c r="Q40" s="32" t="n">
        <v>4000</v>
      </c>
      <c r="R40" s="32" t="n">
        <v>4000</v>
      </c>
      <c r="S40" s="32" t="n">
        <v>4000</v>
      </c>
      <c r="T40" s="32" t="n">
        <v>4000</v>
      </c>
      <c r="U40" s="32" t="n">
        <v>4000</v>
      </c>
      <c r="V40" s="32" t="n">
        <v>4000</v>
      </c>
      <c r="W40" s="32" t="n">
        <v>0</v>
      </c>
      <c r="X40" s="32" t="n">
        <v>0</v>
      </c>
      <c r="Y40" s="13" t="n">
        <f aca="false">IFERROR(AVERAGEIF(D40:H40,"&lt;&gt;0"),"")</f>
        <v>4000</v>
      </c>
      <c r="Z40" s="13" t="n">
        <f aca="false">IFERROR(AVERAGEIF(I40:M40,"&lt;&gt;0"),"")</f>
        <v>4000</v>
      </c>
      <c r="AA40" s="13" t="n">
        <f aca="false">IFERROR(AVERAGEIF(N40:R40,"&lt;&gt;0"),"")</f>
        <v>4000</v>
      </c>
      <c r="AB40" s="13" t="n">
        <f aca="false">IFERROR(AVERAGEIF(S40:W40,"&lt;&gt;0"),"")</f>
        <v>4000</v>
      </c>
      <c r="AC40" s="13" t="str">
        <f aca="false">IFERROR(AVERAGEIF(X40:X40,"&lt;&gt;0"),"")</f>
        <v/>
      </c>
      <c r="AD40" s="13" t="n">
        <f aca="false">IFERROR(AVERAGEIF(D40:X40,"&lt;&gt;0"),"")</f>
        <v>4000</v>
      </c>
    </row>
    <row r="41" customFormat="false" ht="15" hidden="false" customHeight="false" outlineLevel="0" collapsed="false">
      <c r="A41" s="3" t="n">
        <v>37</v>
      </c>
      <c r="B41" s="3" t="s">
        <v>480</v>
      </c>
      <c r="C41" s="3" t="s">
        <v>471</v>
      </c>
      <c r="D41" s="32" t="n">
        <v>2000</v>
      </c>
      <c r="E41" s="32" t="n">
        <v>2000</v>
      </c>
      <c r="F41" s="32" t="n">
        <v>2000</v>
      </c>
      <c r="G41" s="32" t="n">
        <v>2000</v>
      </c>
      <c r="H41" s="32" t="n">
        <v>2000</v>
      </c>
      <c r="I41" s="32" t="n">
        <v>2000</v>
      </c>
      <c r="J41" s="32" t="n">
        <v>2000</v>
      </c>
      <c r="K41" s="32" t="n">
        <v>2000</v>
      </c>
      <c r="L41" s="32" t="n">
        <v>2000</v>
      </c>
      <c r="M41" s="32" t="n">
        <v>2000</v>
      </c>
      <c r="N41" s="32" t="n">
        <v>2000</v>
      </c>
      <c r="O41" s="32" t="n">
        <v>2000</v>
      </c>
      <c r="P41" s="32" t="n">
        <v>2000</v>
      </c>
      <c r="Q41" s="32" t="n">
        <v>2000</v>
      </c>
      <c r="R41" s="32" t="n">
        <v>2000</v>
      </c>
      <c r="S41" s="32" t="n">
        <v>2000</v>
      </c>
      <c r="T41" s="32" t="n">
        <v>2000</v>
      </c>
      <c r="U41" s="32" t="n">
        <v>2000</v>
      </c>
      <c r="V41" s="32" t="n">
        <v>2000</v>
      </c>
      <c r="W41" s="32" t="n">
        <v>0</v>
      </c>
      <c r="X41" s="32" t="n">
        <v>0</v>
      </c>
      <c r="Y41" s="13" t="n">
        <f aca="false">IFERROR(AVERAGEIF(D41:H41,"&lt;&gt;0"),"")</f>
        <v>2000</v>
      </c>
      <c r="Z41" s="13" t="n">
        <f aca="false">IFERROR(AVERAGEIF(I41:M41,"&lt;&gt;0"),"")</f>
        <v>2000</v>
      </c>
      <c r="AA41" s="13" t="n">
        <f aca="false">IFERROR(AVERAGEIF(N41:R41,"&lt;&gt;0"),"")</f>
        <v>2000</v>
      </c>
      <c r="AB41" s="13" t="n">
        <f aca="false">IFERROR(AVERAGEIF(S41:W41,"&lt;&gt;0"),"")</f>
        <v>2000</v>
      </c>
      <c r="AC41" s="13" t="str">
        <f aca="false">IFERROR(AVERAGEIF(X41:X41,"&lt;&gt;0"),"")</f>
        <v/>
      </c>
      <c r="AD41" s="13" t="n">
        <f aca="false">IFERROR(AVERAGEIF(D41:X41,"&lt;&gt;0"),"")</f>
        <v>2000</v>
      </c>
    </row>
    <row r="42" customFormat="false" ht="15" hidden="false" customHeight="false" outlineLevel="0" collapsed="false">
      <c r="A42" s="3" t="n">
        <v>38</v>
      </c>
      <c r="B42" s="3" t="s">
        <v>481</v>
      </c>
      <c r="C42" s="3" t="s">
        <v>471</v>
      </c>
      <c r="D42" s="32" t="n">
        <v>5000</v>
      </c>
      <c r="E42" s="32" t="n">
        <v>5000</v>
      </c>
      <c r="F42" s="32" t="n">
        <v>5000</v>
      </c>
      <c r="G42" s="32" t="n">
        <v>5000</v>
      </c>
      <c r="H42" s="32" t="n">
        <v>5000</v>
      </c>
      <c r="I42" s="32" t="n">
        <v>5000</v>
      </c>
      <c r="J42" s="32" t="n">
        <v>5000</v>
      </c>
      <c r="K42" s="32" t="n">
        <v>5000</v>
      </c>
      <c r="L42" s="32" t="n">
        <v>5000</v>
      </c>
      <c r="M42" s="32" t="n">
        <v>5000</v>
      </c>
      <c r="N42" s="32" t="n">
        <v>5000</v>
      </c>
      <c r="O42" s="32" t="n">
        <v>5000</v>
      </c>
      <c r="P42" s="32" t="n">
        <v>5000</v>
      </c>
      <c r="Q42" s="32" t="n">
        <v>5000</v>
      </c>
      <c r="R42" s="32" t="n">
        <v>5000</v>
      </c>
      <c r="S42" s="32" t="n">
        <v>5000</v>
      </c>
      <c r="T42" s="32" t="n">
        <v>5000</v>
      </c>
      <c r="U42" s="32" t="n">
        <v>5000</v>
      </c>
      <c r="V42" s="32" t="n">
        <v>5000</v>
      </c>
      <c r="W42" s="32" t="n">
        <v>0</v>
      </c>
      <c r="X42" s="32" t="n">
        <v>0</v>
      </c>
      <c r="Y42" s="13" t="n">
        <f aca="false">IFERROR(AVERAGEIF(D42:H42,"&lt;&gt;0"),"")</f>
        <v>5000</v>
      </c>
      <c r="Z42" s="13" t="n">
        <f aca="false">IFERROR(AVERAGEIF(I42:M42,"&lt;&gt;0"),"")</f>
        <v>5000</v>
      </c>
      <c r="AA42" s="13" t="n">
        <f aca="false">IFERROR(AVERAGEIF(N42:R42,"&lt;&gt;0"),"")</f>
        <v>5000</v>
      </c>
      <c r="AB42" s="13" t="n">
        <f aca="false">IFERROR(AVERAGEIF(S42:W42,"&lt;&gt;0"),"")</f>
        <v>5000</v>
      </c>
      <c r="AC42" s="13" t="str">
        <f aca="false">IFERROR(AVERAGEIF(X42:X42,"&lt;&gt;0"),"")</f>
        <v/>
      </c>
      <c r="AD42" s="13" t="n">
        <f aca="false">IFERROR(AVERAGEIF(D42:X42,"&lt;&gt;0"),"")</f>
        <v>5000</v>
      </c>
    </row>
    <row r="43" customFormat="false" ht="15" hidden="false" customHeight="false" outlineLevel="0" collapsed="false">
      <c r="A43" s="3" t="n">
        <v>39</v>
      </c>
      <c r="B43" s="3" t="s">
        <v>482</v>
      </c>
      <c r="C43" s="3" t="s">
        <v>471</v>
      </c>
      <c r="D43" s="32" t="n">
        <v>7000</v>
      </c>
      <c r="E43" s="32" t="n">
        <v>7000</v>
      </c>
      <c r="F43" s="32" t="n">
        <v>7000</v>
      </c>
      <c r="G43" s="32" t="n">
        <v>7000</v>
      </c>
      <c r="H43" s="32" t="n">
        <v>7000</v>
      </c>
      <c r="I43" s="32" t="n">
        <v>7000</v>
      </c>
      <c r="J43" s="32" t="n">
        <v>7000</v>
      </c>
      <c r="K43" s="32" t="n">
        <v>7000</v>
      </c>
      <c r="L43" s="32" t="n">
        <v>7000</v>
      </c>
      <c r="M43" s="32" t="n">
        <v>7000</v>
      </c>
      <c r="N43" s="32" t="n">
        <v>7000</v>
      </c>
      <c r="O43" s="32" t="n">
        <v>7000</v>
      </c>
      <c r="P43" s="32" t="n">
        <v>7000</v>
      </c>
      <c r="Q43" s="32" t="n">
        <v>7000</v>
      </c>
      <c r="R43" s="32" t="n">
        <v>7000</v>
      </c>
      <c r="S43" s="32" t="n">
        <v>7000</v>
      </c>
      <c r="T43" s="32" t="n">
        <v>7000</v>
      </c>
      <c r="U43" s="32" t="n">
        <v>7000</v>
      </c>
      <c r="V43" s="32" t="n">
        <v>7000</v>
      </c>
      <c r="W43" s="32" t="n">
        <v>0</v>
      </c>
      <c r="X43" s="32" t="n">
        <v>0</v>
      </c>
      <c r="Y43" s="13" t="n">
        <f aca="false">IFERROR(AVERAGEIF(D43:H43,"&lt;&gt;0"),"")</f>
        <v>7000</v>
      </c>
      <c r="Z43" s="13" t="n">
        <f aca="false">IFERROR(AVERAGEIF(I43:M43,"&lt;&gt;0"),"")</f>
        <v>7000</v>
      </c>
      <c r="AA43" s="13" t="n">
        <f aca="false">IFERROR(AVERAGEIF(N43:R43,"&lt;&gt;0"),"")</f>
        <v>7000</v>
      </c>
      <c r="AB43" s="13" t="n">
        <f aca="false">IFERROR(AVERAGEIF(S43:W43,"&lt;&gt;0"),"")</f>
        <v>7000</v>
      </c>
      <c r="AC43" s="13" t="str">
        <f aca="false">IFERROR(AVERAGEIF(X43:X43,"&lt;&gt;0"),"")</f>
        <v/>
      </c>
      <c r="AD43" s="13" t="n">
        <f aca="false">IFERROR(AVERAGEIF(D43:X43,"&lt;&gt;0"),"")</f>
        <v>7000</v>
      </c>
    </row>
    <row r="44" customFormat="false" ht="15" hidden="false" customHeight="false" outlineLevel="0" collapsed="false">
      <c r="A44" s="3" t="n">
        <v>40</v>
      </c>
      <c r="B44" s="3" t="s">
        <v>483</v>
      </c>
      <c r="C44" s="3" t="s">
        <v>471</v>
      </c>
      <c r="D44" s="32" t="n">
        <v>5000</v>
      </c>
      <c r="E44" s="32" t="n">
        <v>5000</v>
      </c>
      <c r="F44" s="32" t="n">
        <v>5000</v>
      </c>
      <c r="G44" s="32" t="n">
        <v>5000</v>
      </c>
      <c r="H44" s="32" t="n">
        <v>5000</v>
      </c>
      <c r="I44" s="32" t="n">
        <v>5000</v>
      </c>
      <c r="J44" s="32" t="n">
        <v>5000</v>
      </c>
      <c r="K44" s="32" t="n">
        <v>5000</v>
      </c>
      <c r="L44" s="32" t="n">
        <v>5000</v>
      </c>
      <c r="M44" s="32" t="n">
        <v>5000</v>
      </c>
      <c r="N44" s="32" t="n">
        <v>5000</v>
      </c>
      <c r="O44" s="32" t="n">
        <v>5000</v>
      </c>
      <c r="P44" s="32" t="n">
        <v>5000</v>
      </c>
      <c r="Q44" s="32" t="n">
        <v>5000</v>
      </c>
      <c r="R44" s="32" t="n">
        <v>5000</v>
      </c>
      <c r="S44" s="32" t="n">
        <v>5000</v>
      </c>
      <c r="T44" s="32" t="n">
        <v>5000</v>
      </c>
      <c r="U44" s="32" t="n">
        <v>5000</v>
      </c>
      <c r="V44" s="32" t="n">
        <v>5000</v>
      </c>
      <c r="W44" s="32" t="n">
        <v>0</v>
      </c>
      <c r="X44" s="32" t="n">
        <v>0</v>
      </c>
      <c r="Y44" s="13" t="n">
        <f aca="false">IFERROR(AVERAGEIF(D44:H44,"&lt;&gt;0"),"")</f>
        <v>5000</v>
      </c>
      <c r="Z44" s="13" t="n">
        <f aca="false">IFERROR(AVERAGEIF(I44:M44,"&lt;&gt;0"),"")</f>
        <v>5000</v>
      </c>
      <c r="AA44" s="13" t="n">
        <f aca="false">IFERROR(AVERAGEIF(N44:R44,"&lt;&gt;0"),"")</f>
        <v>5000</v>
      </c>
      <c r="AB44" s="13" t="n">
        <f aca="false">IFERROR(AVERAGEIF(S44:W44,"&lt;&gt;0"),"")</f>
        <v>5000</v>
      </c>
      <c r="AC44" s="13" t="str">
        <f aca="false">IFERROR(AVERAGEIF(X44:X44,"&lt;&gt;0"),"")</f>
        <v/>
      </c>
      <c r="AD44" s="13" t="n">
        <f aca="false">IFERROR(AVERAGEIF(D44:X44,"&lt;&gt;0"),"")</f>
        <v>5000</v>
      </c>
    </row>
    <row r="45" customFormat="false" ht="15" hidden="false" customHeight="false" outlineLevel="0" collapsed="false">
      <c r="A45" s="3" t="n">
        <v>41</v>
      </c>
      <c r="B45" s="3" t="s">
        <v>484</v>
      </c>
      <c r="C45" s="3" t="s">
        <v>471</v>
      </c>
      <c r="D45" s="32" t="n">
        <v>70000</v>
      </c>
      <c r="E45" s="32" t="n">
        <v>70000</v>
      </c>
      <c r="F45" s="32" t="n">
        <v>70000</v>
      </c>
      <c r="G45" s="32" t="n">
        <v>70000</v>
      </c>
      <c r="H45" s="32" t="n">
        <v>70000</v>
      </c>
      <c r="I45" s="32" t="n">
        <v>70000</v>
      </c>
      <c r="J45" s="32" t="n">
        <v>70000</v>
      </c>
      <c r="K45" s="32" t="n">
        <v>70000</v>
      </c>
      <c r="L45" s="32" t="n">
        <v>70000</v>
      </c>
      <c r="M45" s="32" t="n">
        <v>70000</v>
      </c>
      <c r="N45" s="32" t="n">
        <v>70000</v>
      </c>
      <c r="O45" s="32" t="n">
        <v>70000</v>
      </c>
      <c r="P45" s="32" t="n">
        <v>70000</v>
      </c>
      <c r="Q45" s="32" t="n">
        <v>70000</v>
      </c>
      <c r="R45" s="32" t="n">
        <v>70000</v>
      </c>
      <c r="S45" s="32" t="n">
        <v>70000</v>
      </c>
      <c r="T45" s="32" t="n">
        <v>70000</v>
      </c>
      <c r="U45" s="32" t="n">
        <v>70000</v>
      </c>
      <c r="V45" s="32" t="n">
        <v>70000</v>
      </c>
      <c r="W45" s="32" t="n">
        <v>0</v>
      </c>
      <c r="X45" s="32" t="n">
        <v>0</v>
      </c>
      <c r="Y45" s="13" t="n">
        <f aca="false">IFERROR(AVERAGEIF(D45:H45,"&lt;&gt;0"),"")</f>
        <v>70000</v>
      </c>
      <c r="Z45" s="13" t="n">
        <f aca="false">IFERROR(AVERAGEIF(I45:M45,"&lt;&gt;0"),"")</f>
        <v>70000</v>
      </c>
      <c r="AA45" s="13" t="n">
        <f aca="false">IFERROR(AVERAGEIF(N45:R45,"&lt;&gt;0"),"")</f>
        <v>70000</v>
      </c>
      <c r="AB45" s="13" t="n">
        <f aca="false">IFERROR(AVERAGEIF(S45:W45,"&lt;&gt;0"),"")</f>
        <v>70000</v>
      </c>
      <c r="AC45" s="13" t="str">
        <f aca="false">IFERROR(AVERAGEIF(X45:X45,"&lt;&gt;0"),"")</f>
        <v/>
      </c>
      <c r="AD45" s="13" t="n">
        <f aca="false">IFERROR(AVERAGEIF(D45:X45,"&lt;&gt;0"),"")</f>
        <v>70000</v>
      </c>
    </row>
    <row r="46" customFormat="false" ht="15" hidden="false" customHeight="false" outlineLevel="0" collapsed="false">
      <c r="A46" s="3" t="n">
        <v>42</v>
      </c>
      <c r="B46" s="3" t="s">
        <v>485</v>
      </c>
      <c r="C46" s="3" t="s">
        <v>471</v>
      </c>
      <c r="D46" s="32" t="n">
        <v>40000</v>
      </c>
      <c r="E46" s="32" t="n">
        <v>40000</v>
      </c>
      <c r="F46" s="32" t="n">
        <v>40000</v>
      </c>
      <c r="G46" s="32" t="n">
        <v>40000</v>
      </c>
      <c r="H46" s="32" t="n">
        <v>40000</v>
      </c>
      <c r="I46" s="32" t="n">
        <v>40000</v>
      </c>
      <c r="J46" s="32" t="n">
        <v>40000</v>
      </c>
      <c r="K46" s="32" t="n">
        <v>40000</v>
      </c>
      <c r="L46" s="32" t="n">
        <v>40000</v>
      </c>
      <c r="M46" s="32" t="n">
        <v>40000</v>
      </c>
      <c r="N46" s="32" t="n">
        <v>40000</v>
      </c>
      <c r="O46" s="32" t="n">
        <v>40000</v>
      </c>
      <c r="P46" s="32" t="n">
        <v>40000</v>
      </c>
      <c r="Q46" s="32" t="n">
        <v>40000</v>
      </c>
      <c r="R46" s="32" t="n">
        <v>40000</v>
      </c>
      <c r="S46" s="32" t="n">
        <v>40000</v>
      </c>
      <c r="T46" s="32" t="n">
        <v>40000</v>
      </c>
      <c r="U46" s="32" t="n">
        <v>40000</v>
      </c>
      <c r="V46" s="32" t="n">
        <v>40000</v>
      </c>
      <c r="W46" s="32" t="n">
        <v>0</v>
      </c>
      <c r="X46" s="32" t="n">
        <v>0</v>
      </c>
      <c r="Y46" s="13" t="n">
        <f aca="false">IFERROR(AVERAGEIF(D46:H46,"&lt;&gt;0"),"")</f>
        <v>40000</v>
      </c>
      <c r="Z46" s="13" t="n">
        <f aca="false">IFERROR(AVERAGEIF(I46:M46,"&lt;&gt;0"),"")</f>
        <v>40000</v>
      </c>
      <c r="AA46" s="13" t="n">
        <f aca="false">IFERROR(AVERAGEIF(N46:R46,"&lt;&gt;0"),"")</f>
        <v>40000</v>
      </c>
      <c r="AB46" s="13" t="n">
        <f aca="false">IFERROR(AVERAGEIF(S46:W46,"&lt;&gt;0"),"")</f>
        <v>40000</v>
      </c>
      <c r="AC46" s="13" t="str">
        <f aca="false">IFERROR(AVERAGEIF(X46:X46,"&lt;&gt;0"),"")</f>
        <v/>
      </c>
      <c r="AD46" s="13" t="n">
        <f aca="false">IFERROR(AVERAGEIF(D46:X46,"&lt;&gt;0"),"")</f>
        <v>40000</v>
      </c>
    </row>
    <row r="47" customFormat="false" ht="15" hidden="false" customHeight="false" outlineLevel="0" collapsed="false">
      <c r="A47" s="3" t="n">
        <v>43</v>
      </c>
      <c r="B47" s="3" t="s">
        <v>486</v>
      </c>
      <c r="C47" s="3" t="s">
        <v>471</v>
      </c>
      <c r="D47" s="32" t="n">
        <v>27000</v>
      </c>
      <c r="E47" s="32" t="n">
        <v>27000</v>
      </c>
      <c r="F47" s="32" t="n">
        <v>27000</v>
      </c>
      <c r="G47" s="32" t="n">
        <v>27000</v>
      </c>
      <c r="H47" s="32" t="n">
        <v>27000</v>
      </c>
      <c r="I47" s="32" t="n">
        <v>27000</v>
      </c>
      <c r="J47" s="32" t="n">
        <v>27000</v>
      </c>
      <c r="K47" s="32" t="n">
        <v>27000</v>
      </c>
      <c r="L47" s="32" t="n">
        <v>27000</v>
      </c>
      <c r="M47" s="32" t="n">
        <v>27000</v>
      </c>
      <c r="N47" s="32" t="n">
        <v>27000</v>
      </c>
      <c r="O47" s="32" t="n">
        <v>27000</v>
      </c>
      <c r="P47" s="32" t="n">
        <v>27000</v>
      </c>
      <c r="Q47" s="32" t="n">
        <v>27000</v>
      </c>
      <c r="R47" s="32" t="n">
        <v>27000</v>
      </c>
      <c r="S47" s="32" t="n">
        <v>27000</v>
      </c>
      <c r="T47" s="32" t="n">
        <v>27000</v>
      </c>
      <c r="U47" s="32" t="n">
        <v>27000</v>
      </c>
      <c r="V47" s="32" t="n">
        <v>27000</v>
      </c>
      <c r="W47" s="32" t="n">
        <v>0</v>
      </c>
      <c r="X47" s="32" t="n">
        <v>0</v>
      </c>
      <c r="Y47" s="13" t="n">
        <f aca="false">IFERROR(AVERAGEIF(D47:H47,"&lt;&gt;0"),"")</f>
        <v>27000</v>
      </c>
      <c r="Z47" s="13" t="n">
        <f aca="false">IFERROR(AVERAGEIF(I47:M47,"&lt;&gt;0"),"")</f>
        <v>27000</v>
      </c>
      <c r="AA47" s="13" t="n">
        <f aca="false">IFERROR(AVERAGEIF(N47:R47,"&lt;&gt;0"),"")</f>
        <v>27000</v>
      </c>
      <c r="AB47" s="13" t="n">
        <f aca="false">IFERROR(AVERAGEIF(S47:W47,"&lt;&gt;0"),"")</f>
        <v>27000</v>
      </c>
      <c r="AC47" s="13" t="str">
        <f aca="false">IFERROR(AVERAGEIF(X47:X47,"&lt;&gt;0"),"")</f>
        <v/>
      </c>
      <c r="AD47" s="13" t="n">
        <f aca="false">IFERROR(AVERAGEIF(D47:X47,"&lt;&gt;0"),"")</f>
        <v>27000</v>
      </c>
    </row>
    <row r="48" customFormat="false" ht="15" hidden="false" customHeight="false" outlineLevel="0" collapsed="false">
      <c r="A48" s="3" t="n">
        <v>44</v>
      </c>
      <c r="B48" s="3" t="s">
        <v>487</v>
      </c>
      <c r="C48" s="3" t="s">
        <v>471</v>
      </c>
      <c r="D48" s="32" t="n">
        <v>14000</v>
      </c>
      <c r="E48" s="32" t="n">
        <v>14000</v>
      </c>
      <c r="F48" s="32" t="n">
        <v>14000</v>
      </c>
      <c r="G48" s="32" t="n">
        <v>14000</v>
      </c>
      <c r="H48" s="32" t="n">
        <v>14000</v>
      </c>
      <c r="I48" s="32" t="n">
        <v>14000</v>
      </c>
      <c r="J48" s="32" t="n">
        <v>14000</v>
      </c>
      <c r="K48" s="32" t="n">
        <v>14000</v>
      </c>
      <c r="L48" s="32" t="n">
        <v>14000</v>
      </c>
      <c r="M48" s="32" t="n">
        <v>14000</v>
      </c>
      <c r="N48" s="32" t="n">
        <v>14000</v>
      </c>
      <c r="O48" s="32" t="n">
        <v>14000</v>
      </c>
      <c r="P48" s="32" t="n">
        <v>14000</v>
      </c>
      <c r="Q48" s="32" t="n">
        <v>14000</v>
      </c>
      <c r="R48" s="32" t="n">
        <v>14000</v>
      </c>
      <c r="S48" s="32" t="n">
        <v>14000</v>
      </c>
      <c r="T48" s="32" t="n">
        <v>14000</v>
      </c>
      <c r="U48" s="32" t="n">
        <v>14000</v>
      </c>
      <c r="V48" s="32" t="n">
        <v>14000</v>
      </c>
      <c r="W48" s="32" t="n">
        <v>0</v>
      </c>
      <c r="X48" s="32" t="n">
        <v>0</v>
      </c>
      <c r="Y48" s="13" t="n">
        <f aca="false">IFERROR(AVERAGEIF(D48:H48,"&lt;&gt;0"),"")</f>
        <v>14000</v>
      </c>
      <c r="Z48" s="13" t="n">
        <f aca="false">IFERROR(AVERAGEIF(I48:M48,"&lt;&gt;0"),"")</f>
        <v>14000</v>
      </c>
      <c r="AA48" s="13" t="n">
        <f aca="false">IFERROR(AVERAGEIF(N48:R48,"&lt;&gt;0"),"")</f>
        <v>14000</v>
      </c>
      <c r="AB48" s="13" t="n">
        <f aca="false">IFERROR(AVERAGEIF(S48:W48,"&lt;&gt;0"),"")</f>
        <v>14000</v>
      </c>
      <c r="AC48" s="13" t="str">
        <f aca="false">IFERROR(AVERAGEIF(X48:X48,"&lt;&gt;0"),"")</f>
        <v/>
      </c>
      <c r="AD48" s="13" t="n">
        <f aca="false">IFERROR(AVERAGEIF(D48:X48,"&lt;&gt;0"),"")</f>
        <v>14000</v>
      </c>
    </row>
  </sheetData>
  <mergeCells count="1">
    <mergeCell ref="A1:A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4"/>
    <col collapsed="false" customWidth="true" hidden="false" outlineLevel="0" max="25" min="4" style="0" width="9"/>
    <col collapsed="false" customWidth="true" hidden="false" outlineLevel="0" max="31" min="26" style="0" width="14"/>
  </cols>
  <sheetData>
    <row r="1" customFormat="false" ht="16.15" hidden="false" customHeight="false" outlineLevel="0" collapsed="false">
      <c r="A1" s="1" t="s">
        <v>568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customFormat="false" ht="15" hidden="false" customHeight="false" outlineLevel="0" collapsed="false">
      <c r="A2" s="7" t="s">
        <v>443</v>
      </c>
    </row>
    <row r="4" customFormat="false" ht="19.4" hidden="false" customHeight="false" outlineLevel="0" collapsed="false">
      <c r="A4" s="10" t="s">
        <v>1</v>
      </c>
      <c r="B4" s="10" t="s">
        <v>444</v>
      </c>
      <c r="C4" s="10" t="s">
        <v>445</v>
      </c>
      <c r="D4" s="10" t="s">
        <v>569</v>
      </c>
      <c r="E4" s="10" t="s">
        <v>570</v>
      </c>
      <c r="F4" s="10" t="s">
        <v>571</v>
      </c>
      <c r="G4" s="10" t="s">
        <v>572</v>
      </c>
      <c r="H4" s="10" t="s">
        <v>573</v>
      </c>
      <c r="I4" s="10" t="s">
        <v>574</v>
      </c>
      <c r="J4" s="10" t="s">
        <v>575</v>
      </c>
      <c r="K4" s="10" t="s">
        <v>576</v>
      </c>
      <c r="L4" s="10" t="s">
        <v>577</v>
      </c>
      <c r="M4" s="10" t="s">
        <v>578</v>
      </c>
      <c r="N4" s="10" t="s">
        <v>579</v>
      </c>
      <c r="O4" s="10" t="s">
        <v>580</v>
      </c>
      <c r="P4" s="10" t="s">
        <v>581</v>
      </c>
      <c r="Q4" s="10" t="s">
        <v>582</v>
      </c>
      <c r="R4" s="10" t="s">
        <v>583</v>
      </c>
      <c r="S4" s="10" t="s">
        <v>584</v>
      </c>
      <c r="T4" s="10" t="s">
        <v>585</v>
      </c>
      <c r="U4" s="10" t="s">
        <v>586</v>
      </c>
      <c r="V4" s="10" t="s">
        <v>587</v>
      </c>
      <c r="W4" s="10" t="s">
        <v>588</v>
      </c>
      <c r="X4" s="10" t="s">
        <v>589</v>
      </c>
      <c r="Y4" s="10" t="s">
        <v>590</v>
      </c>
      <c r="Z4" s="10" t="s">
        <v>591</v>
      </c>
      <c r="AA4" s="10" t="s">
        <v>592</v>
      </c>
      <c r="AB4" s="10" t="s">
        <v>593</v>
      </c>
      <c r="AC4" s="10" t="s">
        <v>594</v>
      </c>
      <c r="AD4" s="10" t="s">
        <v>595</v>
      </c>
      <c r="AE4" s="10" t="s">
        <v>596</v>
      </c>
    </row>
    <row r="5" customFormat="false" ht="15" hidden="false" customHeight="false" outlineLevel="0" collapsed="false">
      <c r="A5" s="3" t="n">
        <v>1</v>
      </c>
      <c r="B5" s="3" t="s">
        <v>407</v>
      </c>
      <c r="C5" s="3" t="s">
        <v>471</v>
      </c>
      <c r="D5" s="32" t="n">
        <v>0</v>
      </c>
      <c r="E5" s="32" t="n">
        <v>0</v>
      </c>
      <c r="F5" s="32" t="n">
        <v>0</v>
      </c>
      <c r="G5" s="32" t="n">
        <v>0</v>
      </c>
      <c r="H5" s="32" t="n">
        <v>0</v>
      </c>
      <c r="I5" s="32" t="n">
        <v>12000</v>
      </c>
      <c r="J5" s="32" t="n">
        <v>12000</v>
      </c>
      <c r="K5" s="32" t="n">
        <v>12000</v>
      </c>
      <c r="L5" s="32" t="n">
        <v>12000</v>
      </c>
      <c r="M5" s="32" t="n">
        <v>12000</v>
      </c>
      <c r="N5" s="32" t="n">
        <v>12000</v>
      </c>
      <c r="O5" s="32" t="n">
        <v>12000</v>
      </c>
      <c r="P5" s="32" t="n">
        <v>12000</v>
      </c>
      <c r="Q5" s="32" t="n">
        <v>0</v>
      </c>
      <c r="R5" s="32" t="n">
        <v>12000</v>
      </c>
      <c r="S5" s="32" t="n">
        <v>12000</v>
      </c>
      <c r="T5" s="32" t="n">
        <v>12000</v>
      </c>
      <c r="U5" s="32" t="n">
        <v>12000</v>
      </c>
      <c r="V5" s="32" t="n">
        <v>12000</v>
      </c>
      <c r="W5" s="32" t="n">
        <v>12000</v>
      </c>
      <c r="X5" s="32" t="n">
        <v>12000</v>
      </c>
      <c r="Y5" s="32" t="n">
        <v>12000</v>
      </c>
      <c r="Z5" s="13" t="str">
        <f aca="false">IFERROR(AVERAGEIF(D5:G5,"&lt;&gt;0"),"")</f>
        <v/>
      </c>
      <c r="AA5" s="13" t="n">
        <f aca="false">IFERROR(AVERAGEIF(H5:L5,"&lt;&gt;0"),"")</f>
        <v>12000</v>
      </c>
      <c r="AB5" s="13" t="n">
        <f aca="false">IFERROR(AVERAGEIF(M5:Q5,"&lt;&gt;0"),"")</f>
        <v>12000</v>
      </c>
      <c r="AC5" s="13" t="n">
        <f aca="false">IFERROR(AVERAGEIF(R5:V5,"&lt;&gt;0"),"")</f>
        <v>12000</v>
      </c>
      <c r="AD5" s="13" t="n">
        <f aca="false">IFERROR(AVERAGEIF(W5:Y5,"&lt;&gt;0"),"")</f>
        <v>12000</v>
      </c>
      <c r="AE5" s="13" t="n">
        <f aca="false">IFERROR(AVERAGEIF(D5:Y5,"&lt;&gt;0"),"")</f>
        <v>12000</v>
      </c>
    </row>
    <row r="6" customFormat="false" ht="15" hidden="false" customHeight="false" outlineLevel="0" collapsed="false">
      <c r="A6" s="3" t="n">
        <v>2</v>
      </c>
      <c r="B6" s="3" t="s">
        <v>408</v>
      </c>
      <c r="C6" s="3" t="s">
        <v>471</v>
      </c>
      <c r="D6" s="32" t="n">
        <v>0</v>
      </c>
      <c r="E6" s="32" t="n">
        <v>0</v>
      </c>
      <c r="F6" s="32" t="n">
        <v>0</v>
      </c>
      <c r="G6" s="32" t="n">
        <v>0</v>
      </c>
      <c r="H6" s="32" t="n">
        <v>0</v>
      </c>
      <c r="I6" s="32" t="n">
        <v>13000</v>
      </c>
      <c r="J6" s="32" t="n">
        <v>13000</v>
      </c>
      <c r="K6" s="32" t="n">
        <v>13000</v>
      </c>
      <c r="L6" s="32" t="n">
        <v>13000</v>
      </c>
      <c r="M6" s="32" t="n">
        <v>13000</v>
      </c>
      <c r="N6" s="32" t="n">
        <v>13000</v>
      </c>
      <c r="O6" s="32" t="n">
        <v>13000</v>
      </c>
      <c r="P6" s="32" t="n">
        <v>13000</v>
      </c>
      <c r="Q6" s="32" t="n">
        <v>0</v>
      </c>
      <c r="R6" s="32" t="n">
        <v>13000</v>
      </c>
      <c r="S6" s="32" t="n">
        <v>13000</v>
      </c>
      <c r="T6" s="32" t="n">
        <v>13000</v>
      </c>
      <c r="U6" s="32" t="n">
        <v>13000</v>
      </c>
      <c r="V6" s="32" t="n">
        <v>13000</v>
      </c>
      <c r="W6" s="32" t="n">
        <v>13000</v>
      </c>
      <c r="X6" s="32" t="n">
        <v>13000</v>
      </c>
      <c r="Y6" s="32" t="n">
        <v>13000</v>
      </c>
      <c r="Z6" s="13" t="str">
        <f aca="false">IFERROR(AVERAGEIF(D6:G6,"&lt;&gt;0"),"")</f>
        <v/>
      </c>
      <c r="AA6" s="13" t="n">
        <f aca="false">IFERROR(AVERAGEIF(H6:L6,"&lt;&gt;0"),"")</f>
        <v>13000</v>
      </c>
      <c r="AB6" s="13" t="n">
        <f aca="false">IFERROR(AVERAGEIF(M6:Q6,"&lt;&gt;0"),"")</f>
        <v>13000</v>
      </c>
      <c r="AC6" s="13" t="n">
        <f aca="false">IFERROR(AVERAGEIF(R6:V6,"&lt;&gt;0"),"")</f>
        <v>13000</v>
      </c>
      <c r="AD6" s="13" t="n">
        <f aca="false">IFERROR(AVERAGEIF(W6:Y6,"&lt;&gt;0"),"")</f>
        <v>13000</v>
      </c>
      <c r="AE6" s="13" t="n">
        <f aca="false">IFERROR(AVERAGEIF(D6:Y6,"&lt;&gt;0"),"")</f>
        <v>13000</v>
      </c>
    </row>
    <row r="7" customFormat="false" ht="15" hidden="false" customHeight="false" outlineLevel="0" collapsed="false">
      <c r="A7" s="3" t="n">
        <v>3</v>
      </c>
      <c r="B7" s="3" t="s">
        <v>409</v>
      </c>
      <c r="C7" s="3" t="s">
        <v>471</v>
      </c>
      <c r="D7" s="32" t="n">
        <v>0</v>
      </c>
      <c r="E7" s="32" t="n">
        <v>0</v>
      </c>
      <c r="F7" s="32" t="n">
        <v>0</v>
      </c>
      <c r="G7" s="32" t="n">
        <v>0</v>
      </c>
      <c r="H7" s="32" t="n">
        <v>0</v>
      </c>
      <c r="I7" s="32" t="n">
        <v>12500</v>
      </c>
      <c r="J7" s="32" t="n">
        <v>12500</v>
      </c>
      <c r="K7" s="32" t="n">
        <v>12500</v>
      </c>
      <c r="L7" s="32" t="n">
        <v>12500</v>
      </c>
      <c r="M7" s="32" t="n">
        <v>0</v>
      </c>
      <c r="N7" s="32" t="n">
        <v>0</v>
      </c>
      <c r="O7" s="32" t="n">
        <v>0</v>
      </c>
      <c r="P7" s="32" t="n">
        <v>0</v>
      </c>
      <c r="Q7" s="32" t="n">
        <v>0</v>
      </c>
      <c r="R7" s="32" t="n">
        <v>0</v>
      </c>
      <c r="S7" s="32" t="n">
        <v>0</v>
      </c>
      <c r="T7" s="32" t="n">
        <v>0</v>
      </c>
      <c r="U7" s="32" t="n">
        <v>0</v>
      </c>
      <c r="V7" s="32" t="n">
        <v>0</v>
      </c>
      <c r="W7" s="32" t="n">
        <v>0</v>
      </c>
      <c r="X7" s="32" t="n">
        <v>0</v>
      </c>
      <c r="Y7" s="32" t="n">
        <v>0</v>
      </c>
      <c r="Z7" s="13" t="str">
        <f aca="false">IFERROR(AVERAGEIF(D7:G7,"&lt;&gt;0"),"")</f>
        <v/>
      </c>
      <c r="AA7" s="13" t="n">
        <f aca="false">IFERROR(AVERAGEIF(H7:L7,"&lt;&gt;0"),"")</f>
        <v>12500</v>
      </c>
      <c r="AB7" s="13" t="str">
        <f aca="false">IFERROR(AVERAGEIF(M7:Q7,"&lt;&gt;0"),"")</f>
        <v/>
      </c>
      <c r="AC7" s="13" t="str">
        <f aca="false">IFERROR(AVERAGEIF(R7:V7,"&lt;&gt;0"),"")</f>
        <v/>
      </c>
      <c r="AD7" s="13" t="str">
        <f aca="false">IFERROR(AVERAGEIF(W7:Y7,"&lt;&gt;0"),"")</f>
        <v/>
      </c>
      <c r="AE7" s="13" t="n">
        <f aca="false">IFERROR(AVERAGEIF(D7:Y7,"&lt;&gt;0"),"")</f>
        <v>12500</v>
      </c>
    </row>
    <row r="8" customFormat="false" ht="15" hidden="false" customHeight="false" outlineLevel="0" collapsed="false">
      <c r="A8" s="3" t="n">
        <v>4</v>
      </c>
      <c r="B8" s="3" t="s">
        <v>472</v>
      </c>
      <c r="C8" s="3" t="s">
        <v>471</v>
      </c>
      <c r="D8" s="32" t="n">
        <v>0</v>
      </c>
      <c r="E8" s="32" t="n">
        <v>0</v>
      </c>
      <c r="F8" s="32" t="n">
        <v>0</v>
      </c>
      <c r="G8" s="32" t="n">
        <v>0</v>
      </c>
      <c r="H8" s="32" t="n">
        <v>0</v>
      </c>
      <c r="I8" s="32" t="n">
        <v>12000</v>
      </c>
      <c r="J8" s="32" t="n">
        <v>12000</v>
      </c>
      <c r="K8" s="32" t="n">
        <v>12000</v>
      </c>
      <c r="L8" s="32" t="n">
        <v>12000</v>
      </c>
      <c r="M8" s="32" t="n">
        <v>11000</v>
      </c>
      <c r="N8" s="32" t="n">
        <v>11000</v>
      </c>
      <c r="O8" s="32" t="n">
        <v>11000</v>
      </c>
      <c r="P8" s="32" t="n">
        <v>11000</v>
      </c>
      <c r="Q8" s="32" t="n">
        <v>0</v>
      </c>
      <c r="R8" s="32" t="n">
        <v>11000</v>
      </c>
      <c r="S8" s="32" t="n">
        <v>11000</v>
      </c>
      <c r="T8" s="32" t="n">
        <v>11000</v>
      </c>
      <c r="U8" s="32" t="n">
        <v>11000</v>
      </c>
      <c r="V8" s="32" t="n">
        <v>11000</v>
      </c>
      <c r="W8" s="32" t="n">
        <v>11000</v>
      </c>
      <c r="X8" s="32" t="n">
        <v>11000</v>
      </c>
      <c r="Y8" s="32" t="n">
        <v>11000</v>
      </c>
      <c r="Z8" s="13" t="str">
        <f aca="false">IFERROR(AVERAGEIF(D8:G8,"&lt;&gt;0"),"")</f>
        <v/>
      </c>
      <c r="AA8" s="13" t="n">
        <f aca="false">IFERROR(AVERAGEIF(H8:L8,"&lt;&gt;0"),"")</f>
        <v>12000</v>
      </c>
      <c r="AB8" s="13" t="n">
        <f aca="false">IFERROR(AVERAGEIF(M8:Q8,"&lt;&gt;0"),"")</f>
        <v>11000</v>
      </c>
      <c r="AC8" s="13" t="n">
        <f aca="false">IFERROR(AVERAGEIF(R8:V8,"&lt;&gt;0"),"")</f>
        <v>11000</v>
      </c>
      <c r="AD8" s="13" t="n">
        <f aca="false">IFERROR(AVERAGEIF(W8:Y8,"&lt;&gt;0"),"")</f>
        <v>11000</v>
      </c>
      <c r="AE8" s="13" t="n">
        <f aca="false">IFERROR(AVERAGEIF(D8:Y8,"&lt;&gt;0"),"")</f>
        <v>11250</v>
      </c>
    </row>
    <row r="9" customFormat="false" ht="15" hidden="false" customHeight="false" outlineLevel="0" collapsed="false">
      <c r="A9" s="3" t="n">
        <v>5</v>
      </c>
      <c r="B9" s="3" t="s">
        <v>428</v>
      </c>
      <c r="C9" s="3" t="s">
        <v>471</v>
      </c>
      <c r="D9" s="32" t="n">
        <v>0</v>
      </c>
      <c r="E9" s="32" t="n">
        <v>0</v>
      </c>
      <c r="F9" s="32" t="n">
        <v>0</v>
      </c>
      <c r="G9" s="32" t="n">
        <v>0</v>
      </c>
      <c r="H9" s="32" t="n">
        <v>0</v>
      </c>
      <c r="I9" s="32" t="n">
        <v>40000</v>
      </c>
      <c r="J9" s="32" t="n">
        <v>40000</v>
      </c>
      <c r="K9" s="32" t="n">
        <v>40000</v>
      </c>
      <c r="L9" s="32" t="n">
        <v>40000</v>
      </c>
      <c r="M9" s="32" t="n">
        <v>40000</v>
      </c>
      <c r="N9" s="32" t="n">
        <v>40000</v>
      </c>
      <c r="O9" s="32" t="n">
        <v>40000</v>
      </c>
      <c r="P9" s="32" t="n">
        <v>35000</v>
      </c>
      <c r="Q9" s="32" t="n">
        <v>0</v>
      </c>
      <c r="R9" s="32" t="n">
        <v>35000</v>
      </c>
      <c r="S9" s="32" t="n">
        <v>35000</v>
      </c>
      <c r="T9" s="32" t="n">
        <v>35000</v>
      </c>
      <c r="U9" s="32" t="n">
        <v>35000</v>
      </c>
      <c r="V9" s="32" t="n">
        <v>35000</v>
      </c>
      <c r="W9" s="32" t="n">
        <v>26000</v>
      </c>
      <c r="X9" s="32" t="n">
        <v>25000</v>
      </c>
      <c r="Y9" s="32" t="n">
        <v>25000</v>
      </c>
      <c r="Z9" s="13" t="str">
        <f aca="false">IFERROR(AVERAGEIF(D9:G9,"&lt;&gt;0"),"")</f>
        <v/>
      </c>
      <c r="AA9" s="13" t="n">
        <f aca="false">IFERROR(AVERAGEIF(H9:L9,"&lt;&gt;0"),"")</f>
        <v>40000</v>
      </c>
      <c r="AB9" s="13" t="n">
        <f aca="false">IFERROR(AVERAGEIF(M9:Q9,"&lt;&gt;0"),"")</f>
        <v>38750</v>
      </c>
      <c r="AC9" s="13" t="n">
        <f aca="false">IFERROR(AVERAGEIF(R9:V9,"&lt;&gt;0"),"")</f>
        <v>35000</v>
      </c>
      <c r="AD9" s="13" t="n">
        <f aca="false">IFERROR(AVERAGEIF(W9:Y9,"&lt;&gt;0"),"")</f>
        <v>25333.3333333333</v>
      </c>
      <c r="AE9" s="13" t="n">
        <f aca="false">IFERROR(AVERAGEIF(D9:Y9,"&lt;&gt;0"),"")</f>
        <v>35375</v>
      </c>
    </row>
    <row r="10" customFormat="false" ht="15" hidden="false" customHeight="false" outlineLevel="0" collapsed="false">
      <c r="A10" s="3" t="n">
        <v>6</v>
      </c>
      <c r="B10" s="3" t="s">
        <v>429</v>
      </c>
      <c r="C10" s="3" t="s">
        <v>471</v>
      </c>
      <c r="D10" s="32" t="n">
        <v>0</v>
      </c>
      <c r="E10" s="32" t="n">
        <v>0</v>
      </c>
      <c r="F10" s="32" t="n">
        <v>0</v>
      </c>
      <c r="G10" s="32" t="n">
        <v>0</v>
      </c>
      <c r="H10" s="32" t="n">
        <v>0</v>
      </c>
      <c r="I10" s="32" t="n">
        <v>40000</v>
      </c>
      <c r="J10" s="32" t="n">
        <v>40000</v>
      </c>
      <c r="K10" s="32" t="n">
        <v>40000</v>
      </c>
      <c r="L10" s="32" t="n">
        <v>40000</v>
      </c>
      <c r="M10" s="32" t="n">
        <v>35000</v>
      </c>
      <c r="N10" s="32" t="n">
        <v>35000</v>
      </c>
      <c r="O10" s="32" t="n">
        <v>35000</v>
      </c>
      <c r="P10" s="32" t="n">
        <v>35000</v>
      </c>
      <c r="Q10" s="32" t="n">
        <v>0</v>
      </c>
      <c r="R10" s="32" t="n">
        <v>30000</v>
      </c>
      <c r="S10" s="32" t="n">
        <v>30000</v>
      </c>
      <c r="T10" s="32" t="n">
        <v>30000</v>
      </c>
      <c r="U10" s="32" t="n">
        <v>30000</v>
      </c>
      <c r="V10" s="32" t="n">
        <v>30000</v>
      </c>
      <c r="W10" s="32" t="n">
        <v>25000</v>
      </c>
      <c r="X10" s="32" t="n">
        <v>25000</v>
      </c>
      <c r="Y10" s="32" t="n">
        <v>25000</v>
      </c>
      <c r="Z10" s="13" t="str">
        <f aca="false">IFERROR(AVERAGEIF(D10:G10,"&lt;&gt;0"),"")</f>
        <v/>
      </c>
      <c r="AA10" s="13" t="n">
        <f aca="false">IFERROR(AVERAGEIF(H10:L10,"&lt;&gt;0"),"")</f>
        <v>40000</v>
      </c>
      <c r="AB10" s="13" t="n">
        <f aca="false">IFERROR(AVERAGEIF(M10:Q10,"&lt;&gt;0"),"")</f>
        <v>35000</v>
      </c>
      <c r="AC10" s="13" t="n">
        <f aca="false">IFERROR(AVERAGEIF(R10:V10,"&lt;&gt;0"),"")</f>
        <v>30000</v>
      </c>
      <c r="AD10" s="13" t="n">
        <f aca="false">IFERROR(AVERAGEIF(W10:Y10,"&lt;&gt;0"),"")</f>
        <v>25000</v>
      </c>
      <c r="AE10" s="13" t="n">
        <f aca="false">IFERROR(AVERAGEIF(D10:Y10,"&lt;&gt;0"),"")</f>
        <v>32812.5</v>
      </c>
    </row>
    <row r="11" customFormat="false" ht="15" hidden="false" customHeight="false" outlineLevel="0" collapsed="false">
      <c r="A11" s="3" t="n">
        <v>7</v>
      </c>
      <c r="B11" s="3" t="s">
        <v>418</v>
      </c>
      <c r="C11" s="3" t="s">
        <v>471</v>
      </c>
      <c r="D11" s="32" t="n">
        <v>0</v>
      </c>
      <c r="E11" s="32" t="n">
        <v>0</v>
      </c>
      <c r="F11" s="32" t="n">
        <v>0</v>
      </c>
      <c r="G11" s="32" t="n">
        <v>0</v>
      </c>
      <c r="H11" s="32" t="n">
        <v>0</v>
      </c>
      <c r="I11" s="32" t="n">
        <v>60000</v>
      </c>
      <c r="J11" s="32" t="n">
        <v>60000</v>
      </c>
      <c r="K11" s="32" t="n">
        <v>60000</v>
      </c>
      <c r="L11" s="32" t="n">
        <v>60000</v>
      </c>
      <c r="M11" s="32" t="n">
        <v>60000</v>
      </c>
      <c r="N11" s="32" t="n">
        <v>60000</v>
      </c>
      <c r="O11" s="32" t="n">
        <v>60000</v>
      </c>
      <c r="P11" s="32" t="n">
        <v>57500</v>
      </c>
      <c r="Q11" s="32" t="n">
        <v>0</v>
      </c>
      <c r="R11" s="32" t="n">
        <v>55000</v>
      </c>
      <c r="S11" s="32" t="n">
        <v>55000</v>
      </c>
      <c r="T11" s="32" t="n">
        <v>55000</v>
      </c>
      <c r="U11" s="32" t="n">
        <v>40000</v>
      </c>
      <c r="V11" s="32" t="n">
        <v>39500</v>
      </c>
      <c r="W11" s="32" t="n">
        <v>30000</v>
      </c>
      <c r="X11" s="32" t="n">
        <v>28000</v>
      </c>
      <c r="Y11" s="32" t="n">
        <v>28000</v>
      </c>
      <c r="Z11" s="13" t="str">
        <f aca="false">IFERROR(AVERAGEIF(D11:G11,"&lt;&gt;0"),"")</f>
        <v/>
      </c>
      <c r="AA11" s="13" t="n">
        <f aca="false">IFERROR(AVERAGEIF(H11:L11,"&lt;&gt;0"),"")</f>
        <v>60000</v>
      </c>
      <c r="AB11" s="13" t="n">
        <f aca="false">IFERROR(AVERAGEIF(M11:Q11,"&lt;&gt;0"),"")</f>
        <v>59375</v>
      </c>
      <c r="AC11" s="13" t="n">
        <f aca="false">IFERROR(AVERAGEIF(R11:V11,"&lt;&gt;0"),"")</f>
        <v>48900</v>
      </c>
      <c r="AD11" s="13" t="n">
        <f aca="false">IFERROR(AVERAGEIF(W11:Y11,"&lt;&gt;0"),"")</f>
        <v>28666.6666666667</v>
      </c>
      <c r="AE11" s="13" t="n">
        <f aca="false">IFERROR(AVERAGEIF(D11:Y11,"&lt;&gt;0"),"")</f>
        <v>50500</v>
      </c>
    </row>
    <row r="12" customFormat="false" ht="15" hidden="false" customHeight="false" outlineLevel="0" collapsed="false">
      <c r="A12" s="3" t="n">
        <v>8</v>
      </c>
      <c r="B12" s="3" t="s">
        <v>423</v>
      </c>
      <c r="C12" s="3" t="s">
        <v>471</v>
      </c>
      <c r="D12" s="32" t="n">
        <v>0</v>
      </c>
      <c r="E12" s="32" t="n">
        <v>0</v>
      </c>
      <c r="F12" s="32" t="n">
        <v>0</v>
      </c>
      <c r="G12" s="32" t="n">
        <v>0</v>
      </c>
      <c r="H12" s="32" t="n">
        <v>0</v>
      </c>
      <c r="I12" s="32" t="n">
        <v>35000</v>
      </c>
      <c r="J12" s="32" t="n">
        <v>35000</v>
      </c>
      <c r="K12" s="32" t="n">
        <v>35000</v>
      </c>
      <c r="L12" s="32" t="n">
        <v>35000</v>
      </c>
      <c r="M12" s="32" t="n">
        <v>35000</v>
      </c>
      <c r="N12" s="32" t="n">
        <v>35000</v>
      </c>
      <c r="O12" s="32" t="n">
        <v>35000</v>
      </c>
      <c r="P12" s="32" t="n">
        <v>35000</v>
      </c>
      <c r="Q12" s="32" t="n">
        <v>0</v>
      </c>
      <c r="R12" s="32" t="n">
        <v>35000</v>
      </c>
      <c r="S12" s="32" t="n">
        <v>35000</v>
      </c>
      <c r="T12" s="32" t="n">
        <v>35000</v>
      </c>
      <c r="U12" s="32" t="n">
        <v>34000</v>
      </c>
      <c r="V12" s="32" t="n">
        <v>34000</v>
      </c>
      <c r="W12" s="32" t="n">
        <v>30000</v>
      </c>
      <c r="X12" s="32" t="n">
        <v>29000</v>
      </c>
      <c r="Y12" s="32" t="n">
        <v>29000</v>
      </c>
      <c r="Z12" s="13" t="str">
        <f aca="false">IFERROR(AVERAGEIF(D12:G12,"&lt;&gt;0"),"")</f>
        <v/>
      </c>
      <c r="AA12" s="13" t="n">
        <f aca="false">IFERROR(AVERAGEIF(H12:L12,"&lt;&gt;0"),"")</f>
        <v>35000</v>
      </c>
      <c r="AB12" s="13" t="n">
        <f aca="false">IFERROR(AVERAGEIF(M12:Q12,"&lt;&gt;0"),"")</f>
        <v>35000</v>
      </c>
      <c r="AC12" s="13" t="n">
        <f aca="false">IFERROR(AVERAGEIF(R12:V12,"&lt;&gt;0"),"")</f>
        <v>34600</v>
      </c>
      <c r="AD12" s="13" t="n">
        <f aca="false">IFERROR(AVERAGEIF(W12:Y12,"&lt;&gt;0"),"")</f>
        <v>29333.3333333333</v>
      </c>
      <c r="AE12" s="13" t="n">
        <f aca="false">IFERROR(AVERAGEIF(D12:Y12,"&lt;&gt;0"),"")</f>
        <v>33812.5</v>
      </c>
    </row>
    <row r="13" customFormat="false" ht="15" hidden="false" customHeight="false" outlineLevel="0" collapsed="false">
      <c r="A13" s="3" t="n">
        <v>9</v>
      </c>
      <c r="B13" s="3" t="s">
        <v>420</v>
      </c>
      <c r="C13" s="3" t="s">
        <v>471</v>
      </c>
      <c r="D13" s="32" t="n">
        <v>0</v>
      </c>
      <c r="E13" s="32" t="n">
        <v>0</v>
      </c>
      <c r="F13" s="32" t="n">
        <v>0</v>
      </c>
      <c r="G13" s="32" t="n">
        <v>0</v>
      </c>
      <c r="H13" s="32" t="n">
        <v>0</v>
      </c>
      <c r="I13" s="32" t="n">
        <v>16500</v>
      </c>
      <c r="J13" s="32" t="n">
        <v>16500</v>
      </c>
      <c r="K13" s="32" t="n">
        <v>16500</v>
      </c>
      <c r="L13" s="32" t="n">
        <v>16500</v>
      </c>
      <c r="M13" s="32" t="n">
        <v>16000</v>
      </c>
      <c r="N13" s="32" t="n">
        <v>16000</v>
      </c>
      <c r="O13" s="32" t="n">
        <v>16000</v>
      </c>
      <c r="P13" s="32" t="n">
        <v>16000</v>
      </c>
      <c r="Q13" s="32" t="n">
        <v>0</v>
      </c>
      <c r="R13" s="32" t="n">
        <v>16000</v>
      </c>
      <c r="S13" s="32" t="n">
        <v>16000</v>
      </c>
      <c r="T13" s="32" t="n">
        <v>16000</v>
      </c>
      <c r="U13" s="32" t="n">
        <v>16000</v>
      </c>
      <c r="V13" s="32" t="n">
        <v>16000</v>
      </c>
      <c r="W13" s="32" t="n">
        <v>16000</v>
      </c>
      <c r="X13" s="32" t="n">
        <v>16000</v>
      </c>
      <c r="Y13" s="32" t="n">
        <v>16000</v>
      </c>
      <c r="Z13" s="13" t="str">
        <f aca="false">IFERROR(AVERAGEIF(D13:G13,"&lt;&gt;0"),"")</f>
        <v/>
      </c>
      <c r="AA13" s="13" t="n">
        <f aca="false">IFERROR(AVERAGEIF(H13:L13,"&lt;&gt;0"),"")</f>
        <v>16500</v>
      </c>
      <c r="AB13" s="13" t="n">
        <f aca="false">IFERROR(AVERAGEIF(M13:Q13,"&lt;&gt;0"),"")</f>
        <v>16000</v>
      </c>
      <c r="AC13" s="13" t="n">
        <f aca="false">IFERROR(AVERAGEIF(R13:V13,"&lt;&gt;0"),"")</f>
        <v>16000</v>
      </c>
      <c r="AD13" s="13" t="n">
        <f aca="false">IFERROR(AVERAGEIF(W13:Y13,"&lt;&gt;0"),"")</f>
        <v>16000</v>
      </c>
      <c r="AE13" s="13" t="n">
        <f aca="false">IFERROR(AVERAGEIF(D13:Y13,"&lt;&gt;0"),"")</f>
        <v>16125</v>
      </c>
    </row>
    <row r="14" customFormat="false" ht="15" hidden="false" customHeight="false" outlineLevel="0" collapsed="false">
      <c r="A14" s="3" t="n">
        <v>10</v>
      </c>
      <c r="B14" s="3" t="s">
        <v>413</v>
      </c>
      <c r="C14" s="3" t="s">
        <v>471</v>
      </c>
      <c r="D14" s="32" t="n">
        <v>0</v>
      </c>
      <c r="E14" s="32" t="n">
        <v>0</v>
      </c>
      <c r="F14" s="32" t="n">
        <v>0</v>
      </c>
      <c r="G14" s="32" t="n">
        <v>0</v>
      </c>
      <c r="H14" s="32" t="n">
        <v>0</v>
      </c>
      <c r="I14" s="32" t="n">
        <v>15750</v>
      </c>
      <c r="J14" s="32" t="n">
        <v>15750</v>
      </c>
      <c r="K14" s="32" t="n">
        <v>15750</v>
      </c>
      <c r="L14" s="32" t="n">
        <v>15750</v>
      </c>
      <c r="M14" s="32" t="n">
        <v>15750</v>
      </c>
      <c r="N14" s="32" t="n">
        <v>15750</v>
      </c>
      <c r="O14" s="32" t="n">
        <v>15750</v>
      </c>
      <c r="P14" s="32" t="n">
        <v>15750</v>
      </c>
      <c r="Q14" s="32" t="n">
        <v>0</v>
      </c>
      <c r="R14" s="32" t="n">
        <v>15750</v>
      </c>
      <c r="S14" s="32" t="n">
        <v>15750</v>
      </c>
      <c r="T14" s="32" t="n">
        <v>15750</v>
      </c>
      <c r="U14" s="32" t="n">
        <v>15750</v>
      </c>
      <c r="V14" s="32" t="n">
        <v>15750</v>
      </c>
      <c r="W14" s="32" t="n">
        <v>15000</v>
      </c>
      <c r="X14" s="32" t="n">
        <v>15000</v>
      </c>
      <c r="Y14" s="32" t="n">
        <v>15000</v>
      </c>
      <c r="Z14" s="13" t="str">
        <f aca="false">IFERROR(AVERAGEIF(D14:G14,"&lt;&gt;0"),"")</f>
        <v/>
      </c>
      <c r="AA14" s="13" t="n">
        <f aca="false">IFERROR(AVERAGEIF(H14:L14,"&lt;&gt;0"),"")</f>
        <v>15750</v>
      </c>
      <c r="AB14" s="13" t="n">
        <f aca="false">IFERROR(AVERAGEIF(M14:Q14,"&lt;&gt;0"),"")</f>
        <v>15750</v>
      </c>
      <c r="AC14" s="13" t="n">
        <f aca="false">IFERROR(AVERAGEIF(R14:V14,"&lt;&gt;0"),"")</f>
        <v>15750</v>
      </c>
      <c r="AD14" s="13" t="n">
        <f aca="false">IFERROR(AVERAGEIF(W14:Y14,"&lt;&gt;0"),"")</f>
        <v>15000</v>
      </c>
      <c r="AE14" s="13" t="n">
        <f aca="false">IFERROR(AVERAGEIF(D14:Y14,"&lt;&gt;0"),"")</f>
        <v>15609.375</v>
      </c>
    </row>
    <row r="15" customFormat="false" ht="15" hidden="false" customHeight="false" outlineLevel="0" collapsed="false">
      <c r="A15" s="3" t="n">
        <v>11</v>
      </c>
      <c r="B15" s="3" t="s">
        <v>414</v>
      </c>
      <c r="C15" s="3" t="s">
        <v>471</v>
      </c>
      <c r="D15" s="32" t="n">
        <v>0</v>
      </c>
      <c r="E15" s="32" t="n">
        <v>0</v>
      </c>
      <c r="F15" s="32" t="n">
        <v>0</v>
      </c>
      <c r="G15" s="32" t="n">
        <v>0</v>
      </c>
      <c r="H15" s="32" t="n">
        <v>0</v>
      </c>
      <c r="I15" s="32" t="n">
        <v>18000</v>
      </c>
      <c r="J15" s="32" t="n">
        <v>18000</v>
      </c>
      <c r="K15" s="32" t="n">
        <v>18000</v>
      </c>
      <c r="L15" s="32" t="n">
        <v>18000</v>
      </c>
      <c r="M15" s="32" t="n">
        <v>18000</v>
      </c>
      <c r="N15" s="32" t="n">
        <v>18000</v>
      </c>
      <c r="O15" s="32" t="n">
        <v>18000</v>
      </c>
      <c r="P15" s="32" t="n">
        <v>18000</v>
      </c>
      <c r="Q15" s="32" t="n">
        <v>0</v>
      </c>
      <c r="R15" s="32" t="n">
        <v>18000</v>
      </c>
      <c r="S15" s="32" t="n">
        <v>18000</v>
      </c>
      <c r="T15" s="32" t="n">
        <v>18000</v>
      </c>
      <c r="U15" s="32" t="n">
        <v>18000</v>
      </c>
      <c r="V15" s="32" t="n">
        <v>18000</v>
      </c>
      <c r="W15" s="32" t="n">
        <v>18000</v>
      </c>
      <c r="X15" s="32" t="n">
        <v>18000</v>
      </c>
      <c r="Y15" s="32" t="n">
        <v>18000</v>
      </c>
      <c r="Z15" s="13" t="str">
        <f aca="false">IFERROR(AVERAGEIF(D15:G15,"&lt;&gt;0"),"")</f>
        <v/>
      </c>
      <c r="AA15" s="13" t="n">
        <f aca="false">IFERROR(AVERAGEIF(H15:L15,"&lt;&gt;0"),"")</f>
        <v>18000</v>
      </c>
      <c r="AB15" s="13" t="n">
        <f aca="false">IFERROR(AVERAGEIF(M15:Q15,"&lt;&gt;0"),"")</f>
        <v>18000</v>
      </c>
      <c r="AC15" s="13" t="n">
        <f aca="false">IFERROR(AVERAGEIF(R15:V15,"&lt;&gt;0"),"")</f>
        <v>18000</v>
      </c>
      <c r="AD15" s="13" t="n">
        <f aca="false">IFERROR(AVERAGEIF(W15:Y15,"&lt;&gt;0"),"")</f>
        <v>18000</v>
      </c>
      <c r="AE15" s="13" t="n">
        <f aca="false">IFERROR(AVERAGEIF(D15:Y15,"&lt;&gt;0"),"")</f>
        <v>18000</v>
      </c>
    </row>
    <row r="16" customFormat="false" ht="15" hidden="false" customHeight="false" outlineLevel="0" collapsed="false">
      <c r="A16" s="3" t="n">
        <v>12</v>
      </c>
      <c r="B16" s="3" t="s">
        <v>415</v>
      </c>
      <c r="C16" s="3" t="s">
        <v>471</v>
      </c>
      <c r="D16" s="32" t="n">
        <v>0</v>
      </c>
      <c r="E16" s="32" t="n">
        <v>0</v>
      </c>
      <c r="F16" s="32" t="n">
        <v>0</v>
      </c>
      <c r="G16" s="32" t="n">
        <v>0</v>
      </c>
      <c r="H16" s="32" t="n">
        <v>0</v>
      </c>
      <c r="I16" s="32" t="n">
        <v>15500</v>
      </c>
      <c r="J16" s="32" t="n">
        <v>15500</v>
      </c>
      <c r="K16" s="32" t="n">
        <v>15500</v>
      </c>
      <c r="L16" s="32" t="n">
        <v>15500</v>
      </c>
      <c r="M16" s="32" t="n">
        <v>15500</v>
      </c>
      <c r="N16" s="32" t="n">
        <v>15500</v>
      </c>
      <c r="O16" s="32" t="n">
        <v>15500</v>
      </c>
      <c r="P16" s="32" t="n">
        <v>15500</v>
      </c>
      <c r="Q16" s="32" t="n">
        <v>0</v>
      </c>
      <c r="R16" s="32" t="n">
        <v>15500</v>
      </c>
      <c r="S16" s="32" t="n">
        <v>15500</v>
      </c>
      <c r="T16" s="32" t="n">
        <v>15500</v>
      </c>
      <c r="U16" s="32" t="n">
        <v>15500</v>
      </c>
      <c r="V16" s="32" t="n">
        <v>15500</v>
      </c>
      <c r="W16" s="32" t="n">
        <v>15500</v>
      </c>
      <c r="X16" s="32" t="n">
        <v>15500</v>
      </c>
      <c r="Y16" s="32" t="n">
        <v>15500</v>
      </c>
      <c r="Z16" s="13" t="str">
        <f aca="false">IFERROR(AVERAGEIF(D16:G16,"&lt;&gt;0"),"")</f>
        <v/>
      </c>
      <c r="AA16" s="13" t="n">
        <f aca="false">IFERROR(AVERAGEIF(H16:L16,"&lt;&gt;0"),"")</f>
        <v>15500</v>
      </c>
      <c r="AB16" s="13" t="n">
        <f aca="false">IFERROR(AVERAGEIF(M16:Q16,"&lt;&gt;0"),"")</f>
        <v>15500</v>
      </c>
      <c r="AC16" s="13" t="n">
        <f aca="false">IFERROR(AVERAGEIF(R16:V16,"&lt;&gt;0"),"")</f>
        <v>15500</v>
      </c>
      <c r="AD16" s="13" t="n">
        <f aca="false">IFERROR(AVERAGEIF(W16:Y16,"&lt;&gt;0"),"")</f>
        <v>15500</v>
      </c>
      <c r="AE16" s="13" t="n">
        <f aca="false">IFERROR(AVERAGEIF(D16:Y16,"&lt;&gt;0"),"")</f>
        <v>15500</v>
      </c>
    </row>
    <row r="17" customFormat="false" ht="15" hidden="false" customHeight="false" outlineLevel="0" collapsed="false">
      <c r="A17" s="3" t="n">
        <v>13</v>
      </c>
      <c r="B17" s="3" t="s">
        <v>410</v>
      </c>
      <c r="C17" s="3" t="s">
        <v>471</v>
      </c>
      <c r="D17" s="32" t="n">
        <v>0</v>
      </c>
      <c r="E17" s="32" t="n">
        <v>0</v>
      </c>
      <c r="F17" s="32" t="n">
        <v>0</v>
      </c>
      <c r="G17" s="32" t="n">
        <v>0</v>
      </c>
      <c r="H17" s="32" t="n">
        <v>0</v>
      </c>
      <c r="I17" s="32" t="n">
        <v>9000</v>
      </c>
      <c r="J17" s="32" t="n">
        <v>9000</v>
      </c>
      <c r="K17" s="32" t="n">
        <v>9000</v>
      </c>
      <c r="L17" s="32" t="n">
        <v>9000</v>
      </c>
      <c r="M17" s="32" t="n">
        <v>9000</v>
      </c>
      <c r="N17" s="32" t="n">
        <v>9000</v>
      </c>
      <c r="O17" s="32" t="n">
        <v>9000</v>
      </c>
      <c r="P17" s="32" t="n">
        <v>9000</v>
      </c>
      <c r="Q17" s="32" t="n">
        <v>0</v>
      </c>
      <c r="R17" s="32" t="n">
        <v>9000</v>
      </c>
      <c r="S17" s="32" t="n">
        <v>9000</v>
      </c>
      <c r="T17" s="32" t="n">
        <v>9000</v>
      </c>
      <c r="U17" s="32" t="n">
        <v>9000</v>
      </c>
      <c r="V17" s="32" t="n">
        <v>9000</v>
      </c>
      <c r="W17" s="32" t="n">
        <v>9000</v>
      </c>
      <c r="X17" s="32" t="n">
        <v>9000</v>
      </c>
      <c r="Y17" s="32" t="n">
        <v>9000</v>
      </c>
      <c r="Z17" s="13" t="str">
        <f aca="false">IFERROR(AVERAGEIF(D17:G17,"&lt;&gt;0"),"")</f>
        <v/>
      </c>
      <c r="AA17" s="13" t="n">
        <f aca="false">IFERROR(AVERAGEIF(H17:L17,"&lt;&gt;0"),"")</f>
        <v>9000</v>
      </c>
      <c r="AB17" s="13" t="n">
        <f aca="false">IFERROR(AVERAGEIF(M17:Q17,"&lt;&gt;0"),"")</f>
        <v>9000</v>
      </c>
      <c r="AC17" s="13" t="n">
        <f aca="false">IFERROR(AVERAGEIF(R17:V17,"&lt;&gt;0"),"")</f>
        <v>9000</v>
      </c>
      <c r="AD17" s="13" t="n">
        <f aca="false">IFERROR(AVERAGEIF(W17:Y17,"&lt;&gt;0"),"")</f>
        <v>9000</v>
      </c>
      <c r="AE17" s="13" t="n">
        <f aca="false">IFERROR(AVERAGEIF(D17:Y17,"&lt;&gt;0"),"")</f>
        <v>9000</v>
      </c>
    </row>
    <row r="18" customFormat="false" ht="15" hidden="false" customHeight="false" outlineLevel="0" collapsed="false">
      <c r="A18" s="3" t="n">
        <v>14</v>
      </c>
      <c r="B18" s="3" t="s">
        <v>412</v>
      </c>
      <c r="C18" s="3" t="s">
        <v>471</v>
      </c>
      <c r="D18" s="32" t="n">
        <v>0</v>
      </c>
      <c r="E18" s="32" t="n">
        <v>0</v>
      </c>
      <c r="F18" s="32" t="n">
        <v>0</v>
      </c>
      <c r="G18" s="32" t="n">
        <v>0</v>
      </c>
      <c r="H18" s="32" t="n">
        <v>0</v>
      </c>
      <c r="I18" s="32" t="n">
        <v>30000</v>
      </c>
      <c r="J18" s="32" t="n">
        <v>30000</v>
      </c>
      <c r="K18" s="32" t="n">
        <v>30000</v>
      </c>
      <c r="L18" s="32" t="n">
        <v>28000</v>
      </c>
      <c r="M18" s="32" t="n">
        <v>26000</v>
      </c>
      <c r="N18" s="32" t="n">
        <v>26000</v>
      </c>
      <c r="O18" s="32" t="n">
        <v>26000</v>
      </c>
      <c r="P18" s="32" t="n">
        <v>25000</v>
      </c>
      <c r="Q18" s="32" t="n">
        <v>0</v>
      </c>
      <c r="R18" s="32" t="n">
        <v>25000</v>
      </c>
      <c r="S18" s="32" t="n">
        <v>25000</v>
      </c>
      <c r="T18" s="32" t="n">
        <v>25000</v>
      </c>
      <c r="U18" s="32" t="n">
        <v>25000</v>
      </c>
      <c r="V18" s="32" t="n">
        <v>25000</v>
      </c>
      <c r="W18" s="32" t="n">
        <v>25000</v>
      </c>
      <c r="X18" s="32" t="n">
        <v>25000</v>
      </c>
      <c r="Y18" s="32" t="n">
        <v>25000</v>
      </c>
      <c r="Z18" s="13" t="str">
        <f aca="false">IFERROR(AVERAGEIF(D18:G18,"&lt;&gt;0"),"")</f>
        <v/>
      </c>
      <c r="AA18" s="13" t="n">
        <f aca="false">IFERROR(AVERAGEIF(H18:L18,"&lt;&gt;0"),"")</f>
        <v>29500</v>
      </c>
      <c r="AB18" s="13" t="n">
        <f aca="false">IFERROR(AVERAGEIF(M18:Q18,"&lt;&gt;0"),"")</f>
        <v>25750</v>
      </c>
      <c r="AC18" s="13" t="n">
        <f aca="false">IFERROR(AVERAGEIF(R18:V18,"&lt;&gt;0"),"")</f>
        <v>25000</v>
      </c>
      <c r="AD18" s="13" t="n">
        <f aca="false">IFERROR(AVERAGEIF(W18:Y18,"&lt;&gt;0"),"")</f>
        <v>25000</v>
      </c>
      <c r="AE18" s="13" t="n">
        <f aca="false">IFERROR(AVERAGEIF(D18:Y18,"&lt;&gt;0"),"")</f>
        <v>26312.5</v>
      </c>
    </row>
    <row r="19" customFormat="false" ht="15" hidden="false" customHeight="false" outlineLevel="0" collapsed="false">
      <c r="A19" s="3" t="n">
        <v>15</v>
      </c>
      <c r="B19" s="3" t="s">
        <v>419</v>
      </c>
      <c r="C19" s="3" t="s">
        <v>471</v>
      </c>
      <c r="D19" s="32" t="n">
        <v>0</v>
      </c>
      <c r="E19" s="32" t="n">
        <v>0</v>
      </c>
      <c r="F19" s="32" t="n">
        <v>0</v>
      </c>
      <c r="G19" s="32" t="n">
        <v>0</v>
      </c>
      <c r="H19" s="32" t="n">
        <v>0</v>
      </c>
      <c r="I19" s="32" t="n">
        <v>25000</v>
      </c>
      <c r="J19" s="32" t="n">
        <v>24000</v>
      </c>
      <c r="K19" s="32" t="n">
        <v>24000</v>
      </c>
      <c r="L19" s="32" t="n">
        <v>24000</v>
      </c>
      <c r="M19" s="32" t="n">
        <v>23500</v>
      </c>
      <c r="N19" s="32" t="n">
        <v>23500</v>
      </c>
      <c r="O19" s="32" t="n">
        <v>23500</v>
      </c>
      <c r="P19" s="32" t="n">
        <v>23000</v>
      </c>
      <c r="Q19" s="32" t="n">
        <v>0</v>
      </c>
      <c r="R19" s="32" t="n">
        <v>23000</v>
      </c>
      <c r="S19" s="32" t="n">
        <v>23000</v>
      </c>
      <c r="T19" s="32" t="n">
        <v>23000</v>
      </c>
      <c r="U19" s="32" t="n">
        <v>23000</v>
      </c>
      <c r="V19" s="32" t="n">
        <v>23000</v>
      </c>
      <c r="W19" s="32" t="n">
        <v>23000</v>
      </c>
      <c r="X19" s="32" t="n">
        <v>23000</v>
      </c>
      <c r="Y19" s="32" t="n">
        <v>23000</v>
      </c>
      <c r="Z19" s="13" t="str">
        <f aca="false">IFERROR(AVERAGEIF(D19:G19,"&lt;&gt;0"),"")</f>
        <v/>
      </c>
      <c r="AA19" s="13" t="n">
        <f aca="false">IFERROR(AVERAGEIF(H19:L19,"&lt;&gt;0"),"")</f>
        <v>24250</v>
      </c>
      <c r="AB19" s="13" t="n">
        <f aca="false">IFERROR(AVERAGEIF(M19:Q19,"&lt;&gt;0"),"")</f>
        <v>23375</v>
      </c>
      <c r="AC19" s="13" t="n">
        <f aca="false">IFERROR(AVERAGEIF(R19:V19,"&lt;&gt;0"),"")</f>
        <v>23000</v>
      </c>
      <c r="AD19" s="13" t="n">
        <f aca="false">IFERROR(AVERAGEIF(W19:Y19,"&lt;&gt;0"),"")</f>
        <v>23000</v>
      </c>
      <c r="AE19" s="13" t="n">
        <f aca="false">IFERROR(AVERAGEIF(D19:Y19,"&lt;&gt;0"),"")</f>
        <v>23406.25</v>
      </c>
    </row>
    <row r="20" customFormat="false" ht="15" hidden="false" customHeight="false" outlineLevel="0" collapsed="false">
      <c r="A20" s="3" t="n">
        <v>16</v>
      </c>
      <c r="B20" s="3" t="s">
        <v>430</v>
      </c>
      <c r="C20" s="3" t="s">
        <v>471</v>
      </c>
      <c r="D20" s="32" t="n">
        <v>0</v>
      </c>
      <c r="E20" s="32" t="n">
        <v>0</v>
      </c>
      <c r="F20" s="32" t="n">
        <v>0</v>
      </c>
      <c r="G20" s="32" t="n">
        <v>0</v>
      </c>
      <c r="H20" s="32" t="n">
        <v>0</v>
      </c>
      <c r="I20" s="32" t="n">
        <v>102000</v>
      </c>
      <c r="J20" s="32" t="n">
        <v>102000</v>
      </c>
      <c r="K20" s="32" t="n">
        <v>102000</v>
      </c>
      <c r="L20" s="32" t="n">
        <v>102000</v>
      </c>
      <c r="M20" s="32" t="n">
        <v>102000</v>
      </c>
      <c r="N20" s="32" t="n">
        <v>102000</v>
      </c>
      <c r="O20" s="32" t="n">
        <v>102000</v>
      </c>
      <c r="P20" s="32" t="n">
        <v>102000</v>
      </c>
      <c r="Q20" s="32" t="n">
        <v>0</v>
      </c>
      <c r="R20" s="32" t="n">
        <v>102000</v>
      </c>
      <c r="S20" s="32" t="n">
        <v>102000</v>
      </c>
      <c r="T20" s="32" t="n">
        <v>102000</v>
      </c>
      <c r="U20" s="32" t="n">
        <v>102000</v>
      </c>
      <c r="V20" s="32" t="n">
        <v>102000</v>
      </c>
      <c r="W20" s="32" t="n">
        <v>100000</v>
      </c>
      <c r="X20" s="32" t="n">
        <v>100000</v>
      </c>
      <c r="Y20" s="32" t="n">
        <v>100000</v>
      </c>
      <c r="Z20" s="13" t="str">
        <f aca="false">IFERROR(AVERAGEIF(D20:G20,"&lt;&gt;0"),"")</f>
        <v/>
      </c>
      <c r="AA20" s="13" t="n">
        <f aca="false">IFERROR(AVERAGEIF(H20:L20,"&lt;&gt;0"),"")</f>
        <v>102000</v>
      </c>
      <c r="AB20" s="13" t="n">
        <f aca="false">IFERROR(AVERAGEIF(M20:Q20,"&lt;&gt;0"),"")</f>
        <v>102000</v>
      </c>
      <c r="AC20" s="13" t="n">
        <f aca="false">IFERROR(AVERAGEIF(R20:V20,"&lt;&gt;0"),"")</f>
        <v>102000</v>
      </c>
      <c r="AD20" s="13" t="n">
        <f aca="false">IFERROR(AVERAGEIF(W20:Y20,"&lt;&gt;0"),"")</f>
        <v>100000</v>
      </c>
      <c r="AE20" s="13" t="n">
        <f aca="false">IFERROR(AVERAGEIF(D20:Y20,"&lt;&gt;0"),"")</f>
        <v>101625</v>
      </c>
    </row>
    <row r="21" customFormat="false" ht="15" hidden="false" customHeight="false" outlineLevel="0" collapsed="false">
      <c r="A21" s="3" t="n">
        <v>17</v>
      </c>
      <c r="B21" s="3" t="s">
        <v>431</v>
      </c>
      <c r="C21" s="3" t="s">
        <v>471</v>
      </c>
      <c r="D21" s="32" t="n">
        <v>0</v>
      </c>
      <c r="E21" s="32" t="n">
        <v>0</v>
      </c>
      <c r="F21" s="32" t="n">
        <v>0</v>
      </c>
      <c r="G21" s="32" t="n">
        <v>0</v>
      </c>
      <c r="H21" s="32" t="n">
        <v>0</v>
      </c>
      <c r="I21" s="32" t="n">
        <v>60000</v>
      </c>
      <c r="J21" s="32" t="n">
        <v>60000</v>
      </c>
      <c r="K21" s="32" t="n">
        <v>60000</v>
      </c>
      <c r="L21" s="32" t="n">
        <v>60000</v>
      </c>
      <c r="M21" s="32" t="n">
        <v>60000</v>
      </c>
      <c r="N21" s="32" t="n">
        <v>60000</v>
      </c>
      <c r="O21" s="32" t="n">
        <v>60000</v>
      </c>
      <c r="P21" s="32" t="n">
        <v>60000</v>
      </c>
      <c r="Q21" s="32" t="n">
        <v>0</v>
      </c>
      <c r="R21" s="32" t="n">
        <v>60000</v>
      </c>
      <c r="S21" s="32" t="n">
        <v>60000</v>
      </c>
      <c r="T21" s="32" t="n">
        <v>60000</v>
      </c>
      <c r="U21" s="32" t="n">
        <v>60000</v>
      </c>
      <c r="V21" s="32" t="n">
        <v>60000</v>
      </c>
      <c r="W21" s="32" t="n">
        <v>58000</v>
      </c>
      <c r="X21" s="32" t="n">
        <v>58000</v>
      </c>
      <c r="Y21" s="32" t="n">
        <v>58000</v>
      </c>
      <c r="Z21" s="13" t="str">
        <f aca="false">IFERROR(AVERAGEIF(D21:G21,"&lt;&gt;0"),"")</f>
        <v/>
      </c>
      <c r="AA21" s="13" t="n">
        <f aca="false">IFERROR(AVERAGEIF(H21:L21,"&lt;&gt;0"),"")</f>
        <v>60000</v>
      </c>
      <c r="AB21" s="13" t="n">
        <f aca="false">IFERROR(AVERAGEIF(M21:Q21,"&lt;&gt;0"),"")</f>
        <v>60000</v>
      </c>
      <c r="AC21" s="13" t="n">
        <f aca="false">IFERROR(AVERAGEIF(R21:V21,"&lt;&gt;0"),"")</f>
        <v>60000</v>
      </c>
      <c r="AD21" s="13" t="n">
        <f aca="false">IFERROR(AVERAGEIF(W21:Y21,"&lt;&gt;0"),"")</f>
        <v>58000</v>
      </c>
      <c r="AE21" s="13" t="n">
        <f aca="false">IFERROR(AVERAGEIF(D21:Y21,"&lt;&gt;0"),"")</f>
        <v>59625</v>
      </c>
    </row>
    <row r="22" customFormat="false" ht="15" hidden="false" customHeight="false" outlineLevel="0" collapsed="false">
      <c r="A22" s="3" t="n">
        <v>18</v>
      </c>
      <c r="B22" s="3" t="s">
        <v>432</v>
      </c>
      <c r="C22" s="3" t="s">
        <v>471</v>
      </c>
      <c r="D22" s="32" t="n">
        <v>0</v>
      </c>
      <c r="E22" s="32" t="n">
        <v>0</v>
      </c>
      <c r="F22" s="32" t="n">
        <v>0</v>
      </c>
      <c r="G22" s="32" t="n">
        <v>0</v>
      </c>
      <c r="H22" s="32" t="n">
        <v>0</v>
      </c>
      <c r="I22" s="32" t="n">
        <v>70000</v>
      </c>
      <c r="J22" s="32" t="n">
        <v>70000</v>
      </c>
      <c r="K22" s="32" t="n">
        <v>70000</v>
      </c>
      <c r="L22" s="32" t="n">
        <v>70000</v>
      </c>
      <c r="M22" s="32" t="n">
        <v>70000</v>
      </c>
      <c r="N22" s="32" t="n">
        <v>70000</v>
      </c>
      <c r="O22" s="32" t="n">
        <v>70000</v>
      </c>
      <c r="P22" s="32" t="n">
        <v>70000</v>
      </c>
      <c r="Q22" s="32" t="n">
        <v>0</v>
      </c>
      <c r="R22" s="32" t="n">
        <v>70000</v>
      </c>
      <c r="S22" s="32" t="n">
        <v>70000</v>
      </c>
      <c r="T22" s="32" t="n">
        <v>70000</v>
      </c>
      <c r="U22" s="32" t="n">
        <v>70000</v>
      </c>
      <c r="V22" s="32" t="n">
        <v>70000</v>
      </c>
      <c r="W22" s="32" t="n">
        <v>65000</v>
      </c>
      <c r="X22" s="32" t="n">
        <v>65000</v>
      </c>
      <c r="Y22" s="32" t="n">
        <v>65000</v>
      </c>
      <c r="Z22" s="13" t="str">
        <f aca="false">IFERROR(AVERAGEIF(D22:G22,"&lt;&gt;0"),"")</f>
        <v/>
      </c>
      <c r="AA22" s="13" t="n">
        <f aca="false">IFERROR(AVERAGEIF(H22:L22,"&lt;&gt;0"),"")</f>
        <v>70000</v>
      </c>
      <c r="AB22" s="13" t="n">
        <f aca="false">IFERROR(AVERAGEIF(M22:Q22,"&lt;&gt;0"),"")</f>
        <v>70000</v>
      </c>
      <c r="AC22" s="13" t="n">
        <f aca="false">IFERROR(AVERAGEIF(R22:V22,"&lt;&gt;0"),"")</f>
        <v>70000</v>
      </c>
      <c r="AD22" s="13" t="n">
        <f aca="false">IFERROR(AVERAGEIF(W22:Y22,"&lt;&gt;0"),"")</f>
        <v>65000</v>
      </c>
      <c r="AE22" s="13" t="n">
        <f aca="false">IFERROR(AVERAGEIF(D22:Y22,"&lt;&gt;0"),"")</f>
        <v>69062.5</v>
      </c>
    </row>
    <row r="23" customFormat="false" ht="15" hidden="false" customHeight="false" outlineLevel="0" collapsed="false">
      <c r="A23" s="3" t="n">
        <v>19</v>
      </c>
      <c r="B23" s="3" t="s">
        <v>473</v>
      </c>
      <c r="C23" s="3" t="s">
        <v>471</v>
      </c>
      <c r="D23" s="32" t="n">
        <v>0</v>
      </c>
      <c r="E23" s="32" t="n">
        <v>0</v>
      </c>
      <c r="F23" s="32" t="n">
        <v>0</v>
      </c>
      <c r="G23" s="32" t="n">
        <v>0</v>
      </c>
      <c r="H23" s="32" t="n">
        <v>0</v>
      </c>
      <c r="I23" s="32" t="n">
        <v>30000</v>
      </c>
      <c r="J23" s="32" t="n">
        <v>30000</v>
      </c>
      <c r="K23" s="32" t="n">
        <v>30000</v>
      </c>
      <c r="L23" s="32" t="n">
        <v>30000</v>
      </c>
      <c r="M23" s="32" t="n">
        <v>30000</v>
      </c>
      <c r="N23" s="32" t="n">
        <v>30000</v>
      </c>
      <c r="O23" s="32" t="n">
        <v>30000</v>
      </c>
      <c r="P23" s="32" t="n">
        <v>30000</v>
      </c>
      <c r="Q23" s="32" t="n">
        <v>0</v>
      </c>
      <c r="R23" s="32" t="n">
        <v>30000</v>
      </c>
      <c r="S23" s="32" t="n">
        <v>30000</v>
      </c>
      <c r="T23" s="32" t="n">
        <v>30000</v>
      </c>
      <c r="U23" s="32" t="n">
        <v>30000</v>
      </c>
      <c r="V23" s="32" t="n">
        <v>30000</v>
      </c>
      <c r="W23" s="32" t="n">
        <v>30000</v>
      </c>
      <c r="X23" s="32" t="n">
        <v>30000</v>
      </c>
      <c r="Y23" s="32" t="n">
        <v>30000</v>
      </c>
      <c r="Z23" s="13" t="str">
        <f aca="false">IFERROR(AVERAGEIF(D23:G23,"&lt;&gt;0"),"")</f>
        <v/>
      </c>
      <c r="AA23" s="13" t="n">
        <f aca="false">IFERROR(AVERAGEIF(H23:L23,"&lt;&gt;0"),"")</f>
        <v>30000</v>
      </c>
      <c r="AB23" s="13" t="n">
        <f aca="false">IFERROR(AVERAGEIF(M23:Q23,"&lt;&gt;0"),"")</f>
        <v>30000</v>
      </c>
      <c r="AC23" s="13" t="n">
        <f aca="false">IFERROR(AVERAGEIF(R23:V23,"&lt;&gt;0"),"")</f>
        <v>30000</v>
      </c>
      <c r="AD23" s="13" t="n">
        <f aca="false">IFERROR(AVERAGEIF(W23:Y23,"&lt;&gt;0"),"")</f>
        <v>30000</v>
      </c>
      <c r="AE23" s="13" t="n">
        <f aca="false">IFERROR(AVERAGEIF(D23:Y23,"&lt;&gt;0"),"")</f>
        <v>30000</v>
      </c>
    </row>
    <row r="24" customFormat="false" ht="15" hidden="false" customHeight="false" outlineLevel="0" collapsed="false">
      <c r="A24" s="3" t="n">
        <v>20</v>
      </c>
      <c r="B24" s="3" t="s">
        <v>421</v>
      </c>
      <c r="C24" s="3" t="s">
        <v>471</v>
      </c>
      <c r="D24" s="32" t="n">
        <v>0</v>
      </c>
      <c r="E24" s="32" t="n">
        <v>0</v>
      </c>
      <c r="F24" s="32" t="n">
        <v>0</v>
      </c>
      <c r="G24" s="32" t="n">
        <v>0</v>
      </c>
      <c r="H24" s="32" t="n">
        <v>0</v>
      </c>
      <c r="I24" s="32" t="n">
        <v>35000</v>
      </c>
      <c r="J24" s="32" t="n">
        <v>35000</v>
      </c>
      <c r="K24" s="32" t="n">
        <v>35000</v>
      </c>
      <c r="L24" s="32" t="n">
        <v>35000</v>
      </c>
      <c r="M24" s="32" t="n">
        <v>35000</v>
      </c>
      <c r="N24" s="32" t="n">
        <v>35000</v>
      </c>
      <c r="O24" s="32" t="n">
        <v>35000</v>
      </c>
      <c r="P24" s="32" t="n">
        <v>35000</v>
      </c>
      <c r="Q24" s="32" t="n">
        <v>0</v>
      </c>
      <c r="R24" s="32" t="n">
        <v>35000</v>
      </c>
      <c r="S24" s="32" t="n">
        <v>35000</v>
      </c>
      <c r="T24" s="32" t="n">
        <v>35000</v>
      </c>
      <c r="U24" s="32" t="n">
        <v>35000</v>
      </c>
      <c r="V24" s="32" t="n">
        <v>35000</v>
      </c>
      <c r="W24" s="32" t="n">
        <v>32000</v>
      </c>
      <c r="X24" s="32" t="n">
        <v>32000</v>
      </c>
      <c r="Y24" s="32" t="n">
        <v>32000</v>
      </c>
      <c r="Z24" s="13" t="str">
        <f aca="false">IFERROR(AVERAGEIF(D24:G24,"&lt;&gt;0"),"")</f>
        <v/>
      </c>
      <c r="AA24" s="13" t="n">
        <f aca="false">IFERROR(AVERAGEIF(H24:L24,"&lt;&gt;0"),"")</f>
        <v>35000</v>
      </c>
      <c r="AB24" s="13" t="n">
        <f aca="false">IFERROR(AVERAGEIF(M24:Q24,"&lt;&gt;0"),"")</f>
        <v>35000</v>
      </c>
      <c r="AC24" s="13" t="n">
        <f aca="false">IFERROR(AVERAGEIF(R24:V24,"&lt;&gt;0"),"")</f>
        <v>35000</v>
      </c>
      <c r="AD24" s="13" t="n">
        <f aca="false">IFERROR(AVERAGEIF(W24:Y24,"&lt;&gt;0"),"")</f>
        <v>32000</v>
      </c>
      <c r="AE24" s="13" t="n">
        <f aca="false">IFERROR(AVERAGEIF(D24:Y24,"&lt;&gt;0"),"")</f>
        <v>34437.5</v>
      </c>
    </row>
    <row r="25" customFormat="false" ht="15" hidden="false" customHeight="false" outlineLevel="0" collapsed="false">
      <c r="A25" s="3" t="n">
        <v>21</v>
      </c>
      <c r="B25" s="3" t="s">
        <v>474</v>
      </c>
      <c r="C25" s="3" t="s">
        <v>471</v>
      </c>
      <c r="D25" s="32" t="n">
        <v>0</v>
      </c>
      <c r="E25" s="32" t="n">
        <v>0</v>
      </c>
      <c r="F25" s="32" t="n">
        <v>0</v>
      </c>
      <c r="G25" s="32" t="n">
        <v>0</v>
      </c>
      <c r="H25" s="32" t="n">
        <v>0</v>
      </c>
      <c r="I25" s="32" t="n">
        <v>75000</v>
      </c>
      <c r="J25" s="32" t="n">
        <v>75000</v>
      </c>
      <c r="K25" s="32" t="n">
        <v>75000</v>
      </c>
      <c r="L25" s="32" t="n">
        <v>75000</v>
      </c>
      <c r="M25" s="32" t="n">
        <v>75000</v>
      </c>
      <c r="N25" s="32" t="n">
        <v>75000</v>
      </c>
      <c r="O25" s="32" t="n">
        <v>75000</v>
      </c>
      <c r="P25" s="32" t="n">
        <v>75000</v>
      </c>
      <c r="Q25" s="32" t="n">
        <v>0</v>
      </c>
      <c r="R25" s="32" t="n">
        <v>75000</v>
      </c>
      <c r="S25" s="32" t="n">
        <v>75000</v>
      </c>
      <c r="T25" s="32" t="n">
        <v>75000</v>
      </c>
      <c r="U25" s="32" t="n">
        <v>70000</v>
      </c>
      <c r="V25" s="32" t="n">
        <v>70000</v>
      </c>
      <c r="W25" s="32" t="n">
        <v>68000</v>
      </c>
      <c r="X25" s="32" t="n">
        <v>68000</v>
      </c>
      <c r="Y25" s="32" t="n">
        <v>68000</v>
      </c>
      <c r="Z25" s="13" t="str">
        <f aca="false">IFERROR(AVERAGEIF(D25:G25,"&lt;&gt;0"),"")</f>
        <v/>
      </c>
      <c r="AA25" s="13" t="n">
        <f aca="false">IFERROR(AVERAGEIF(H25:L25,"&lt;&gt;0"),"")</f>
        <v>75000</v>
      </c>
      <c r="AB25" s="13" t="n">
        <f aca="false">IFERROR(AVERAGEIF(M25:Q25,"&lt;&gt;0"),"")</f>
        <v>75000</v>
      </c>
      <c r="AC25" s="13" t="n">
        <f aca="false">IFERROR(AVERAGEIF(R25:V25,"&lt;&gt;0"),"")</f>
        <v>73000</v>
      </c>
      <c r="AD25" s="13" t="n">
        <f aca="false">IFERROR(AVERAGEIF(W25:Y25,"&lt;&gt;0"),"")</f>
        <v>68000</v>
      </c>
      <c r="AE25" s="13" t="n">
        <f aca="false">IFERROR(AVERAGEIF(D25:Y25,"&lt;&gt;0"),"")</f>
        <v>73062.5</v>
      </c>
    </row>
    <row r="26" customFormat="false" ht="15" hidden="false" customHeight="false" outlineLevel="0" collapsed="false">
      <c r="A26" s="3" t="n">
        <v>22</v>
      </c>
      <c r="B26" s="3" t="s">
        <v>426</v>
      </c>
      <c r="C26" s="3" t="s">
        <v>471</v>
      </c>
      <c r="D26" s="32" t="n">
        <v>0</v>
      </c>
      <c r="E26" s="32" t="n">
        <v>0</v>
      </c>
      <c r="F26" s="32" t="n">
        <v>0</v>
      </c>
      <c r="G26" s="32" t="n">
        <v>0</v>
      </c>
      <c r="H26" s="32" t="n">
        <v>0</v>
      </c>
      <c r="I26" s="32" t="n">
        <v>2800</v>
      </c>
      <c r="J26" s="32" t="n">
        <v>2800</v>
      </c>
      <c r="K26" s="32" t="n">
        <v>2800</v>
      </c>
      <c r="L26" s="32" t="n">
        <v>2800</v>
      </c>
      <c r="M26" s="32" t="n">
        <v>2800</v>
      </c>
      <c r="N26" s="32" t="n">
        <v>2800</v>
      </c>
      <c r="O26" s="32" t="n">
        <v>2800</v>
      </c>
      <c r="P26" s="32" t="n">
        <v>2800</v>
      </c>
      <c r="Q26" s="32" t="n">
        <v>0</v>
      </c>
      <c r="R26" s="32" t="n">
        <v>2800</v>
      </c>
      <c r="S26" s="32" t="n">
        <v>2800</v>
      </c>
      <c r="T26" s="32" t="n">
        <v>2800</v>
      </c>
      <c r="U26" s="32" t="n">
        <v>2800</v>
      </c>
      <c r="V26" s="32" t="n">
        <v>2800</v>
      </c>
      <c r="W26" s="32" t="n">
        <v>2800</v>
      </c>
      <c r="X26" s="32" t="n">
        <v>2800</v>
      </c>
      <c r="Y26" s="32" t="n">
        <v>2800</v>
      </c>
      <c r="Z26" s="13" t="str">
        <f aca="false">IFERROR(AVERAGEIF(D26:G26,"&lt;&gt;0"),"")</f>
        <v/>
      </c>
      <c r="AA26" s="13" t="n">
        <f aca="false">IFERROR(AVERAGEIF(H26:L26,"&lt;&gt;0"),"")</f>
        <v>2800</v>
      </c>
      <c r="AB26" s="13" t="n">
        <f aca="false">IFERROR(AVERAGEIF(M26:Q26,"&lt;&gt;0"),"")</f>
        <v>2800</v>
      </c>
      <c r="AC26" s="13" t="n">
        <f aca="false">IFERROR(AVERAGEIF(R26:V26,"&lt;&gt;0"),"")</f>
        <v>2800</v>
      </c>
      <c r="AD26" s="13" t="n">
        <f aca="false">IFERROR(AVERAGEIF(W26:Y26,"&lt;&gt;0"),"")</f>
        <v>2800</v>
      </c>
      <c r="AE26" s="13" t="n">
        <f aca="false">IFERROR(AVERAGEIF(D26:Y26,"&lt;&gt;0"),"")</f>
        <v>2800</v>
      </c>
    </row>
    <row r="27" customFormat="false" ht="15" hidden="false" customHeight="false" outlineLevel="0" collapsed="false">
      <c r="A27" s="3" t="n">
        <v>23</v>
      </c>
      <c r="B27" s="3" t="s">
        <v>424</v>
      </c>
      <c r="C27" s="3" t="s">
        <v>471</v>
      </c>
      <c r="D27" s="32" t="n">
        <v>0</v>
      </c>
      <c r="E27" s="32" t="n">
        <v>0</v>
      </c>
      <c r="F27" s="32" t="n">
        <v>0</v>
      </c>
      <c r="G27" s="32" t="n">
        <v>0</v>
      </c>
      <c r="H27" s="32" t="n">
        <v>0</v>
      </c>
      <c r="I27" s="32" t="n">
        <v>39000</v>
      </c>
      <c r="J27" s="32" t="n">
        <v>39000</v>
      </c>
      <c r="K27" s="32" t="n">
        <v>39000</v>
      </c>
      <c r="L27" s="32" t="n">
        <v>39000</v>
      </c>
      <c r="M27" s="32" t="n">
        <v>35000</v>
      </c>
      <c r="N27" s="32" t="n">
        <v>35000</v>
      </c>
      <c r="O27" s="32" t="n">
        <v>35000</v>
      </c>
      <c r="P27" s="32" t="n">
        <v>35000</v>
      </c>
      <c r="Q27" s="32" t="n">
        <v>0</v>
      </c>
      <c r="R27" s="32" t="n">
        <v>35000</v>
      </c>
      <c r="S27" s="32" t="n">
        <v>35000</v>
      </c>
      <c r="T27" s="32" t="n">
        <v>35000</v>
      </c>
      <c r="U27" s="32" t="n">
        <v>34000</v>
      </c>
      <c r="V27" s="32" t="n">
        <v>34000</v>
      </c>
      <c r="W27" s="32" t="n">
        <v>32000</v>
      </c>
      <c r="X27" s="32" t="n">
        <v>32000</v>
      </c>
      <c r="Y27" s="32" t="n">
        <v>32000</v>
      </c>
      <c r="Z27" s="13" t="str">
        <f aca="false">IFERROR(AVERAGEIF(D27:G27,"&lt;&gt;0"),"")</f>
        <v/>
      </c>
      <c r="AA27" s="13" t="n">
        <f aca="false">IFERROR(AVERAGEIF(H27:L27,"&lt;&gt;0"),"")</f>
        <v>39000</v>
      </c>
      <c r="AB27" s="13" t="n">
        <f aca="false">IFERROR(AVERAGEIF(M27:Q27,"&lt;&gt;0"),"")</f>
        <v>35000</v>
      </c>
      <c r="AC27" s="13" t="n">
        <f aca="false">IFERROR(AVERAGEIF(R27:V27,"&lt;&gt;0"),"")</f>
        <v>34600</v>
      </c>
      <c r="AD27" s="13" t="n">
        <f aca="false">IFERROR(AVERAGEIF(W27:Y27,"&lt;&gt;0"),"")</f>
        <v>32000</v>
      </c>
      <c r="AE27" s="13" t="n">
        <f aca="false">IFERROR(AVERAGEIF(D27:Y27,"&lt;&gt;0"),"")</f>
        <v>35312.5</v>
      </c>
    </row>
    <row r="28" customFormat="false" ht="15" hidden="false" customHeight="false" outlineLevel="0" collapsed="false">
      <c r="A28" s="3" t="n">
        <v>24</v>
      </c>
      <c r="B28" s="3" t="s">
        <v>425</v>
      </c>
      <c r="C28" s="3" t="s">
        <v>471</v>
      </c>
      <c r="D28" s="32" t="n">
        <v>0</v>
      </c>
      <c r="E28" s="32" t="n">
        <v>0</v>
      </c>
      <c r="F28" s="32" t="n">
        <v>0</v>
      </c>
      <c r="G28" s="32" t="n">
        <v>0</v>
      </c>
      <c r="H28" s="32" t="n">
        <v>0</v>
      </c>
      <c r="I28" s="32" t="n">
        <v>36000</v>
      </c>
      <c r="J28" s="32" t="n">
        <v>36000</v>
      </c>
      <c r="K28" s="32" t="n">
        <v>36000</v>
      </c>
      <c r="L28" s="32" t="n">
        <v>36000</v>
      </c>
      <c r="M28" s="32" t="n">
        <v>36000</v>
      </c>
      <c r="N28" s="32" t="n">
        <v>36000</v>
      </c>
      <c r="O28" s="32" t="n">
        <v>36000</v>
      </c>
      <c r="P28" s="32" t="n">
        <v>36000</v>
      </c>
      <c r="Q28" s="32" t="n">
        <v>0</v>
      </c>
      <c r="R28" s="32" t="n">
        <v>36000</v>
      </c>
      <c r="S28" s="32" t="n">
        <v>36000</v>
      </c>
      <c r="T28" s="32" t="n">
        <v>36000</v>
      </c>
      <c r="U28" s="32" t="n">
        <v>35000</v>
      </c>
      <c r="V28" s="32" t="n">
        <v>35000</v>
      </c>
      <c r="W28" s="32" t="n">
        <v>33000</v>
      </c>
      <c r="X28" s="32" t="n">
        <v>33000</v>
      </c>
      <c r="Y28" s="32" t="n">
        <v>33000</v>
      </c>
      <c r="Z28" s="13" t="str">
        <f aca="false">IFERROR(AVERAGEIF(D28:G28,"&lt;&gt;0"),"")</f>
        <v/>
      </c>
      <c r="AA28" s="13" t="n">
        <f aca="false">IFERROR(AVERAGEIF(H28:L28,"&lt;&gt;0"),"")</f>
        <v>36000</v>
      </c>
      <c r="AB28" s="13" t="n">
        <f aca="false">IFERROR(AVERAGEIF(M28:Q28,"&lt;&gt;0"),"")</f>
        <v>36000</v>
      </c>
      <c r="AC28" s="13" t="n">
        <f aca="false">IFERROR(AVERAGEIF(R28:V28,"&lt;&gt;0"),"")</f>
        <v>35600</v>
      </c>
      <c r="AD28" s="13" t="n">
        <f aca="false">IFERROR(AVERAGEIF(W28:Y28,"&lt;&gt;0"),"")</f>
        <v>33000</v>
      </c>
      <c r="AE28" s="13" t="n">
        <f aca="false">IFERROR(AVERAGEIF(D28:Y28,"&lt;&gt;0"),"")</f>
        <v>35312.5</v>
      </c>
    </row>
    <row r="29" customFormat="false" ht="15" hidden="false" customHeight="false" outlineLevel="0" collapsed="false">
      <c r="A29" s="3" t="n">
        <v>25</v>
      </c>
      <c r="B29" s="3" t="s">
        <v>475</v>
      </c>
      <c r="C29" s="3" t="s">
        <v>471</v>
      </c>
      <c r="D29" s="32" t="n">
        <v>0</v>
      </c>
      <c r="E29" s="32" t="n">
        <v>0</v>
      </c>
      <c r="F29" s="32" t="n">
        <v>0</v>
      </c>
      <c r="G29" s="32" t="n">
        <v>0</v>
      </c>
      <c r="H29" s="32" t="n">
        <v>0</v>
      </c>
      <c r="I29" s="32" t="n">
        <v>25000</v>
      </c>
      <c r="J29" s="32" t="n">
        <v>25000</v>
      </c>
      <c r="K29" s="32" t="n">
        <v>25000</v>
      </c>
      <c r="L29" s="32" t="n">
        <v>25000</v>
      </c>
      <c r="M29" s="32" t="n">
        <v>25000</v>
      </c>
      <c r="N29" s="32" t="n">
        <v>25000</v>
      </c>
      <c r="O29" s="32" t="n">
        <v>25000</v>
      </c>
      <c r="P29" s="32" t="n">
        <v>25000</v>
      </c>
      <c r="Q29" s="32" t="n">
        <v>0</v>
      </c>
      <c r="R29" s="32" t="n">
        <v>25000</v>
      </c>
      <c r="S29" s="32" t="n">
        <v>25000</v>
      </c>
      <c r="T29" s="32" t="n">
        <v>25000</v>
      </c>
      <c r="U29" s="32" t="n">
        <v>25000</v>
      </c>
      <c r="V29" s="32" t="n">
        <v>25000</v>
      </c>
      <c r="W29" s="32" t="n">
        <v>25000</v>
      </c>
      <c r="X29" s="32" t="n">
        <v>25000</v>
      </c>
      <c r="Y29" s="32" t="n">
        <v>25000</v>
      </c>
      <c r="Z29" s="13" t="str">
        <f aca="false">IFERROR(AVERAGEIF(D29:G29,"&lt;&gt;0"),"")</f>
        <v/>
      </c>
      <c r="AA29" s="13" t="n">
        <f aca="false">IFERROR(AVERAGEIF(H29:L29,"&lt;&gt;0"),"")</f>
        <v>25000</v>
      </c>
      <c r="AB29" s="13" t="n">
        <f aca="false">IFERROR(AVERAGEIF(M29:Q29,"&lt;&gt;0"),"")</f>
        <v>25000</v>
      </c>
      <c r="AC29" s="13" t="n">
        <f aca="false">IFERROR(AVERAGEIF(R29:V29,"&lt;&gt;0"),"")</f>
        <v>25000</v>
      </c>
      <c r="AD29" s="13" t="n">
        <f aca="false">IFERROR(AVERAGEIF(W29:Y29,"&lt;&gt;0"),"")</f>
        <v>25000</v>
      </c>
      <c r="AE29" s="13" t="n">
        <f aca="false">IFERROR(AVERAGEIF(D29:Y29,"&lt;&gt;0"),"")</f>
        <v>25000</v>
      </c>
    </row>
    <row r="30" customFormat="false" ht="15" hidden="false" customHeight="false" outlineLevel="0" collapsed="false">
      <c r="A30" s="3" t="n">
        <v>26</v>
      </c>
      <c r="B30" s="3" t="s">
        <v>476</v>
      </c>
      <c r="C30" s="3" t="s">
        <v>471</v>
      </c>
      <c r="D30" s="32" t="n">
        <v>0</v>
      </c>
      <c r="E30" s="32" t="n">
        <v>0</v>
      </c>
      <c r="F30" s="32" t="n">
        <v>0</v>
      </c>
      <c r="G30" s="32" t="n">
        <v>0</v>
      </c>
      <c r="H30" s="32" t="n">
        <v>0</v>
      </c>
      <c r="I30" s="32" t="n">
        <v>8000</v>
      </c>
      <c r="J30" s="32" t="n">
        <v>8000</v>
      </c>
      <c r="K30" s="32" t="n">
        <v>8000</v>
      </c>
      <c r="L30" s="32" t="n">
        <v>8000</v>
      </c>
      <c r="M30" s="32" t="n">
        <v>8000</v>
      </c>
      <c r="N30" s="32" t="n">
        <v>8000</v>
      </c>
      <c r="O30" s="32" t="n">
        <v>8000</v>
      </c>
      <c r="P30" s="32" t="n">
        <v>8000</v>
      </c>
      <c r="Q30" s="32" t="n">
        <v>0</v>
      </c>
      <c r="R30" s="32" t="n">
        <v>8000</v>
      </c>
      <c r="S30" s="32" t="n">
        <v>8000</v>
      </c>
      <c r="T30" s="32" t="n">
        <v>8000</v>
      </c>
      <c r="U30" s="32" t="n">
        <v>8000</v>
      </c>
      <c r="V30" s="32" t="n">
        <v>8000</v>
      </c>
      <c r="W30" s="32" t="n">
        <v>8000</v>
      </c>
      <c r="X30" s="32" t="n">
        <v>8000</v>
      </c>
      <c r="Y30" s="32" t="n">
        <v>8000</v>
      </c>
      <c r="Z30" s="13" t="str">
        <f aca="false">IFERROR(AVERAGEIF(D30:G30,"&lt;&gt;0"),"")</f>
        <v/>
      </c>
      <c r="AA30" s="13" t="n">
        <f aca="false">IFERROR(AVERAGEIF(H30:L30,"&lt;&gt;0"),"")</f>
        <v>8000</v>
      </c>
      <c r="AB30" s="13" t="n">
        <f aca="false">IFERROR(AVERAGEIF(M30:Q30,"&lt;&gt;0"),"")</f>
        <v>8000</v>
      </c>
      <c r="AC30" s="13" t="n">
        <f aca="false">IFERROR(AVERAGEIF(R30:V30,"&lt;&gt;0"),"")</f>
        <v>8000</v>
      </c>
      <c r="AD30" s="13" t="n">
        <f aca="false">IFERROR(AVERAGEIF(W30:Y30,"&lt;&gt;0"),"")</f>
        <v>8000</v>
      </c>
      <c r="AE30" s="13" t="n">
        <f aca="false">IFERROR(AVERAGEIF(D30:Y30,"&lt;&gt;0"),"")</f>
        <v>8000</v>
      </c>
    </row>
    <row r="31" customFormat="false" ht="15" hidden="false" customHeight="false" outlineLevel="0" collapsed="false">
      <c r="A31" s="3" t="n">
        <v>27</v>
      </c>
      <c r="B31" s="3" t="s">
        <v>427</v>
      </c>
      <c r="C31" s="3" t="s">
        <v>471</v>
      </c>
      <c r="D31" s="32" t="n">
        <v>0</v>
      </c>
      <c r="E31" s="32" t="n">
        <v>0</v>
      </c>
      <c r="F31" s="32" t="n">
        <v>0</v>
      </c>
      <c r="G31" s="32" t="n">
        <v>0</v>
      </c>
      <c r="H31" s="32" t="n">
        <v>0</v>
      </c>
      <c r="I31" s="32" t="n">
        <v>10500</v>
      </c>
      <c r="J31" s="32" t="n">
        <v>10500</v>
      </c>
      <c r="K31" s="32" t="n">
        <v>10500</v>
      </c>
      <c r="L31" s="32" t="n">
        <v>10500</v>
      </c>
      <c r="M31" s="32" t="n">
        <v>10500</v>
      </c>
      <c r="N31" s="32" t="n">
        <v>10500</v>
      </c>
      <c r="O31" s="32" t="n">
        <v>10500</v>
      </c>
      <c r="P31" s="32" t="n">
        <v>10500</v>
      </c>
      <c r="Q31" s="32" t="n">
        <v>0</v>
      </c>
      <c r="R31" s="32" t="n">
        <v>10500</v>
      </c>
      <c r="S31" s="32" t="n">
        <v>10500</v>
      </c>
      <c r="T31" s="32" t="n">
        <v>10500</v>
      </c>
      <c r="U31" s="32" t="n">
        <v>10500</v>
      </c>
      <c r="V31" s="32" t="n">
        <v>10500</v>
      </c>
      <c r="W31" s="32" t="n">
        <v>10500</v>
      </c>
      <c r="X31" s="32" t="n">
        <v>10500</v>
      </c>
      <c r="Y31" s="32" t="n">
        <v>10500</v>
      </c>
      <c r="Z31" s="13" t="str">
        <f aca="false">IFERROR(AVERAGEIF(D31:G31,"&lt;&gt;0"),"")</f>
        <v/>
      </c>
      <c r="AA31" s="13" t="n">
        <f aca="false">IFERROR(AVERAGEIF(H31:L31,"&lt;&gt;0"),"")</f>
        <v>10500</v>
      </c>
      <c r="AB31" s="13" t="n">
        <f aca="false">IFERROR(AVERAGEIF(M31:Q31,"&lt;&gt;0"),"")</f>
        <v>10500</v>
      </c>
      <c r="AC31" s="13" t="n">
        <f aca="false">IFERROR(AVERAGEIF(R31:V31,"&lt;&gt;0"),"")</f>
        <v>10500</v>
      </c>
      <c r="AD31" s="13" t="n">
        <f aca="false">IFERROR(AVERAGEIF(W31:Y31,"&lt;&gt;0"),"")</f>
        <v>10500</v>
      </c>
      <c r="AE31" s="13" t="n">
        <f aca="false">IFERROR(AVERAGEIF(D31:Y31,"&lt;&gt;0"),"")</f>
        <v>10500</v>
      </c>
    </row>
    <row r="32" customFormat="false" ht="15" hidden="false" customHeight="false" outlineLevel="0" collapsed="false">
      <c r="A32" s="3" t="n">
        <v>28</v>
      </c>
      <c r="B32" s="3" t="s">
        <v>422</v>
      </c>
      <c r="C32" s="3" t="s">
        <v>471</v>
      </c>
      <c r="D32" s="32" t="n">
        <v>0</v>
      </c>
      <c r="E32" s="32" t="n">
        <v>0</v>
      </c>
      <c r="F32" s="32" t="n">
        <v>0</v>
      </c>
      <c r="G32" s="32" t="n">
        <v>0</v>
      </c>
      <c r="H32" s="32" t="n">
        <v>0</v>
      </c>
      <c r="I32" s="32" t="n">
        <v>42000</v>
      </c>
      <c r="J32" s="32" t="n">
        <v>42000</v>
      </c>
      <c r="K32" s="32" t="n">
        <v>42000</v>
      </c>
      <c r="L32" s="32" t="n">
        <v>42000</v>
      </c>
      <c r="M32" s="32" t="n">
        <v>42000</v>
      </c>
      <c r="N32" s="32" t="n">
        <v>42000</v>
      </c>
      <c r="O32" s="32" t="n">
        <v>42000</v>
      </c>
      <c r="P32" s="32" t="n">
        <v>42000</v>
      </c>
      <c r="Q32" s="32" t="n">
        <v>0</v>
      </c>
      <c r="R32" s="32" t="n">
        <v>42000</v>
      </c>
      <c r="S32" s="32" t="n">
        <v>42000</v>
      </c>
      <c r="T32" s="32" t="n">
        <v>42000</v>
      </c>
      <c r="U32" s="32" t="n">
        <v>42000</v>
      </c>
      <c r="V32" s="32" t="n">
        <v>42000</v>
      </c>
      <c r="W32" s="32" t="n">
        <v>42000</v>
      </c>
      <c r="X32" s="32" t="n">
        <v>42000</v>
      </c>
      <c r="Y32" s="32" t="n">
        <v>42000</v>
      </c>
      <c r="Z32" s="13" t="str">
        <f aca="false">IFERROR(AVERAGEIF(D32:G32,"&lt;&gt;0"),"")</f>
        <v/>
      </c>
      <c r="AA32" s="13" t="n">
        <f aca="false">IFERROR(AVERAGEIF(H32:L32,"&lt;&gt;0"),"")</f>
        <v>42000</v>
      </c>
      <c r="AB32" s="13" t="n">
        <f aca="false">IFERROR(AVERAGEIF(M32:Q32,"&lt;&gt;0"),"")</f>
        <v>42000</v>
      </c>
      <c r="AC32" s="13" t="n">
        <f aca="false">IFERROR(AVERAGEIF(R32:V32,"&lt;&gt;0"),"")</f>
        <v>42000</v>
      </c>
      <c r="AD32" s="13" t="n">
        <f aca="false">IFERROR(AVERAGEIF(W32:Y32,"&lt;&gt;0"),"")</f>
        <v>42000</v>
      </c>
      <c r="AE32" s="13" t="n">
        <f aca="false">IFERROR(AVERAGEIF(D32:Y32,"&lt;&gt;0"),"")</f>
        <v>42000</v>
      </c>
    </row>
    <row r="33" customFormat="false" ht="15" hidden="false" customHeight="false" outlineLevel="0" collapsed="false">
      <c r="A33" s="3" t="n">
        <v>29</v>
      </c>
      <c r="B33" s="3" t="s">
        <v>433</v>
      </c>
      <c r="C33" s="3" t="s">
        <v>471</v>
      </c>
      <c r="D33" s="32" t="n">
        <v>0</v>
      </c>
      <c r="E33" s="32" t="n">
        <v>0</v>
      </c>
      <c r="F33" s="32" t="n">
        <v>0</v>
      </c>
      <c r="G33" s="32" t="n">
        <v>0</v>
      </c>
      <c r="H33" s="32" t="n">
        <v>0</v>
      </c>
      <c r="I33" s="32" t="n">
        <v>9000</v>
      </c>
      <c r="J33" s="32" t="n">
        <v>9000</v>
      </c>
      <c r="K33" s="32" t="n">
        <v>9000</v>
      </c>
      <c r="L33" s="32" t="n">
        <v>9000</v>
      </c>
      <c r="M33" s="32" t="n">
        <v>9000</v>
      </c>
      <c r="N33" s="32" t="n">
        <v>9000</v>
      </c>
      <c r="O33" s="32" t="n">
        <v>9000</v>
      </c>
      <c r="P33" s="32" t="n">
        <v>9000</v>
      </c>
      <c r="Q33" s="32" t="n">
        <v>0</v>
      </c>
      <c r="R33" s="32" t="n">
        <v>9000</v>
      </c>
      <c r="S33" s="32" t="n">
        <v>9000</v>
      </c>
      <c r="T33" s="32" t="n">
        <v>9000</v>
      </c>
      <c r="U33" s="32" t="n">
        <v>9000</v>
      </c>
      <c r="V33" s="32" t="n">
        <v>9000</v>
      </c>
      <c r="W33" s="32" t="n">
        <v>9000</v>
      </c>
      <c r="X33" s="32" t="n">
        <v>9000</v>
      </c>
      <c r="Y33" s="32" t="n">
        <v>9000</v>
      </c>
      <c r="Z33" s="13" t="str">
        <f aca="false">IFERROR(AVERAGEIF(D33:G33,"&lt;&gt;0"),"")</f>
        <v/>
      </c>
      <c r="AA33" s="13" t="n">
        <f aca="false">IFERROR(AVERAGEIF(H33:L33,"&lt;&gt;0"),"")</f>
        <v>9000</v>
      </c>
      <c r="AB33" s="13" t="n">
        <f aca="false">IFERROR(AVERAGEIF(M33:Q33,"&lt;&gt;0"),"")</f>
        <v>9000</v>
      </c>
      <c r="AC33" s="13" t="n">
        <f aca="false">IFERROR(AVERAGEIF(R33:V33,"&lt;&gt;0"),"")</f>
        <v>9000</v>
      </c>
      <c r="AD33" s="13" t="n">
        <f aca="false">IFERROR(AVERAGEIF(W33:Y33,"&lt;&gt;0"),"")</f>
        <v>9000</v>
      </c>
      <c r="AE33" s="13" t="n">
        <f aca="false">IFERROR(AVERAGEIF(D33:Y33,"&lt;&gt;0"),"")</f>
        <v>9000</v>
      </c>
    </row>
    <row r="34" customFormat="false" ht="15" hidden="false" customHeight="false" outlineLevel="0" collapsed="false">
      <c r="A34" s="3" t="n">
        <v>30</v>
      </c>
      <c r="B34" s="3" t="s">
        <v>411</v>
      </c>
      <c r="C34" s="3" t="s">
        <v>471</v>
      </c>
      <c r="D34" s="32" t="n">
        <v>0</v>
      </c>
      <c r="E34" s="32" t="n">
        <v>0</v>
      </c>
      <c r="F34" s="32" t="n">
        <v>0</v>
      </c>
      <c r="G34" s="32" t="n">
        <v>0</v>
      </c>
      <c r="H34" s="32" t="n">
        <v>0</v>
      </c>
      <c r="I34" s="32" t="n">
        <v>4750</v>
      </c>
      <c r="J34" s="32" t="n">
        <v>4750</v>
      </c>
      <c r="K34" s="32" t="n">
        <v>4750</v>
      </c>
      <c r="L34" s="32" t="n">
        <v>4750</v>
      </c>
      <c r="M34" s="32" t="n">
        <v>4750</v>
      </c>
      <c r="N34" s="32" t="n">
        <v>4750</v>
      </c>
      <c r="O34" s="32" t="n">
        <v>4750</v>
      </c>
      <c r="P34" s="32" t="n">
        <v>4750</v>
      </c>
      <c r="Q34" s="32" t="n">
        <v>0</v>
      </c>
      <c r="R34" s="32" t="n">
        <v>4750</v>
      </c>
      <c r="S34" s="32" t="n">
        <v>4750</v>
      </c>
      <c r="T34" s="32" t="n">
        <v>4750</v>
      </c>
      <c r="U34" s="32" t="n">
        <v>4750</v>
      </c>
      <c r="V34" s="32" t="n">
        <v>4750</v>
      </c>
      <c r="W34" s="32" t="n">
        <v>4750</v>
      </c>
      <c r="X34" s="32" t="n">
        <v>4750</v>
      </c>
      <c r="Y34" s="32" t="n">
        <v>4750</v>
      </c>
      <c r="Z34" s="13" t="str">
        <f aca="false">IFERROR(AVERAGEIF(D34:G34,"&lt;&gt;0"),"")</f>
        <v/>
      </c>
      <c r="AA34" s="13" t="n">
        <f aca="false">IFERROR(AVERAGEIF(H34:L34,"&lt;&gt;0"),"")</f>
        <v>4750</v>
      </c>
      <c r="AB34" s="13" t="n">
        <f aca="false">IFERROR(AVERAGEIF(M34:Q34,"&lt;&gt;0"),"")</f>
        <v>4750</v>
      </c>
      <c r="AC34" s="13" t="n">
        <f aca="false">IFERROR(AVERAGEIF(R34:V34,"&lt;&gt;0"),"")</f>
        <v>4750</v>
      </c>
      <c r="AD34" s="13" t="n">
        <f aca="false">IFERROR(AVERAGEIF(W34:Y34,"&lt;&gt;0"),"")</f>
        <v>4750</v>
      </c>
      <c r="AE34" s="13" t="n">
        <f aca="false">IFERROR(AVERAGEIF(D34:Y34,"&lt;&gt;0"),"")</f>
        <v>4750</v>
      </c>
    </row>
    <row r="35" customFormat="false" ht="15" hidden="false" customHeight="false" outlineLevel="0" collapsed="false">
      <c r="A35" s="3" t="n">
        <v>31</v>
      </c>
      <c r="B35" s="3" t="s">
        <v>416</v>
      </c>
      <c r="C35" s="3" t="s">
        <v>471</v>
      </c>
      <c r="D35" s="32" t="n">
        <v>0</v>
      </c>
      <c r="E35" s="32" t="n">
        <v>0</v>
      </c>
      <c r="F35" s="32" t="n">
        <v>0</v>
      </c>
      <c r="G35" s="32" t="n">
        <v>0</v>
      </c>
      <c r="H35" s="32" t="n">
        <v>0</v>
      </c>
      <c r="I35" s="32" t="n">
        <v>65000</v>
      </c>
      <c r="J35" s="32" t="n">
        <v>65000</v>
      </c>
      <c r="K35" s="32" t="n">
        <v>65000</v>
      </c>
      <c r="L35" s="32" t="n">
        <v>65000</v>
      </c>
      <c r="M35" s="32" t="n">
        <v>60000</v>
      </c>
      <c r="N35" s="32" t="n">
        <v>60000</v>
      </c>
      <c r="O35" s="32" t="n">
        <v>60000</v>
      </c>
      <c r="P35" s="32" t="n">
        <v>60000</v>
      </c>
      <c r="Q35" s="32" t="n">
        <v>0</v>
      </c>
      <c r="R35" s="32" t="n">
        <v>60000</v>
      </c>
      <c r="S35" s="32" t="n">
        <v>60000</v>
      </c>
      <c r="T35" s="32" t="n">
        <v>60000</v>
      </c>
      <c r="U35" s="32" t="n">
        <v>60000</v>
      </c>
      <c r="V35" s="32" t="n">
        <v>60000</v>
      </c>
      <c r="W35" s="32" t="n">
        <v>60000</v>
      </c>
      <c r="X35" s="32" t="n">
        <v>60000</v>
      </c>
      <c r="Y35" s="32" t="n">
        <v>60000</v>
      </c>
      <c r="Z35" s="13" t="str">
        <f aca="false">IFERROR(AVERAGEIF(D35:G35,"&lt;&gt;0"),"")</f>
        <v/>
      </c>
      <c r="AA35" s="13" t="n">
        <f aca="false">IFERROR(AVERAGEIF(H35:L35,"&lt;&gt;0"),"")</f>
        <v>65000</v>
      </c>
      <c r="AB35" s="13" t="n">
        <f aca="false">IFERROR(AVERAGEIF(M35:Q35,"&lt;&gt;0"),"")</f>
        <v>60000</v>
      </c>
      <c r="AC35" s="13" t="n">
        <f aca="false">IFERROR(AVERAGEIF(R35:V35,"&lt;&gt;0"),"")</f>
        <v>60000</v>
      </c>
      <c r="AD35" s="13" t="n">
        <f aca="false">IFERROR(AVERAGEIF(W35:Y35,"&lt;&gt;0"),"")</f>
        <v>60000</v>
      </c>
      <c r="AE35" s="13" t="n">
        <f aca="false">IFERROR(AVERAGEIF(D35:Y35,"&lt;&gt;0"),"")</f>
        <v>61250</v>
      </c>
    </row>
    <row r="36" customFormat="false" ht="15" hidden="false" customHeight="false" outlineLevel="0" collapsed="false">
      <c r="A36" s="3" t="n">
        <v>32</v>
      </c>
      <c r="B36" s="3" t="s">
        <v>417</v>
      </c>
      <c r="C36" s="3" t="s">
        <v>471</v>
      </c>
      <c r="D36" s="32" t="n">
        <v>0</v>
      </c>
      <c r="E36" s="32" t="n">
        <v>0</v>
      </c>
      <c r="F36" s="32" t="n">
        <v>0</v>
      </c>
      <c r="G36" s="32" t="n">
        <v>0</v>
      </c>
      <c r="H36" s="32" t="n">
        <v>0</v>
      </c>
      <c r="I36" s="32" t="n">
        <v>13000</v>
      </c>
      <c r="J36" s="32" t="n">
        <v>13000</v>
      </c>
      <c r="K36" s="32" t="n">
        <v>13000</v>
      </c>
      <c r="L36" s="32" t="n">
        <v>13000</v>
      </c>
      <c r="M36" s="32" t="n">
        <v>13000</v>
      </c>
      <c r="N36" s="32" t="n">
        <v>13000</v>
      </c>
      <c r="O36" s="32" t="n">
        <v>13000</v>
      </c>
      <c r="P36" s="32" t="n">
        <v>13000</v>
      </c>
      <c r="Q36" s="32" t="n">
        <v>0</v>
      </c>
      <c r="R36" s="32" t="n">
        <v>13000</v>
      </c>
      <c r="S36" s="32" t="n">
        <v>13000</v>
      </c>
      <c r="T36" s="32" t="n">
        <v>13000</v>
      </c>
      <c r="U36" s="32" t="n">
        <v>12000</v>
      </c>
      <c r="V36" s="32" t="n">
        <v>12000</v>
      </c>
      <c r="W36" s="32" t="n">
        <v>12000</v>
      </c>
      <c r="X36" s="32" t="n">
        <v>12000</v>
      </c>
      <c r="Y36" s="32" t="n">
        <v>12000</v>
      </c>
      <c r="Z36" s="13" t="str">
        <f aca="false">IFERROR(AVERAGEIF(D36:G36,"&lt;&gt;0"),"")</f>
        <v/>
      </c>
      <c r="AA36" s="13" t="n">
        <f aca="false">IFERROR(AVERAGEIF(H36:L36,"&lt;&gt;0"),"")</f>
        <v>13000</v>
      </c>
      <c r="AB36" s="13" t="n">
        <f aca="false">IFERROR(AVERAGEIF(M36:Q36,"&lt;&gt;0"),"")</f>
        <v>13000</v>
      </c>
      <c r="AC36" s="13" t="n">
        <f aca="false">IFERROR(AVERAGEIF(R36:V36,"&lt;&gt;0"),"")</f>
        <v>12600</v>
      </c>
      <c r="AD36" s="13" t="n">
        <f aca="false">IFERROR(AVERAGEIF(W36:Y36,"&lt;&gt;0"),"")</f>
        <v>12000</v>
      </c>
      <c r="AE36" s="13" t="n">
        <f aca="false">IFERROR(AVERAGEIF(D36:Y36,"&lt;&gt;0"),"")</f>
        <v>12687.5</v>
      </c>
    </row>
    <row r="37" customFormat="false" ht="15" hidden="false" customHeight="false" outlineLevel="0" collapsed="false">
      <c r="A37" s="3" t="n">
        <v>33</v>
      </c>
      <c r="B37" s="3" t="s">
        <v>434</v>
      </c>
      <c r="C37" s="3" t="s">
        <v>471</v>
      </c>
      <c r="D37" s="32" t="n">
        <v>0</v>
      </c>
      <c r="E37" s="32" t="n">
        <v>0</v>
      </c>
      <c r="F37" s="32" t="n">
        <v>0</v>
      </c>
      <c r="G37" s="32" t="n">
        <v>0</v>
      </c>
      <c r="H37" s="32" t="n">
        <v>0</v>
      </c>
      <c r="I37" s="32" t="n">
        <v>9000</v>
      </c>
      <c r="J37" s="32" t="n">
        <v>9000</v>
      </c>
      <c r="K37" s="32" t="n">
        <v>9000</v>
      </c>
      <c r="L37" s="32" t="n">
        <v>9000</v>
      </c>
      <c r="M37" s="32" t="n">
        <v>9000</v>
      </c>
      <c r="N37" s="32" t="n">
        <v>9000</v>
      </c>
      <c r="O37" s="32" t="n">
        <v>9000</v>
      </c>
      <c r="P37" s="32" t="n">
        <v>9000</v>
      </c>
      <c r="Q37" s="32" t="n">
        <v>0</v>
      </c>
      <c r="R37" s="32" t="n">
        <v>9000</v>
      </c>
      <c r="S37" s="32" t="n">
        <v>9000</v>
      </c>
      <c r="T37" s="32" t="n">
        <v>9000</v>
      </c>
      <c r="U37" s="32" t="n">
        <v>9000</v>
      </c>
      <c r="V37" s="32" t="n">
        <v>9000</v>
      </c>
      <c r="W37" s="32" t="n">
        <v>9000</v>
      </c>
      <c r="X37" s="32" t="n">
        <v>9000</v>
      </c>
      <c r="Y37" s="32" t="n">
        <v>9000</v>
      </c>
      <c r="Z37" s="13" t="str">
        <f aca="false">IFERROR(AVERAGEIF(D37:G37,"&lt;&gt;0"),"")</f>
        <v/>
      </c>
      <c r="AA37" s="13" t="n">
        <f aca="false">IFERROR(AVERAGEIF(H37:L37,"&lt;&gt;0"),"")</f>
        <v>9000</v>
      </c>
      <c r="AB37" s="13" t="n">
        <f aca="false">IFERROR(AVERAGEIF(M37:Q37,"&lt;&gt;0"),"")</f>
        <v>9000</v>
      </c>
      <c r="AC37" s="13" t="n">
        <f aca="false">IFERROR(AVERAGEIF(R37:V37,"&lt;&gt;0"),"")</f>
        <v>9000</v>
      </c>
      <c r="AD37" s="13" t="n">
        <f aca="false">IFERROR(AVERAGEIF(W37:Y37,"&lt;&gt;0"),"")</f>
        <v>9000</v>
      </c>
      <c r="AE37" s="13" t="n">
        <f aca="false">IFERROR(AVERAGEIF(D37:Y37,"&lt;&gt;0"),"")</f>
        <v>9000</v>
      </c>
    </row>
    <row r="38" customFormat="false" ht="15" hidden="false" customHeight="false" outlineLevel="0" collapsed="false">
      <c r="A38" s="3" t="n">
        <v>34</v>
      </c>
      <c r="B38" s="3" t="s">
        <v>477</v>
      </c>
      <c r="C38" s="3" t="s">
        <v>471</v>
      </c>
      <c r="D38" s="32" t="n">
        <v>0</v>
      </c>
      <c r="E38" s="32" t="n">
        <v>0</v>
      </c>
      <c r="F38" s="32" t="n">
        <v>0</v>
      </c>
      <c r="G38" s="32" t="n">
        <v>0</v>
      </c>
      <c r="H38" s="32" t="n">
        <v>0</v>
      </c>
      <c r="I38" s="32" t="n">
        <v>6000</v>
      </c>
      <c r="J38" s="32" t="n">
        <v>6000</v>
      </c>
      <c r="K38" s="32" t="n">
        <v>6000</v>
      </c>
      <c r="L38" s="32" t="n">
        <v>6000</v>
      </c>
      <c r="M38" s="32" t="n">
        <v>6000</v>
      </c>
      <c r="N38" s="32" t="n">
        <v>6000</v>
      </c>
      <c r="O38" s="32" t="n">
        <v>6000</v>
      </c>
      <c r="P38" s="32" t="n">
        <v>6000</v>
      </c>
      <c r="Q38" s="32" t="n">
        <v>0</v>
      </c>
      <c r="R38" s="32" t="n">
        <v>6000</v>
      </c>
      <c r="S38" s="32" t="n">
        <v>6000</v>
      </c>
      <c r="T38" s="32" t="n">
        <v>6000</v>
      </c>
      <c r="U38" s="32" t="n">
        <v>6000</v>
      </c>
      <c r="V38" s="32" t="n">
        <v>6000</v>
      </c>
      <c r="W38" s="32" t="n">
        <v>6000</v>
      </c>
      <c r="X38" s="32" t="n">
        <v>6000</v>
      </c>
      <c r="Y38" s="32" t="n">
        <v>6000</v>
      </c>
      <c r="Z38" s="13" t="str">
        <f aca="false">IFERROR(AVERAGEIF(D38:G38,"&lt;&gt;0"),"")</f>
        <v/>
      </c>
      <c r="AA38" s="13" t="n">
        <f aca="false">IFERROR(AVERAGEIF(H38:L38,"&lt;&gt;0"),"")</f>
        <v>6000</v>
      </c>
      <c r="AB38" s="13" t="n">
        <f aca="false">IFERROR(AVERAGEIF(M38:Q38,"&lt;&gt;0"),"")</f>
        <v>6000</v>
      </c>
      <c r="AC38" s="13" t="n">
        <f aca="false">IFERROR(AVERAGEIF(R38:V38,"&lt;&gt;0"),"")</f>
        <v>6000</v>
      </c>
      <c r="AD38" s="13" t="n">
        <f aca="false">IFERROR(AVERAGEIF(W38:Y38,"&lt;&gt;0"),"")</f>
        <v>6000</v>
      </c>
      <c r="AE38" s="13" t="n">
        <f aca="false">IFERROR(AVERAGEIF(D38:Y38,"&lt;&gt;0"),"")</f>
        <v>6000</v>
      </c>
    </row>
    <row r="39" customFormat="false" ht="15" hidden="false" customHeight="false" outlineLevel="0" collapsed="false">
      <c r="A39" s="3" t="n">
        <v>35</v>
      </c>
      <c r="B39" s="3" t="s">
        <v>478</v>
      </c>
      <c r="C39" s="3" t="s">
        <v>471</v>
      </c>
      <c r="D39" s="32" t="n">
        <v>0</v>
      </c>
      <c r="E39" s="32" t="n">
        <v>0</v>
      </c>
      <c r="F39" s="32" t="n">
        <v>0</v>
      </c>
      <c r="G39" s="32" t="n">
        <v>0</v>
      </c>
      <c r="H39" s="32" t="n">
        <v>0</v>
      </c>
      <c r="I39" s="32" t="n">
        <v>15000</v>
      </c>
      <c r="J39" s="32" t="n">
        <v>15000</v>
      </c>
      <c r="K39" s="32" t="n">
        <v>15000</v>
      </c>
      <c r="L39" s="32" t="n">
        <v>15000</v>
      </c>
      <c r="M39" s="32" t="n">
        <v>13000</v>
      </c>
      <c r="N39" s="32" t="n">
        <v>13000</v>
      </c>
      <c r="O39" s="32" t="n">
        <v>13000</v>
      </c>
      <c r="P39" s="32" t="n">
        <v>13000</v>
      </c>
      <c r="Q39" s="32" t="n">
        <v>0</v>
      </c>
      <c r="R39" s="32" t="n">
        <v>13000</v>
      </c>
      <c r="S39" s="32" t="n">
        <v>13000</v>
      </c>
      <c r="T39" s="32" t="n">
        <v>13000</v>
      </c>
      <c r="U39" s="32" t="n">
        <v>13000</v>
      </c>
      <c r="V39" s="32" t="n">
        <v>13000</v>
      </c>
      <c r="W39" s="32" t="n">
        <v>13000</v>
      </c>
      <c r="X39" s="32" t="n">
        <v>13000</v>
      </c>
      <c r="Y39" s="32" t="n">
        <v>13000</v>
      </c>
      <c r="Z39" s="13" t="str">
        <f aca="false">IFERROR(AVERAGEIF(D39:G39,"&lt;&gt;0"),"")</f>
        <v/>
      </c>
      <c r="AA39" s="13" t="n">
        <f aca="false">IFERROR(AVERAGEIF(H39:L39,"&lt;&gt;0"),"")</f>
        <v>15000</v>
      </c>
      <c r="AB39" s="13" t="n">
        <f aca="false">IFERROR(AVERAGEIF(M39:Q39,"&lt;&gt;0"),"")</f>
        <v>13000</v>
      </c>
      <c r="AC39" s="13" t="n">
        <f aca="false">IFERROR(AVERAGEIF(R39:V39,"&lt;&gt;0"),"")</f>
        <v>13000</v>
      </c>
      <c r="AD39" s="13" t="n">
        <f aca="false">IFERROR(AVERAGEIF(W39:Y39,"&lt;&gt;0"),"")</f>
        <v>13000</v>
      </c>
      <c r="AE39" s="13" t="n">
        <f aca="false">IFERROR(AVERAGEIF(D39:Y39,"&lt;&gt;0"),"")</f>
        <v>13500</v>
      </c>
    </row>
    <row r="40" customFormat="false" ht="15" hidden="false" customHeight="false" outlineLevel="0" collapsed="false">
      <c r="A40" s="3" t="n">
        <v>36</v>
      </c>
      <c r="B40" s="3" t="s">
        <v>479</v>
      </c>
      <c r="C40" s="3" t="s">
        <v>471</v>
      </c>
      <c r="D40" s="32" t="n">
        <v>0</v>
      </c>
      <c r="E40" s="32" t="n">
        <v>0</v>
      </c>
      <c r="F40" s="32" t="n">
        <v>0</v>
      </c>
      <c r="G40" s="32" t="n">
        <v>0</v>
      </c>
      <c r="H40" s="32" t="n">
        <v>0</v>
      </c>
      <c r="I40" s="32" t="n">
        <v>4000</v>
      </c>
      <c r="J40" s="32" t="n">
        <v>4000</v>
      </c>
      <c r="K40" s="32" t="n">
        <v>4000</v>
      </c>
      <c r="L40" s="32" t="n">
        <v>4000</v>
      </c>
      <c r="M40" s="32" t="n">
        <v>4000</v>
      </c>
      <c r="N40" s="32" t="n">
        <v>4000</v>
      </c>
      <c r="O40" s="32" t="n">
        <v>4000</v>
      </c>
      <c r="P40" s="32" t="n">
        <v>4000</v>
      </c>
      <c r="Q40" s="32" t="n">
        <v>0</v>
      </c>
      <c r="R40" s="32" t="n">
        <v>4000</v>
      </c>
      <c r="S40" s="32" t="n">
        <v>4000</v>
      </c>
      <c r="T40" s="32" t="n">
        <v>4000</v>
      </c>
      <c r="U40" s="32" t="n">
        <v>4000</v>
      </c>
      <c r="V40" s="32" t="n">
        <v>4000</v>
      </c>
      <c r="W40" s="32" t="n">
        <v>4000</v>
      </c>
      <c r="X40" s="32" t="n">
        <v>4000</v>
      </c>
      <c r="Y40" s="32" t="n">
        <v>4000</v>
      </c>
      <c r="Z40" s="13" t="str">
        <f aca="false">IFERROR(AVERAGEIF(D40:G40,"&lt;&gt;0"),"")</f>
        <v/>
      </c>
      <c r="AA40" s="13" t="n">
        <f aca="false">IFERROR(AVERAGEIF(H40:L40,"&lt;&gt;0"),"")</f>
        <v>4000</v>
      </c>
      <c r="AB40" s="13" t="n">
        <f aca="false">IFERROR(AVERAGEIF(M40:Q40,"&lt;&gt;0"),"")</f>
        <v>4000</v>
      </c>
      <c r="AC40" s="13" t="n">
        <f aca="false">IFERROR(AVERAGEIF(R40:V40,"&lt;&gt;0"),"")</f>
        <v>4000</v>
      </c>
      <c r="AD40" s="13" t="n">
        <f aca="false">IFERROR(AVERAGEIF(W40:Y40,"&lt;&gt;0"),"")</f>
        <v>4000</v>
      </c>
      <c r="AE40" s="13" t="n">
        <f aca="false">IFERROR(AVERAGEIF(D40:Y40,"&lt;&gt;0"),"")</f>
        <v>4000</v>
      </c>
    </row>
    <row r="41" customFormat="false" ht="15" hidden="false" customHeight="false" outlineLevel="0" collapsed="false">
      <c r="A41" s="3" t="n">
        <v>37</v>
      </c>
      <c r="B41" s="3" t="s">
        <v>480</v>
      </c>
      <c r="C41" s="3" t="s">
        <v>471</v>
      </c>
      <c r="D41" s="32" t="n">
        <v>0</v>
      </c>
      <c r="E41" s="32" t="n">
        <v>0</v>
      </c>
      <c r="F41" s="32" t="n">
        <v>0</v>
      </c>
      <c r="G41" s="32" t="n">
        <v>0</v>
      </c>
      <c r="H41" s="32" t="n">
        <v>0</v>
      </c>
      <c r="I41" s="32" t="n">
        <v>2000</v>
      </c>
      <c r="J41" s="32" t="n">
        <v>2000</v>
      </c>
      <c r="K41" s="32" t="n">
        <v>2000</v>
      </c>
      <c r="L41" s="32" t="n">
        <v>2000</v>
      </c>
      <c r="M41" s="32" t="n">
        <v>2000</v>
      </c>
      <c r="N41" s="32" t="n">
        <v>2000</v>
      </c>
      <c r="O41" s="32" t="n">
        <v>2000</v>
      </c>
      <c r="P41" s="32" t="n">
        <v>2000</v>
      </c>
      <c r="Q41" s="32" t="n">
        <v>0</v>
      </c>
      <c r="R41" s="32" t="n">
        <v>2000</v>
      </c>
      <c r="S41" s="32" t="n">
        <v>2000</v>
      </c>
      <c r="T41" s="32" t="n">
        <v>2000</v>
      </c>
      <c r="U41" s="32" t="n">
        <v>2000</v>
      </c>
      <c r="V41" s="32" t="n">
        <v>2000</v>
      </c>
      <c r="W41" s="32" t="n">
        <v>2000</v>
      </c>
      <c r="X41" s="32" t="n">
        <v>2000</v>
      </c>
      <c r="Y41" s="32" t="n">
        <v>2000</v>
      </c>
      <c r="Z41" s="13" t="str">
        <f aca="false">IFERROR(AVERAGEIF(D41:G41,"&lt;&gt;0"),"")</f>
        <v/>
      </c>
      <c r="AA41" s="13" t="n">
        <f aca="false">IFERROR(AVERAGEIF(H41:L41,"&lt;&gt;0"),"")</f>
        <v>2000</v>
      </c>
      <c r="AB41" s="13" t="n">
        <f aca="false">IFERROR(AVERAGEIF(M41:Q41,"&lt;&gt;0"),"")</f>
        <v>2000</v>
      </c>
      <c r="AC41" s="13" t="n">
        <f aca="false">IFERROR(AVERAGEIF(R41:V41,"&lt;&gt;0"),"")</f>
        <v>2000</v>
      </c>
      <c r="AD41" s="13" t="n">
        <f aca="false">IFERROR(AVERAGEIF(W41:Y41,"&lt;&gt;0"),"")</f>
        <v>2000</v>
      </c>
      <c r="AE41" s="13" t="n">
        <f aca="false">IFERROR(AVERAGEIF(D41:Y41,"&lt;&gt;0"),"")</f>
        <v>2000</v>
      </c>
    </row>
    <row r="42" customFormat="false" ht="15" hidden="false" customHeight="false" outlineLevel="0" collapsed="false">
      <c r="A42" s="3" t="n">
        <v>38</v>
      </c>
      <c r="B42" s="3" t="s">
        <v>481</v>
      </c>
      <c r="C42" s="3" t="s">
        <v>471</v>
      </c>
      <c r="D42" s="32" t="n">
        <v>0</v>
      </c>
      <c r="E42" s="32" t="n">
        <v>0</v>
      </c>
      <c r="F42" s="32" t="n">
        <v>0</v>
      </c>
      <c r="G42" s="32" t="n">
        <v>0</v>
      </c>
      <c r="H42" s="32" t="n">
        <v>0</v>
      </c>
      <c r="I42" s="32" t="n">
        <v>5000</v>
      </c>
      <c r="J42" s="32" t="n">
        <v>5000</v>
      </c>
      <c r="K42" s="32" t="n">
        <v>5000</v>
      </c>
      <c r="L42" s="32" t="n">
        <v>5000</v>
      </c>
      <c r="M42" s="32" t="n">
        <v>5000</v>
      </c>
      <c r="N42" s="32" t="n">
        <v>5000</v>
      </c>
      <c r="O42" s="32" t="n">
        <v>5000</v>
      </c>
      <c r="P42" s="32" t="n">
        <v>5000</v>
      </c>
      <c r="Q42" s="32" t="n">
        <v>0</v>
      </c>
      <c r="R42" s="32" t="n">
        <v>5000</v>
      </c>
      <c r="S42" s="32" t="n">
        <v>5000</v>
      </c>
      <c r="T42" s="32" t="n">
        <v>5000</v>
      </c>
      <c r="U42" s="32" t="n">
        <v>5000</v>
      </c>
      <c r="V42" s="32" t="n">
        <v>5000</v>
      </c>
      <c r="W42" s="32" t="n">
        <v>5000</v>
      </c>
      <c r="X42" s="32" t="n">
        <v>5000</v>
      </c>
      <c r="Y42" s="32" t="n">
        <v>5000</v>
      </c>
      <c r="Z42" s="13" t="str">
        <f aca="false">IFERROR(AVERAGEIF(D42:G42,"&lt;&gt;0"),"")</f>
        <v/>
      </c>
      <c r="AA42" s="13" t="n">
        <f aca="false">IFERROR(AVERAGEIF(H42:L42,"&lt;&gt;0"),"")</f>
        <v>5000</v>
      </c>
      <c r="AB42" s="13" t="n">
        <f aca="false">IFERROR(AVERAGEIF(M42:Q42,"&lt;&gt;0"),"")</f>
        <v>5000</v>
      </c>
      <c r="AC42" s="13" t="n">
        <f aca="false">IFERROR(AVERAGEIF(R42:V42,"&lt;&gt;0"),"")</f>
        <v>5000</v>
      </c>
      <c r="AD42" s="13" t="n">
        <f aca="false">IFERROR(AVERAGEIF(W42:Y42,"&lt;&gt;0"),"")</f>
        <v>5000</v>
      </c>
      <c r="AE42" s="13" t="n">
        <f aca="false">IFERROR(AVERAGEIF(D42:Y42,"&lt;&gt;0"),"")</f>
        <v>5000</v>
      </c>
    </row>
    <row r="43" customFormat="false" ht="15" hidden="false" customHeight="false" outlineLevel="0" collapsed="false">
      <c r="A43" s="3" t="n">
        <v>39</v>
      </c>
      <c r="B43" s="3" t="s">
        <v>482</v>
      </c>
      <c r="C43" s="3" t="s">
        <v>471</v>
      </c>
      <c r="D43" s="32" t="n">
        <v>0</v>
      </c>
      <c r="E43" s="32" t="n">
        <v>0</v>
      </c>
      <c r="F43" s="32" t="n">
        <v>0</v>
      </c>
      <c r="G43" s="32" t="n">
        <v>0</v>
      </c>
      <c r="H43" s="32" t="n">
        <v>0</v>
      </c>
      <c r="I43" s="32" t="n">
        <v>7000</v>
      </c>
      <c r="J43" s="32" t="n">
        <v>7000</v>
      </c>
      <c r="K43" s="32" t="n">
        <v>7000</v>
      </c>
      <c r="L43" s="32" t="n">
        <v>7000</v>
      </c>
      <c r="M43" s="32" t="n">
        <v>7000</v>
      </c>
      <c r="N43" s="32" t="n">
        <v>7000</v>
      </c>
      <c r="O43" s="32" t="n">
        <v>7000</v>
      </c>
      <c r="P43" s="32" t="n">
        <v>7000</v>
      </c>
      <c r="Q43" s="32" t="n">
        <v>0</v>
      </c>
      <c r="R43" s="32" t="n">
        <v>7000</v>
      </c>
      <c r="S43" s="32" t="n">
        <v>7000</v>
      </c>
      <c r="T43" s="32" t="n">
        <v>7000</v>
      </c>
      <c r="U43" s="32" t="n">
        <v>7000</v>
      </c>
      <c r="V43" s="32" t="n">
        <v>7000</v>
      </c>
      <c r="W43" s="32" t="n">
        <v>7000</v>
      </c>
      <c r="X43" s="32" t="n">
        <v>7000</v>
      </c>
      <c r="Y43" s="32" t="n">
        <v>7000</v>
      </c>
      <c r="Z43" s="13" t="str">
        <f aca="false">IFERROR(AVERAGEIF(D43:G43,"&lt;&gt;0"),"")</f>
        <v/>
      </c>
      <c r="AA43" s="13" t="n">
        <f aca="false">IFERROR(AVERAGEIF(H43:L43,"&lt;&gt;0"),"")</f>
        <v>7000</v>
      </c>
      <c r="AB43" s="13" t="n">
        <f aca="false">IFERROR(AVERAGEIF(M43:Q43,"&lt;&gt;0"),"")</f>
        <v>7000</v>
      </c>
      <c r="AC43" s="13" t="n">
        <f aca="false">IFERROR(AVERAGEIF(R43:V43,"&lt;&gt;0"),"")</f>
        <v>7000</v>
      </c>
      <c r="AD43" s="13" t="n">
        <f aca="false">IFERROR(AVERAGEIF(W43:Y43,"&lt;&gt;0"),"")</f>
        <v>7000</v>
      </c>
      <c r="AE43" s="13" t="n">
        <f aca="false">IFERROR(AVERAGEIF(D43:Y43,"&lt;&gt;0"),"")</f>
        <v>7000</v>
      </c>
    </row>
    <row r="44" customFormat="false" ht="15" hidden="false" customHeight="false" outlineLevel="0" collapsed="false">
      <c r="A44" s="3" t="n">
        <v>40</v>
      </c>
      <c r="B44" s="3" t="s">
        <v>483</v>
      </c>
      <c r="C44" s="3" t="s">
        <v>471</v>
      </c>
      <c r="D44" s="32" t="n">
        <v>0</v>
      </c>
      <c r="E44" s="32" t="n">
        <v>0</v>
      </c>
      <c r="F44" s="32" t="n">
        <v>0</v>
      </c>
      <c r="G44" s="32" t="n">
        <v>0</v>
      </c>
      <c r="H44" s="32" t="n">
        <v>0</v>
      </c>
      <c r="I44" s="32" t="n">
        <v>5000</v>
      </c>
      <c r="J44" s="32" t="n">
        <v>5000</v>
      </c>
      <c r="K44" s="32" t="n">
        <v>5000</v>
      </c>
      <c r="L44" s="32" t="n">
        <v>5000</v>
      </c>
      <c r="M44" s="32" t="n">
        <v>5000</v>
      </c>
      <c r="N44" s="32" t="n">
        <v>5000</v>
      </c>
      <c r="O44" s="32" t="n">
        <v>5000</v>
      </c>
      <c r="P44" s="32" t="n">
        <v>5000</v>
      </c>
      <c r="Q44" s="32" t="n">
        <v>0</v>
      </c>
      <c r="R44" s="32" t="n">
        <v>5000</v>
      </c>
      <c r="S44" s="32" t="n">
        <v>5000</v>
      </c>
      <c r="T44" s="32" t="n">
        <v>5000</v>
      </c>
      <c r="U44" s="32" t="n">
        <v>5000</v>
      </c>
      <c r="V44" s="32" t="n">
        <v>5000</v>
      </c>
      <c r="W44" s="32" t="n">
        <v>5000</v>
      </c>
      <c r="X44" s="32" t="n">
        <v>5000</v>
      </c>
      <c r="Y44" s="32" t="n">
        <v>5000</v>
      </c>
      <c r="Z44" s="13" t="str">
        <f aca="false">IFERROR(AVERAGEIF(D44:G44,"&lt;&gt;0"),"")</f>
        <v/>
      </c>
      <c r="AA44" s="13" t="n">
        <f aca="false">IFERROR(AVERAGEIF(H44:L44,"&lt;&gt;0"),"")</f>
        <v>5000</v>
      </c>
      <c r="AB44" s="13" t="n">
        <f aca="false">IFERROR(AVERAGEIF(M44:Q44,"&lt;&gt;0"),"")</f>
        <v>5000</v>
      </c>
      <c r="AC44" s="13" t="n">
        <f aca="false">IFERROR(AVERAGEIF(R44:V44,"&lt;&gt;0"),"")</f>
        <v>5000</v>
      </c>
      <c r="AD44" s="13" t="n">
        <f aca="false">IFERROR(AVERAGEIF(W44:Y44,"&lt;&gt;0"),"")</f>
        <v>5000</v>
      </c>
      <c r="AE44" s="13" t="n">
        <f aca="false">IFERROR(AVERAGEIF(D44:Y44,"&lt;&gt;0"),"")</f>
        <v>5000</v>
      </c>
    </row>
    <row r="45" customFormat="false" ht="15" hidden="false" customHeight="false" outlineLevel="0" collapsed="false">
      <c r="A45" s="3" t="n">
        <v>41</v>
      </c>
      <c r="B45" s="3" t="s">
        <v>484</v>
      </c>
      <c r="C45" s="3" t="s">
        <v>471</v>
      </c>
      <c r="D45" s="32" t="n">
        <v>0</v>
      </c>
      <c r="E45" s="32" t="n">
        <v>0</v>
      </c>
      <c r="F45" s="32" t="n">
        <v>0</v>
      </c>
      <c r="G45" s="32" t="n">
        <v>0</v>
      </c>
      <c r="H45" s="32" t="n">
        <v>0</v>
      </c>
      <c r="I45" s="32" t="n">
        <v>70000</v>
      </c>
      <c r="J45" s="32" t="n">
        <v>70000</v>
      </c>
      <c r="K45" s="32" t="n">
        <v>70000</v>
      </c>
      <c r="L45" s="32" t="n">
        <v>70000</v>
      </c>
      <c r="M45" s="32" t="n">
        <v>70000</v>
      </c>
      <c r="N45" s="32" t="n">
        <v>70000</v>
      </c>
      <c r="O45" s="32" t="n">
        <v>70000</v>
      </c>
      <c r="P45" s="32" t="n">
        <v>70000</v>
      </c>
      <c r="Q45" s="32" t="n">
        <v>0</v>
      </c>
      <c r="R45" s="32" t="n">
        <v>70000</v>
      </c>
      <c r="S45" s="32" t="n">
        <v>70000</v>
      </c>
      <c r="T45" s="32" t="n">
        <v>70000</v>
      </c>
      <c r="U45" s="32" t="n">
        <v>70000</v>
      </c>
      <c r="V45" s="32" t="n">
        <v>70000</v>
      </c>
      <c r="W45" s="32" t="n">
        <v>70000</v>
      </c>
      <c r="X45" s="32" t="n">
        <v>70000</v>
      </c>
      <c r="Y45" s="32" t="n">
        <v>70000</v>
      </c>
      <c r="Z45" s="13" t="str">
        <f aca="false">IFERROR(AVERAGEIF(D45:G45,"&lt;&gt;0"),"")</f>
        <v/>
      </c>
      <c r="AA45" s="13" t="n">
        <f aca="false">IFERROR(AVERAGEIF(H45:L45,"&lt;&gt;0"),"")</f>
        <v>70000</v>
      </c>
      <c r="AB45" s="13" t="n">
        <f aca="false">IFERROR(AVERAGEIF(M45:Q45,"&lt;&gt;0"),"")</f>
        <v>70000</v>
      </c>
      <c r="AC45" s="13" t="n">
        <f aca="false">IFERROR(AVERAGEIF(R45:V45,"&lt;&gt;0"),"")</f>
        <v>70000</v>
      </c>
      <c r="AD45" s="13" t="n">
        <f aca="false">IFERROR(AVERAGEIF(W45:Y45,"&lt;&gt;0"),"")</f>
        <v>70000</v>
      </c>
      <c r="AE45" s="13" t="n">
        <f aca="false">IFERROR(AVERAGEIF(D45:Y45,"&lt;&gt;0"),"")</f>
        <v>70000</v>
      </c>
    </row>
    <row r="46" customFormat="false" ht="15" hidden="false" customHeight="false" outlineLevel="0" collapsed="false">
      <c r="A46" s="3" t="n">
        <v>42</v>
      </c>
      <c r="B46" s="3" t="s">
        <v>485</v>
      </c>
      <c r="C46" s="3" t="s">
        <v>471</v>
      </c>
      <c r="D46" s="32" t="n">
        <v>0</v>
      </c>
      <c r="E46" s="32" t="n">
        <v>0</v>
      </c>
      <c r="F46" s="32" t="n">
        <v>0</v>
      </c>
      <c r="G46" s="32" t="n">
        <v>0</v>
      </c>
      <c r="H46" s="32" t="n">
        <v>0</v>
      </c>
      <c r="I46" s="32" t="n">
        <v>40000</v>
      </c>
      <c r="J46" s="32" t="n">
        <v>40000</v>
      </c>
      <c r="K46" s="32" t="n">
        <v>40000</v>
      </c>
      <c r="L46" s="32" t="n">
        <v>40000</v>
      </c>
      <c r="M46" s="32" t="n">
        <v>40000</v>
      </c>
      <c r="N46" s="32" t="n">
        <v>40000</v>
      </c>
      <c r="O46" s="32" t="n">
        <v>40000</v>
      </c>
      <c r="P46" s="32" t="n">
        <v>40000</v>
      </c>
      <c r="Q46" s="32" t="n">
        <v>0</v>
      </c>
      <c r="R46" s="32" t="n">
        <v>40000</v>
      </c>
      <c r="S46" s="32" t="n">
        <v>40000</v>
      </c>
      <c r="T46" s="32" t="n">
        <v>40000</v>
      </c>
      <c r="U46" s="32" t="n">
        <v>40000</v>
      </c>
      <c r="V46" s="32" t="n">
        <v>40000</v>
      </c>
      <c r="W46" s="32" t="n">
        <v>40000</v>
      </c>
      <c r="X46" s="32" t="n">
        <v>40000</v>
      </c>
      <c r="Y46" s="32" t="n">
        <v>40000</v>
      </c>
      <c r="Z46" s="13" t="str">
        <f aca="false">IFERROR(AVERAGEIF(D46:G46,"&lt;&gt;0"),"")</f>
        <v/>
      </c>
      <c r="AA46" s="13" t="n">
        <f aca="false">IFERROR(AVERAGEIF(H46:L46,"&lt;&gt;0"),"")</f>
        <v>40000</v>
      </c>
      <c r="AB46" s="13" t="n">
        <f aca="false">IFERROR(AVERAGEIF(M46:Q46,"&lt;&gt;0"),"")</f>
        <v>40000</v>
      </c>
      <c r="AC46" s="13" t="n">
        <f aca="false">IFERROR(AVERAGEIF(R46:V46,"&lt;&gt;0"),"")</f>
        <v>40000</v>
      </c>
      <c r="AD46" s="13" t="n">
        <f aca="false">IFERROR(AVERAGEIF(W46:Y46,"&lt;&gt;0"),"")</f>
        <v>40000</v>
      </c>
      <c r="AE46" s="13" t="n">
        <f aca="false">IFERROR(AVERAGEIF(D46:Y46,"&lt;&gt;0"),"")</f>
        <v>40000</v>
      </c>
    </row>
    <row r="47" customFormat="false" ht="15" hidden="false" customHeight="false" outlineLevel="0" collapsed="false">
      <c r="A47" s="3" t="n">
        <v>43</v>
      </c>
      <c r="B47" s="3" t="s">
        <v>486</v>
      </c>
      <c r="C47" s="3" t="s">
        <v>471</v>
      </c>
      <c r="D47" s="32" t="n">
        <v>0</v>
      </c>
      <c r="E47" s="32" t="n">
        <v>0</v>
      </c>
      <c r="F47" s="32" t="n">
        <v>0</v>
      </c>
      <c r="G47" s="32" t="n">
        <v>0</v>
      </c>
      <c r="H47" s="32" t="n">
        <v>0</v>
      </c>
      <c r="I47" s="32" t="n">
        <v>27000</v>
      </c>
      <c r="J47" s="32" t="n">
        <v>27000</v>
      </c>
      <c r="K47" s="32" t="n">
        <v>27000</v>
      </c>
      <c r="L47" s="32" t="n">
        <v>27000</v>
      </c>
      <c r="M47" s="32" t="n">
        <v>27000</v>
      </c>
      <c r="N47" s="32" t="n">
        <v>27000</v>
      </c>
      <c r="O47" s="32" t="n">
        <v>27000</v>
      </c>
      <c r="P47" s="32" t="n">
        <v>27000</v>
      </c>
      <c r="Q47" s="32" t="n">
        <v>0</v>
      </c>
      <c r="R47" s="32" t="n">
        <v>27000</v>
      </c>
      <c r="S47" s="32" t="n">
        <v>27000</v>
      </c>
      <c r="T47" s="32" t="n">
        <v>27000</v>
      </c>
      <c r="U47" s="32" t="n">
        <v>27000</v>
      </c>
      <c r="V47" s="32" t="n">
        <v>27000</v>
      </c>
      <c r="W47" s="32" t="n">
        <v>27000</v>
      </c>
      <c r="X47" s="32" t="n">
        <v>27000</v>
      </c>
      <c r="Y47" s="32" t="n">
        <v>27000</v>
      </c>
      <c r="Z47" s="13" t="str">
        <f aca="false">IFERROR(AVERAGEIF(D47:G47,"&lt;&gt;0"),"")</f>
        <v/>
      </c>
      <c r="AA47" s="13" t="n">
        <f aca="false">IFERROR(AVERAGEIF(H47:L47,"&lt;&gt;0"),"")</f>
        <v>27000</v>
      </c>
      <c r="AB47" s="13" t="n">
        <f aca="false">IFERROR(AVERAGEIF(M47:Q47,"&lt;&gt;0"),"")</f>
        <v>27000</v>
      </c>
      <c r="AC47" s="13" t="n">
        <f aca="false">IFERROR(AVERAGEIF(R47:V47,"&lt;&gt;0"),"")</f>
        <v>27000</v>
      </c>
      <c r="AD47" s="13" t="n">
        <f aca="false">IFERROR(AVERAGEIF(W47:Y47,"&lt;&gt;0"),"")</f>
        <v>27000</v>
      </c>
      <c r="AE47" s="13" t="n">
        <f aca="false">IFERROR(AVERAGEIF(D47:Y47,"&lt;&gt;0"),"")</f>
        <v>27000</v>
      </c>
    </row>
    <row r="48" customFormat="false" ht="15" hidden="false" customHeight="false" outlineLevel="0" collapsed="false">
      <c r="A48" s="3" t="n">
        <v>44</v>
      </c>
      <c r="B48" s="3" t="s">
        <v>487</v>
      </c>
      <c r="C48" s="3" t="s">
        <v>471</v>
      </c>
      <c r="D48" s="32" t="n">
        <v>0</v>
      </c>
      <c r="E48" s="32" t="n">
        <v>0</v>
      </c>
      <c r="F48" s="32" t="n">
        <v>0</v>
      </c>
      <c r="G48" s="32" t="n">
        <v>0</v>
      </c>
      <c r="H48" s="32" t="n">
        <v>0</v>
      </c>
      <c r="I48" s="32" t="n">
        <v>14000</v>
      </c>
      <c r="J48" s="32" t="n">
        <v>14000</v>
      </c>
      <c r="K48" s="32" t="n">
        <v>14000</v>
      </c>
      <c r="L48" s="32" t="n">
        <v>14000</v>
      </c>
      <c r="M48" s="32" t="n">
        <v>14000</v>
      </c>
      <c r="N48" s="32" t="n">
        <v>14000</v>
      </c>
      <c r="O48" s="32" t="n">
        <v>14000</v>
      </c>
      <c r="P48" s="32" t="n">
        <v>14000</v>
      </c>
      <c r="Q48" s="32" t="n">
        <v>0</v>
      </c>
      <c r="R48" s="32" t="n">
        <v>14000</v>
      </c>
      <c r="S48" s="32" t="n">
        <v>14000</v>
      </c>
      <c r="T48" s="32" t="n">
        <v>14000</v>
      </c>
      <c r="U48" s="32" t="n">
        <v>14000</v>
      </c>
      <c r="V48" s="32" t="n">
        <v>14000</v>
      </c>
      <c r="W48" s="32" t="n">
        <v>14000</v>
      </c>
      <c r="X48" s="32" t="n">
        <v>14000</v>
      </c>
      <c r="Y48" s="32" t="n">
        <v>14000</v>
      </c>
      <c r="Z48" s="13" t="str">
        <f aca="false">IFERROR(AVERAGEIF(D48:G48,"&lt;&gt;0"),"")</f>
        <v/>
      </c>
      <c r="AA48" s="13" t="n">
        <f aca="false">IFERROR(AVERAGEIF(H48:L48,"&lt;&gt;0"),"")</f>
        <v>14000</v>
      </c>
      <c r="AB48" s="13" t="n">
        <f aca="false">IFERROR(AVERAGEIF(M48:Q48,"&lt;&gt;0"),"")</f>
        <v>14000</v>
      </c>
      <c r="AC48" s="13" t="n">
        <f aca="false">IFERROR(AVERAGEIF(R48:V48,"&lt;&gt;0"),"")</f>
        <v>14000</v>
      </c>
      <c r="AD48" s="13" t="n">
        <f aca="false">IFERROR(AVERAGEIF(W48:Y48,"&lt;&gt;0"),"")</f>
        <v>14000</v>
      </c>
      <c r="AE48" s="13" t="n">
        <f aca="false">IFERROR(AVERAGEIF(D48:Y48,"&lt;&gt;0"),"")</f>
        <v>14000</v>
      </c>
    </row>
  </sheetData>
  <mergeCells count="1">
    <mergeCell ref="A1:A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4"/>
    <col collapsed="false" customWidth="true" hidden="false" outlineLevel="0" max="25" min="4" style="0" width="9"/>
    <col collapsed="false" customWidth="true" hidden="false" outlineLevel="0" max="31" min="26" style="0" width="14"/>
  </cols>
  <sheetData>
    <row r="1" customFormat="false" ht="16.15" hidden="false" customHeight="false" outlineLevel="0" collapsed="false">
      <c r="A1" s="1" t="s">
        <v>597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customFormat="false" ht="15" hidden="false" customHeight="false" outlineLevel="0" collapsed="false">
      <c r="A2" s="7" t="s">
        <v>443</v>
      </c>
    </row>
    <row r="4" customFormat="false" ht="19.4" hidden="false" customHeight="false" outlineLevel="0" collapsed="false">
      <c r="A4" s="10" t="s">
        <v>1</v>
      </c>
      <c r="B4" s="10" t="s">
        <v>444</v>
      </c>
      <c r="C4" s="10" t="s">
        <v>445</v>
      </c>
      <c r="D4" s="10" t="s">
        <v>598</v>
      </c>
      <c r="E4" s="10" t="s">
        <v>599</v>
      </c>
      <c r="F4" s="10" t="s">
        <v>600</v>
      </c>
      <c r="G4" s="10" t="s">
        <v>601</v>
      </c>
      <c r="H4" s="10" t="s">
        <v>602</v>
      </c>
      <c r="I4" s="10" t="s">
        <v>603</v>
      </c>
      <c r="J4" s="10" t="s">
        <v>604</v>
      </c>
      <c r="K4" s="10" t="s">
        <v>605</v>
      </c>
      <c r="L4" s="10" t="s">
        <v>606</v>
      </c>
      <c r="M4" s="10" t="s">
        <v>607</v>
      </c>
      <c r="N4" s="10" t="s">
        <v>608</v>
      </c>
      <c r="O4" s="10" t="s">
        <v>609</v>
      </c>
      <c r="P4" s="10" t="s">
        <v>610</v>
      </c>
      <c r="Q4" s="10" t="s">
        <v>611</v>
      </c>
      <c r="R4" s="10" t="s">
        <v>612</v>
      </c>
      <c r="S4" s="10" t="s">
        <v>613</v>
      </c>
      <c r="T4" s="10" t="s">
        <v>614</v>
      </c>
      <c r="U4" s="10" t="s">
        <v>615</v>
      </c>
      <c r="V4" s="10" t="s">
        <v>616</v>
      </c>
      <c r="W4" s="10" t="s">
        <v>617</v>
      </c>
      <c r="X4" s="10" t="s">
        <v>618</v>
      </c>
      <c r="Y4" s="10" t="s">
        <v>619</v>
      </c>
      <c r="Z4" s="10" t="s">
        <v>620</v>
      </c>
      <c r="AA4" s="10" t="s">
        <v>621</v>
      </c>
      <c r="AB4" s="10" t="s">
        <v>622</v>
      </c>
      <c r="AC4" s="10" t="s">
        <v>623</v>
      </c>
      <c r="AD4" s="10" t="s">
        <v>624</v>
      </c>
      <c r="AE4" s="10" t="s">
        <v>625</v>
      </c>
    </row>
    <row r="5" customFormat="false" ht="15" hidden="false" customHeight="false" outlineLevel="0" collapsed="false">
      <c r="A5" s="3" t="n">
        <v>1</v>
      </c>
      <c r="B5" s="3" t="s">
        <v>407</v>
      </c>
      <c r="C5" s="3" t="s">
        <v>471</v>
      </c>
      <c r="D5" s="32" t="n">
        <v>0</v>
      </c>
      <c r="E5" s="32" t="n">
        <v>12000</v>
      </c>
      <c r="F5" s="32" t="n">
        <v>12000</v>
      </c>
      <c r="G5" s="32" t="n">
        <v>12000</v>
      </c>
      <c r="H5" s="32" t="n">
        <v>12000</v>
      </c>
      <c r="I5" s="32" t="n">
        <v>12000</v>
      </c>
      <c r="J5" s="32" t="n">
        <v>12000</v>
      </c>
      <c r="K5" s="32" t="n">
        <v>0</v>
      </c>
      <c r="L5" s="32" t="n">
        <v>0</v>
      </c>
      <c r="M5" s="32" t="n">
        <v>12000</v>
      </c>
      <c r="N5" s="32" t="n">
        <v>12000</v>
      </c>
      <c r="O5" s="32" t="n">
        <v>12000</v>
      </c>
      <c r="P5" s="32" t="n">
        <v>12000</v>
      </c>
      <c r="Q5" s="32" t="n">
        <v>12000</v>
      </c>
      <c r="R5" s="32" t="n">
        <v>12000</v>
      </c>
      <c r="S5" s="32" t="n">
        <v>12000</v>
      </c>
      <c r="T5" s="32" t="n">
        <v>12000</v>
      </c>
      <c r="U5" s="32" t="n">
        <v>12000</v>
      </c>
      <c r="V5" s="32" t="n">
        <v>12000</v>
      </c>
      <c r="W5" s="32" t="n">
        <v>12000</v>
      </c>
      <c r="X5" s="32" t="n">
        <v>0</v>
      </c>
      <c r="Y5" s="32" t="n">
        <v>0</v>
      </c>
      <c r="Z5" s="13" t="n">
        <f aca="false">IFERROR(AVERAGEIF(D5:E5,"&lt;&gt;0"),"")</f>
        <v>12000</v>
      </c>
      <c r="AA5" s="13" t="n">
        <f aca="false">IFERROR(AVERAGEIF(F5:J5,"&lt;&gt;0"),"")</f>
        <v>12000</v>
      </c>
      <c r="AB5" s="13" t="n">
        <f aca="false">IFERROR(AVERAGEIF(K5:O5,"&lt;&gt;0"),"")</f>
        <v>12000</v>
      </c>
      <c r="AC5" s="13" t="n">
        <f aca="false">IFERROR(AVERAGEIF(P5:T5,"&lt;&gt;0"),"")</f>
        <v>12000</v>
      </c>
      <c r="AD5" s="13" t="n">
        <f aca="false">IFERROR(AVERAGEIF(U5:Y5,"&lt;&gt;0"),"")</f>
        <v>12000</v>
      </c>
      <c r="AE5" s="13" t="n">
        <f aca="false">IFERROR(AVERAGEIF(D5:Y5,"&lt;&gt;0"),"")</f>
        <v>12000</v>
      </c>
    </row>
    <row r="6" customFormat="false" ht="15" hidden="false" customHeight="false" outlineLevel="0" collapsed="false">
      <c r="A6" s="3" t="n">
        <v>2</v>
      </c>
      <c r="B6" s="3" t="s">
        <v>408</v>
      </c>
      <c r="C6" s="3" t="s">
        <v>471</v>
      </c>
      <c r="D6" s="32" t="n">
        <v>0</v>
      </c>
      <c r="E6" s="32" t="n">
        <v>13000</v>
      </c>
      <c r="F6" s="32" t="n">
        <v>13000</v>
      </c>
      <c r="G6" s="32" t="n">
        <v>13000</v>
      </c>
      <c r="H6" s="32" t="n">
        <v>13000</v>
      </c>
      <c r="I6" s="32" t="n">
        <v>13000</v>
      </c>
      <c r="J6" s="32" t="n">
        <v>13000</v>
      </c>
      <c r="K6" s="32" t="n">
        <v>0</v>
      </c>
      <c r="L6" s="32" t="n">
        <v>0</v>
      </c>
      <c r="M6" s="32" t="n">
        <v>13000</v>
      </c>
      <c r="N6" s="32" t="n">
        <v>13000</v>
      </c>
      <c r="O6" s="32" t="n">
        <v>13000</v>
      </c>
      <c r="P6" s="32" t="n">
        <v>13000</v>
      </c>
      <c r="Q6" s="32" t="n">
        <v>13000</v>
      </c>
      <c r="R6" s="32" t="n">
        <v>13000</v>
      </c>
      <c r="S6" s="32" t="n">
        <v>13000</v>
      </c>
      <c r="T6" s="32" t="n">
        <v>13000</v>
      </c>
      <c r="U6" s="32" t="n">
        <v>13000</v>
      </c>
      <c r="V6" s="32" t="n">
        <v>13000</v>
      </c>
      <c r="W6" s="32" t="n">
        <v>13000</v>
      </c>
      <c r="X6" s="32" t="n">
        <v>0</v>
      </c>
      <c r="Y6" s="32" t="n">
        <v>0</v>
      </c>
      <c r="Z6" s="13" t="n">
        <f aca="false">IFERROR(AVERAGEIF(D6:E6,"&lt;&gt;0"),"")</f>
        <v>13000</v>
      </c>
      <c r="AA6" s="13" t="n">
        <f aca="false">IFERROR(AVERAGEIF(F6:J6,"&lt;&gt;0"),"")</f>
        <v>13000</v>
      </c>
      <c r="AB6" s="13" t="n">
        <f aca="false">IFERROR(AVERAGEIF(K6:O6,"&lt;&gt;0"),"")</f>
        <v>13000</v>
      </c>
      <c r="AC6" s="13" t="n">
        <f aca="false">IFERROR(AVERAGEIF(P6:T6,"&lt;&gt;0"),"")</f>
        <v>13000</v>
      </c>
      <c r="AD6" s="13" t="n">
        <f aca="false">IFERROR(AVERAGEIF(U6:Y6,"&lt;&gt;0"),"")</f>
        <v>13000</v>
      </c>
      <c r="AE6" s="13" t="n">
        <f aca="false">IFERROR(AVERAGEIF(D6:Y6,"&lt;&gt;0"),"")</f>
        <v>13000</v>
      </c>
    </row>
    <row r="7" customFormat="false" ht="15" hidden="false" customHeight="false" outlineLevel="0" collapsed="false">
      <c r="A7" s="3" t="n">
        <v>3</v>
      </c>
      <c r="B7" s="3" t="s">
        <v>409</v>
      </c>
      <c r="C7" s="3" t="s">
        <v>471</v>
      </c>
      <c r="D7" s="33"/>
      <c r="E7" s="33"/>
      <c r="F7" s="33"/>
      <c r="G7" s="33"/>
      <c r="H7" s="33"/>
      <c r="I7" s="33"/>
      <c r="J7" s="33"/>
      <c r="K7" s="33"/>
      <c r="L7" s="33"/>
      <c r="M7" s="33"/>
      <c r="N7" s="33"/>
      <c r="O7" s="33"/>
      <c r="P7" s="33"/>
      <c r="Q7" s="33"/>
      <c r="R7" s="33"/>
      <c r="S7" s="33"/>
      <c r="T7" s="33"/>
      <c r="U7" s="33"/>
      <c r="V7" s="33"/>
      <c r="W7" s="33"/>
      <c r="X7" s="33"/>
      <c r="Y7" s="33"/>
      <c r="Z7" s="13" t="str">
        <f aca="false">IFERROR(AVERAGEIF(D7:E7,"&lt;&gt;0"),"")</f>
        <v/>
      </c>
      <c r="AA7" s="13" t="str">
        <f aca="false">IFERROR(AVERAGEIF(F7:J7,"&lt;&gt;0"),"")</f>
        <v/>
      </c>
      <c r="AB7" s="13" t="str">
        <f aca="false">IFERROR(AVERAGEIF(K7:O7,"&lt;&gt;0"),"")</f>
        <v/>
      </c>
      <c r="AC7" s="13" t="str">
        <f aca="false">IFERROR(AVERAGEIF(P7:T7,"&lt;&gt;0"),"")</f>
        <v/>
      </c>
      <c r="AD7" s="13" t="str">
        <f aca="false">IFERROR(AVERAGEIF(U7:Y7,"&lt;&gt;0"),"")</f>
        <v/>
      </c>
      <c r="AE7" s="13" t="str">
        <f aca="false">IFERROR(AVERAGEIF(D7:Y7,"&lt;&gt;0"),"")</f>
        <v/>
      </c>
    </row>
    <row r="8" customFormat="false" ht="15" hidden="false" customHeight="false" outlineLevel="0" collapsed="false">
      <c r="A8" s="3" t="n">
        <v>4</v>
      </c>
      <c r="B8" s="3" t="s">
        <v>472</v>
      </c>
      <c r="C8" s="3" t="s">
        <v>471</v>
      </c>
      <c r="D8" s="32" t="n">
        <v>0</v>
      </c>
      <c r="E8" s="32" t="n">
        <v>11000</v>
      </c>
      <c r="F8" s="32" t="n">
        <v>11000</v>
      </c>
      <c r="G8" s="32" t="n">
        <v>11000</v>
      </c>
      <c r="H8" s="32" t="n">
        <v>11000</v>
      </c>
      <c r="I8" s="32" t="n">
        <v>11000</v>
      </c>
      <c r="J8" s="32" t="n">
        <v>11000</v>
      </c>
      <c r="K8" s="32" t="n">
        <v>0</v>
      </c>
      <c r="L8" s="32" t="n">
        <v>0</v>
      </c>
      <c r="M8" s="32" t="n">
        <v>11000</v>
      </c>
      <c r="N8" s="32" t="n">
        <v>11000</v>
      </c>
      <c r="O8" s="32" t="n">
        <v>11000</v>
      </c>
      <c r="P8" s="32" t="n">
        <v>11000</v>
      </c>
      <c r="Q8" s="32" t="n">
        <v>11000</v>
      </c>
      <c r="R8" s="32" t="n">
        <v>11000</v>
      </c>
      <c r="S8" s="32" t="n">
        <v>11000</v>
      </c>
      <c r="T8" s="32" t="n">
        <v>11000</v>
      </c>
      <c r="U8" s="32" t="n">
        <v>11000</v>
      </c>
      <c r="V8" s="32" t="n">
        <v>11000</v>
      </c>
      <c r="W8" s="32" t="n">
        <v>11000</v>
      </c>
      <c r="X8" s="32" t="n">
        <v>0</v>
      </c>
      <c r="Y8" s="32" t="n">
        <v>0</v>
      </c>
      <c r="Z8" s="13" t="n">
        <f aca="false">IFERROR(AVERAGEIF(D8:E8,"&lt;&gt;0"),"")</f>
        <v>11000</v>
      </c>
      <c r="AA8" s="13" t="n">
        <f aca="false">IFERROR(AVERAGEIF(F8:J8,"&lt;&gt;0"),"")</f>
        <v>11000</v>
      </c>
      <c r="AB8" s="13" t="n">
        <f aca="false">IFERROR(AVERAGEIF(K8:O8,"&lt;&gt;0"),"")</f>
        <v>11000</v>
      </c>
      <c r="AC8" s="13" t="n">
        <f aca="false">IFERROR(AVERAGEIF(P8:T8,"&lt;&gt;0"),"")</f>
        <v>11000</v>
      </c>
      <c r="AD8" s="13" t="n">
        <f aca="false">IFERROR(AVERAGEIF(U8:Y8,"&lt;&gt;0"),"")</f>
        <v>11000</v>
      </c>
      <c r="AE8" s="13" t="n">
        <f aca="false">IFERROR(AVERAGEIF(D8:Y8,"&lt;&gt;0"),"")</f>
        <v>11000</v>
      </c>
    </row>
    <row r="9" customFormat="false" ht="15" hidden="false" customHeight="false" outlineLevel="0" collapsed="false">
      <c r="A9" s="3" t="n">
        <v>5</v>
      </c>
      <c r="B9" s="3" t="s">
        <v>428</v>
      </c>
      <c r="C9" s="3" t="s">
        <v>471</v>
      </c>
      <c r="D9" s="32" t="n">
        <v>0</v>
      </c>
      <c r="E9" s="32" t="n">
        <v>25000</v>
      </c>
      <c r="F9" s="32" t="n">
        <v>27000</v>
      </c>
      <c r="G9" s="32" t="n">
        <v>27000</v>
      </c>
      <c r="H9" s="32" t="n">
        <v>27000</v>
      </c>
      <c r="I9" s="32" t="n">
        <v>28000</v>
      </c>
      <c r="J9" s="32" t="n">
        <v>28000</v>
      </c>
      <c r="K9" s="32" t="n">
        <v>0</v>
      </c>
      <c r="L9" s="32" t="n">
        <v>0</v>
      </c>
      <c r="M9" s="32" t="n">
        <v>24000</v>
      </c>
      <c r="N9" s="32" t="n">
        <v>24000</v>
      </c>
      <c r="O9" s="32" t="n">
        <v>24000</v>
      </c>
      <c r="P9" s="32" t="n">
        <v>26000</v>
      </c>
      <c r="Q9" s="32" t="n">
        <v>26000</v>
      </c>
      <c r="R9" s="32" t="n">
        <v>26000</v>
      </c>
      <c r="S9" s="32" t="n">
        <v>26000</v>
      </c>
      <c r="T9" s="32" t="n">
        <v>28000</v>
      </c>
      <c r="U9" s="32" t="n">
        <v>26000</v>
      </c>
      <c r="V9" s="32" t="n">
        <v>27000</v>
      </c>
      <c r="W9" s="32" t="n">
        <v>27000</v>
      </c>
      <c r="X9" s="32" t="n">
        <v>0</v>
      </c>
      <c r="Y9" s="32" t="n">
        <v>0</v>
      </c>
      <c r="Z9" s="13" t="n">
        <f aca="false">IFERROR(AVERAGEIF(D9:E9,"&lt;&gt;0"),"")</f>
        <v>25000</v>
      </c>
      <c r="AA9" s="13" t="n">
        <f aca="false">IFERROR(AVERAGEIF(F9:J9,"&lt;&gt;0"),"")</f>
        <v>27400</v>
      </c>
      <c r="AB9" s="13" t="n">
        <f aca="false">IFERROR(AVERAGEIF(K9:O9,"&lt;&gt;0"),"")</f>
        <v>24000</v>
      </c>
      <c r="AC9" s="13" t="n">
        <f aca="false">IFERROR(AVERAGEIF(P9:T9,"&lt;&gt;0"),"")</f>
        <v>26400</v>
      </c>
      <c r="AD9" s="13" t="n">
        <f aca="false">IFERROR(AVERAGEIF(U9:Y9,"&lt;&gt;0"),"")</f>
        <v>26666.6666666667</v>
      </c>
      <c r="AE9" s="13" t="n">
        <f aca="false">IFERROR(AVERAGEIF(D9:Y9,"&lt;&gt;0"),"")</f>
        <v>26235.2941176471</v>
      </c>
    </row>
    <row r="10" customFormat="false" ht="15" hidden="false" customHeight="false" outlineLevel="0" collapsed="false">
      <c r="A10" s="3" t="n">
        <v>6</v>
      </c>
      <c r="B10" s="3" t="s">
        <v>429</v>
      </c>
      <c r="C10" s="3" t="s">
        <v>471</v>
      </c>
      <c r="D10" s="32" t="n">
        <v>0</v>
      </c>
      <c r="E10" s="32" t="n">
        <v>25000</v>
      </c>
      <c r="F10" s="32" t="n">
        <v>25000</v>
      </c>
      <c r="G10" s="32" t="n">
        <v>25000</v>
      </c>
      <c r="H10" s="32" t="n">
        <v>25000</v>
      </c>
      <c r="I10" s="32" t="n">
        <v>25000</v>
      </c>
      <c r="J10" s="32" t="n">
        <v>25000</v>
      </c>
      <c r="K10" s="32" t="n">
        <v>0</v>
      </c>
      <c r="L10" s="32" t="n">
        <v>0</v>
      </c>
      <c r="M10" s="32" t="n">
        <v>24000</v>
      </c>
      <c r="N10" s="32" t="n">
        <v>24000</v>
      </c>
      <c r="O10" s="32" t="n">
        <v>24000</v>
      </c>
      <c r="P10" s="32" t="n">
        <v>24000</v>
      </c>
      <c r="Q10" s="32" t="n">
        <v>24000</v>
      </c>
      <c r="R10" s="32" t="n">
        <v>24000</v>
      </c>
      <c r="S10" s="32" t="n">
        <v>24000</v>
      </c>
      <c r="T10" s="32" t="n">
        <v>26000</v>
      </c>
      <c r="U10" s="32" t="n">
        <v>26000</v>
      </c>
      <c r="V10" s="32" t="n">
        <v>27000</v>
      </c>
      <c r="W10" s="32" t="n">
        <v>27000</v>
      </c>
      <c r="X10" s="32" t="n">
        <v>0</v>
      </c>
      <c r="Y10" s="32" t="n">
        <v>0</v>
      </c>
      <c r="Z10" s="13" t="n">
        <f aca="false">IFERROR(AVERAGEIF(D10:E10,"&lt;&gt;0"),"")</f>
        <v>25000</v>
      </c>
      <c r="AA10" s="13" t="n">
        <f aca="false">IFERROR(AVERAGEIF(F10:J10,"&lt;&gt;0"),"")</f>
        <v>25000</v>
      </c>
      <c r="AB10" s="13" t="n">
        <f aca="false">IFERROR(AVERAGEIF(K10:O10,"&lt;&gt;0"),"")</f>
        <v>24000</v>
      </c>
      <c r="AC10" s="13" t="n">
        <f aca="false">IFERROR(AVERAGEIF(P10:T10,"&lt;&gt;0"),"")</f>
        <v>24400</v>
      </c>
      <c r="AD10" s="13" t="n">
        <f aca="false">IFERROR(AVERAGEIF(U10:Y10,"&lt;&gt;0"),"")</f>
        <v>26666.6666666667</v>
      </c>
      <c r="AE10" s="13" t="n">
        <f aca="false">IFERROR(AVERAGEIF(D10:Y10,"&lt;&gt;0"),"")</f>
        <v>24941.1764705882</v>
      </c>
    </row>
    <row r="11" customFormat="false" ht="15" hidden="false" customHeight="false" outlineLevel="0" collapsed="false">
      <c r="A11" s="3" t="n">
        <v>7</v>
      </c>
      <c r="B11" s="3" t="s">
        <v>418</v>
      </c>
      <c r="C11" s="3" t="s">
        <v>471</v>
      </c>
      <c r="D11" s="32" t="n">
        <v>0</v>
      </c>
      <c r="E11" s="32" t="n">
        <v>28000</v>
      </c>
      <c r="F11" s="32" t="n">
        <v>28000</v>
      </c>
      <c r="G11" s="32" t="n">
        <v>28000</v>
      </c>
      <c r="H11" s="32" t="n">
        <v>28000</v>
      </c>
      <c r="I11" s="32" t="n">
        <v>25000</v>
      </c>
      <c r="J11" s="32" t="n">
        <v>25000</v>
      </c>
      <c r="K11" s="32" t="n">
        <v>0</v>
      </c>
      <c r="L11" s="32" t="n">
        <v>0</v>
      </c>
      <c r="M11" s="32" t="n">
        <v>20000</v>
      </c>
      <c r="N11" s="32" t="n">
        <v>20000</v>
      </c>
      <c r="O11" s="32" t="n">
        <v>20000</v>
      </c>
      <c r="P11" s="32" t="n">
        <v>20000</v>
      </c>
      <c r="Q11" s="32" t="n">
        <v>20000</v>
      </c>
      <c r="R11" s="32" t="n">
        <v>20000</v>
      </c>
      <c r="S11" s="32" t="n">
        <v>20000</v>
      </c>
      <c r="T11" s="32" t="n">
        <v>20000</v>
      </c>
      <c r="U11" s="32" t="n">
        <v>20000</v>
      </c>
      <c r="V11" s="32" t="n">
        <v>22000</v>
      </c>
      <c r="W11" s="32" t="n">
        <v>22000</v>
      </c>
      <c r="X11" s="32" t="n">
        <v>0</v>
      </c>
      <c r="Y11" s="32" t="n">
        <v>0</v>
      </c>
      <c r="Z11" s="13" t="n">
        <f aca="false">IFERROR(AVERAGEIF(D11:E11,"&lt;&gt;0"),"")</f>
        <v>28000</v>
      </c>
      <c r="AA11" s="13" t="n">
        <f aca="false">IFERROR(AVERAGEIF(F11:J11,"&lt;&gt;0"),"")</f>
        <v>26800</v>
      </c>
      <c r="AB11" s="13" t="n">
        <f aca="false">IFERROR(AVERAGEIF(K11:O11,"&lt;&gt;0"),"")</f>
        <v>20000</v>
      </c>
      <c r="AC11" s="13" t="n">
        <f aca="false">IFERROR(AVERAGEIF(P11:T11,"&lt;&gt;0"),"")</f>
        <v>20000</v>
      </c>
      <c r="AD11" s="13" t="n">
        <f aca="false">IFERROR(AVERAGEIF(U11:Y11,"&lt;&gt;0"),"")</f>
        <v>21333.3333333333</v>
      </c>
      <c r="AE11" s="13" t="n">
        <f aca="false">IFERROR(AVERAGEIF(D11:Y11,"&lt;&gt;0"),"")</f>
        <v>22705.8823529412</v>
      </c>
    </row>
    <row r="12" customFormat="false" ht="15" hidden="false" customHeight="false" outlineLevel="0" collapsed="false">
      <c r="A12" s="3" t="n">
        <v>8</v>
      </c>
      <c r="B12" s="3" t="s">
        <v>423</v>
      </c>
      <c r="C12" s="3" t="s">
        <v>471</v>
      </c>
      <c r="D12" s="32" t="n">
        <v>0</v>
      </c>
      <c r="E12" s="32" t="n">
        <v>29000</v>
      </c>
      <c r="F12" s="32" t="n">
        <v>29000</v>
      </c>
      <c r="G12" s="32" t="n">
        <v>29000</v>
      </c>
      <c r="H12" s="32" t="n">
        <v>29000</v>
      </c>
      <c r="I12" s="32" t="n">
        <v>30000</v>
      </c>
      <c r="J12" s="32" t="n">
        <v>30000</v>
      </c>
      <c r="K12" s="32" t="n">
        <v>0</v>
      </c>
      <c r="L12" s="32" t="n">
        <v>0</v>
      </c>
      <c r="M12" s="32" t="n">
        <v>30000</v>
      </c>
      <c r="N12" s="32" t="n">
        <v>30000</v>
      </c>
      <c r="O12" s="32" t="n">
        <v>30000</v>
      </c>
      <c r="P12" s="32" t="n">
        <v>30000</v>
      </c>
      <c r="Q12" s="32" t="n">
        <v>30000</v>
      </c>
      <c r="R12" s="32" t="n">
        <v>30000</v>
      </c>
      <c r="S12" s="32" t="n">
        <v>30000</v>
      </c>
      <c r="T12" s="32" t="n">
        <v>30000</v>
      </c>
      <c r="U12" s="32" t="n">
        <v>30000</v>
      </c>
      <c r="V12" s="32" t="n">
        <v>28000</v>
      </c>
      <c r="W12" s="32" t="n">
        <v>28000</v>
      </c>
      <c r="X12" s="32" t="n">
        <v>0</v>
      </c>
      <c r="Y12" s="32" t="n">
        <v>0</v>
      </c>
      <c r="Z12" s="13" t="n">
        <f aca="false">IFERROR(AVERAGEIF(D12:E12,"&lt;&gt;0"),"")</f>
        <v>29000</v>
      </c>
      <c r="AA12" s="13" t="n">
        <f aca="false">IFERROR(AVERAGEIF(F12:J12,"&lt;&gt;0"),"")</f>
        <v>29400</v>
      </c>
      <c r="AB12" s="13" t="n">
        <f aca="false">IFERROR(AVERAGEIF(K12:O12,"&lt;&gt;0"),"")</f>
        <v>30000</v>
      </c>
      <c r="AC12" s="13" t="n">
        <f aca="false">IFERROR(AVERAGEIF(P12:T12,"&lt;&gt;0"),"")</f>
        <v>30000</v>
      </c>
      <c r="AD12" s="13" t="n">
        <f aca="false">IFERROR(AVERAGEIF(U12:Y12,"&lt;&gt;0"),"")</f>
        <v>28666.6666666667</v>
      </c>
      <c r="AE12" s="13" t="n">
        <f aca="false">IFERROR(AVERAGEIF(D12:Y12,"&lt;&gt;0"),"")</f>
        <v>29529.4117647059</v>
      </c>
    </row>
    <row r="13" customFormat="false" ht="15" hidden="false" customHeight="false" outlineLevel="0" collapsed="false">
      <c r="A13" s="3" t="n">
        <v>9</v>
      </c>
      <c r="B13" s="3" t="s">
        <v>420</v>
      </c>
      <c r="C13" s="3" t="s">
        <v>471</v>
      </c>
      <c r="D13" s="32" t="n">
        <v>0</v>
      </c>
      <c r="E13" s="32" t="n">
        <v>16000</v>
      </c>
      <c r="F13" s="32" t="n">
        <v>16000</v>
      </c>
      <c r="G13" s="32" t="n">
        <v>16000</v>
      </c>
      <c r="H13" s="32" t="n">
        <v>16000</v>
      </c>
      <c r="I13" s="32" t="n">
        <v>16000</v>
      </c>
      <c r="J13" s="32" t="n">
        <v>16000</v>
      </c>
      <c r="K13" s="32" t="n">
        <v>0</v>
      </c>
      <c r="L13" s="32" t="n">
        <v>0</v>
      </c>
      <c r="M13" s="32" t="n">
        <v>16000</v>
      </c>
      <c r="N13" s="32" t="n">
        <v>16000</v>
      </c>
      <c r="O13" s="32" t="n">
        <v>16000</v>
      </c>
      <c r="P13" s="32" t="n">
        <v>16000</v>
      </c>
      <c r="Q13" s="32" t="n">
        <v>16000</v>
      </c>
      <c r="R13" s="32" t="n">
        <v>16000</v>
      </c>
      <c r="S13" s="32" t="n">
        <v>16000</v>
      </c>
      <c r="T13" s="32" t="n">
        <v>16000</v>
      </c>
      <c r="U13" s="32" t="n">
        <v>16500</v>
      </c>
      <c r="V13" s="32" t="n">
        <v>16500</v>
      </c>
      <c r="W13" s="32" t="n">
        <v>16500</v>
      </c>
      <c r="X13" s="32" t="n">
        <v>0</v>
      </c>
      <c r="Y13" s="32" t="n">
        <v>0</v>
      </c>
      <c r="Z13" s="13" t="n">
        <f aca="false">IFERROR(AVERAGEIF(D13:E13,"&lt;&gt;0"),"")</f>
        <v>16000</v>
      </c>
      <c r="AA13" s="13" t="n">
        <f aca="false">IFERROR(AVERAGEIF(F13:J13,"&lt;&gt;0"),"")</f>
        <v>16000</v>
      </c>
      <c r="AB13" s="13" t="n">
        <f aca="false">IFERROR(AVERAGEIF(K13:O13,"&lt;&gt;0"),"")</f>
        <v>16000</v>
      </c>
      <c r="AC13" s="13" t="n">
        <f aca="false">IFERROR(AVERAGEIF(P13:T13,"&lt;&gt;0"),"")</f>
        <v>16000</v>
      </c>
      <c r="AD13" s="13" t="n">
        <f aca="false">IFERROR(AVERAGEIF(U13:Y13,"&lt;&gt;0"),"")</f>
        <v>16500</v>
      </c>
      <c r="AE13" s="13" t="n">
        <f aca="false">IFERROR(AVERAGEIF(D13:Y13,"&lt;&gt;0"),"")</f>
        <v>16088.2352941176</v>
      </c>
    </row>
    <row r="14" customFormat="false" ht="15" hidden="false" customHeight="false" outlineLevel="0" collapsed="false">
      <c r="A14" s="3" t="n">
        <v>10</v>
      </c>
      <c r="B14" s="3" t="s">
        <v>413</v>
      </c>
      <c r="C14" s="3" t="s">
        <v>471</v>
      </c>
      <c r="D14" s="32" t="n">
        <v>0</v>
      </c>
      <c r="E14" s="32" t="n">
        <v>15000</v>
      </c>
      <c r="F14" s="32" t="n">
        <v>15000</v>
      </c>
      <c r="G14" s="32" t="n">
        <v>15000</v>
      </c>
      <c r="H14" s="32" t="n">
        <v>15000</v>
      </c>
      <c r="I14" s="32" t="n">
        <v>15000</v>
      </c>
      <c r="J14" s="32" t="n">
        <v>15000</v>
      </c>
      <c r="K14" s="32" t="n">
        <v>0</v>
      </c>
      <c r="L14" s="32" t="n">
        <v>0</v>
      </c>
      <c r="M14" s="32" t="n">
        <v>15000</v>
      </c>
      <c r="N14" s="32" t="n">
        <v>15000</v>
      </c>
      <c r="O14" s="32" t="n">
        <v>15000</v>
      </c>
      <c r="P14" s="32" t="n">
        <v>15000</v>
      </c>
      <c r="Q14" s="32" t="n">
        <v>15000</v>
      </c>
      <c r="R14" s="32" t="n">
        <v>15000</v>
      </c>
      <c r="S14" s="32" t="n">
        <v>15000</v>
      </c>
      <c r="T14" s="32" t="n">
        <v>15000</v>
      </c>
      <c r="U14" s="32" t="n">
        <v>15000</v>
      </c>
      <c r="V14" s="32" t="n">
        <v>15000</v>
      </c>
      <c r="W14" s="32" t="n">
        <v>15000</v>
      </c>
      <c r="X14" s="32" t="n">
        <v>0</v>
      </c>
      <c r="Y14" s="32" t="n">
        <v>0</v>
      </c>
      <c r="Z14" s="13" t="n">
        <f aca="false">IFERROR(AVERAGEIF(D14:E14,"&lt;&gt;0"),"")</f>
        <v>15000</v>
      </c>
      <c r="AA14" s="13" t="n">
        <f aca="false">IFERROR(AVERAGEIF(F14:J14,"&lt;&gt;0"),"")</f>
        <v>15000</v>
      </c>
      <c r="AB14" s="13" t="n">
        <f aca="false">IFERROR(AVERAGEIF(K14:O14,"&lt;&gt;0"),"")</f>
        <v>15000</v>
      </c>
      <c r="AC14" s="13" t="n">
        <f aca="false">IFERROR(AVERAGEIF(P14:T14,"&lt;&gt;0"),"")</f>
        <v>15000</v>
      </c>
      <c r="AD14" s="13" t="n">
        <f aca="false">IFERROR(AVERAGEIF(U14:Y14,"&lt;&gt;0"),"")</f>
        <v>15000</v>
      </c>
      <c r="AE14" s="13" t="n">
        <f aca="false">IFERROR(AVERAGEIF(D14:Y14,"&lt;&gt;0"),"")</f>
        <v>15000</v>
      </c>
    </row>
    <row r="15" customFormat="false" ht="15" hidden="false" customHeight="false" outlineLevel="0" collapsed="false">
      <c r="A15" s="3" t="n">
        <v>11</v>
      </c>
      <c r="B15" s="3" t="s">
        <v>414</v>
      </c>
      <c r="C15" s="3" t="s">
        <v>471</v>
      </c>
      <c r="D15" s="32" t="n">
        <v>0</v>
      </c>
      <c r="E15" s="32" t="n">
        <v>18000</v>
      </c>
      <c r="F15" s="32" t="n">
        <v>18000</v>
      </c>
      <c r="G15" s="32" t="n">
        <v>18000</v>
      </c>
      <c r="H15" s="32" t="n">
        <v>18000</v>
      </c>
      <c r="I15" s="32" t="n">
        <v>18000</v>
      </c>
      <c r="J15" s="32" t="n">
        <v>18000</v>
      </c>
      <c r="K15" s="32" t="n">
        <v>0</v>
      </c>
      <c r="L15" s="32" t="n">
        <v>0</v>
      </c>
      <c r="M15" s="32" t="n">
        <v>18000</v>
      </c>
      <c r="N15" s="32" t="n">
        <v>18000</v>
      </c>
      <c r="O15" s="32" t="n">
        <v>18000</v>
      </c>
      <c r="P15" s="32" t="n">
        <v>18000</v>
      </c>
      <c r="Q15" s="32" t="n">
        <v>18000</v>
      </c>
      <c r="R15" s="32" t="n">
        <v>18000</v>
      </c>
      <c r="S15" s="32" t="n">
        <v>18000</v>
      </c>
      <c r="T15" s="32" t="n">
        <v>18000</v>
      </c>
      <c r="U15" s="32" t="n">
        <v>18000</v>
      </c>
      <c r="V15" s="32" t="n">
        <v>18000</v>
      </c>
      <c r="W15" s="32" t="n">
        <v>18000</v>
      </c>
      <c r="X15" s="32" t="n">
        <v>0</v>
      </c>
      <c r="Y15" s="32" t="n">
        <v>0</v>
      </c>
      <c r="Z15" s="13" t="n">
        <f aca="false">IFERROR(AVERAGEIF(D15:E15,"&lt;&gt;0"),"")</f>
        <v>18000</v>
      </c>
      <c r="AA15" s="13" t="n">
        <f aca="false">IFERROR(AVERAGEIF(F15:J15,"&lt;&gt;0"),"")</f>
        <v>18000</v>
      </c>
      <c r="AB15" s="13" t="n">
        <f aca="false">IFERROR(AVERAGEIF(K15:O15,"&lt;&gt;0"),"")</f>
        <v>18000</v>
      </c>
      <c r="AC15" s="13" t="n">
        <f aca="false">IFERROR(AVERAGEIF(P15:T15,"&lt;&gt;0"),"")</f>
        <v>18000</v>
      </c>
      <c r="AD15" s="13" t="n">
        <f aca="false">IFERROR(AVERAGEIF(U15:Y15,"&lt;&gt;0"),"")</f>
        <v>18000</v>
      </c>
      <c r="AE15" s="13" t="n">
        <f aca="false">IFERROR(AVERAGEIF(D15:Y15,"&lt;&gt;0"),"")</f>
        <v>18000</v>
      </c>
    </row>
    <row r="16" customFormat="false" ht="15" hidden="false" customHeight="false" outlineLevel="0" collapsed="false">
      <c r="A16" s="3" t="n">
        <v>12</v>
      </c>
      <c r="B16" s="3" t="s">
        <v>415</v>
      </c>
      <c r="C16" s="3" t="s">
        <v>471</v>
      </c>
      <c r="D16" s="32" t="n">
        <v>0</v>
      </c>
      <c r="E16" s="32" t="n">
        <v>15500</v>
      </c>
      <c r="F16" s="32" t="n">
        <v>15500</v>
      </c>
      <c r="G16" s="32" t="n">
        <v>15500</v>
      </c>
      <c r="H16" s="32" t="n">
        <v>15500</v>
      </c>
      <c r="I16" s="32" t="n">
        <v>15500</v>
      </c>
      <c r="J16" s="32" t="n">
        <v>15500</v>
      </c>
      <c r="K16" s="32" t="n">
        <v>0</v>
      </c>
      <c r="L16" s="32" t="n">
        <v>0</v>
      </c>
      <c r="M16" s="32" t="n">
        <v>15500</v>
      </c>
      <c r="N16" s="32" t="n">
        <v>15500</v>
      </c>
      <c r="O16" s="32" t="n">
        <v>15500</v>
      </c>
      <c r="P16" s="32" t="n">
        <v>15500</v>
      </c>
      <c r="Q16" s="32" t="n">
        <v>15500</v>
      </c>
      <c r="R16" s="32" t="n">
        <v>15500</v>
      </c>
      <c r="S16" s="32" t="n">
        <v>15500</v>
      </c>
      <c r="T16" s="32" t="n">
        <v>15500</v>
      </c>
      <c r="U16" s="32" t="n">
        <v>15500</v>
      </c>
      <c r="V16" s="32" t="n">
        <v>16000</v>
      </c>
      <c r="W16" s="32" t="n">
        <v>16000</v>
      </c>
      <c r="X16" s="32" t="n">
        <v>0</v>
      </c>
      <c r="Y16" s="32" t="n">
        <v>0</v>
      </c>
      <c r="Z16" s="13" t="n">
        <f aca="false">IFERROR(AVERAGEIF(D16:E16,"&lt;&gt;0"),"")</f>
        <v>15500</v>
      </c>
      <c r="AA16" s="13" t="n">
        <f aca="false">IFERROR(AVERAGEIF(F16:J16,"&lt;&gt;0"),"")</f>
        <v>15500</v>
      </c>
      <c r="AB16" s="13" t="n">
        <f aca="false">IFERROR(AVERAGEIF(K16:O16,"&lt;&gt;0"),"")</f>
        <v>15500</v>
      </c>
      <c r="AC16" s="13" t="n">
        <f aca="false">IFERROR(AVERAGEIF(P16:T16,"&lt;&gt;0"),"")</f>
        <v>15500</v>
      </c>
      <c r="AD16" s="13" t="n">
        <f aca="false">IFERROR(AVERAGEIF(U16:Y16,"&lt;&gt;0"),"")</f>
        <v>15833.3333333333</v>
      </c>
      <c r="AE16" s="13" t="n">
        <f aca="false">IFERROR(AVERAGEIF(D16:Y16,"&lt;&gt;0"),"")</f>
        <v>15558.8235294118</v>
      </c>
    </row>
    <row r="17" customFormat="false" ht="15" hidden="false" customHeight="false" outlineLevel="0" collapsed="false">
      <c r="A17" s="3" t="n">
        <v>13</v>
      </c>
      <c r="B17" s="3" t="s">
        <v>410</v>
      </c>
      <c r="C17" s="3" t="s">
        <v>471</v>
      </c>
      <c r="D17" s="32" t="n">
        <v>0</v>
      </c>
      <c r="E17" s="32" t="n">
        <v>9000</v>
      </c>
      <c r="F17" s="32" t="n">
        <v>9000</v>
      </c>
      <c r="G17" s="32" t="n">
        <v>9000</v>
      </c>
      <c r="H17" s="32" t="n">
        <v>9000</v>
      </c>
      <c r="I17" s="32" t="n">
        <v>9000</v>
      </c>
      <c r="J17" s="32" t="n">
        <v>9000</v>
      </c>
      <c r="K17" s="32" t="n">
        <v>0</v>
      </c>
      <c r="L17" s="32" t="n">
        <v>0</v>
      </c>
      <c r="M17" s="32" t="n">
        <v>9000</v>
      </c>
      <c r="N17" s="32" t="n">
        <v>9000</v>
      </c>
      <c r="O17" s="32" t="n">
        <v>9000</v>
      </c>
      <c r="P17" s="32" t="n">
        <v>9000</v>
      </c>
      <c r="Q17" s="32" t="n">
        <v>9000</v>
      </c>
      <c r="R17" s="32" t="n">
        <v>9000</v>
      </c>
      <c r="S17" s="32" t="n">
        <v>9000</v>
      </c>
      <c r="T17" s="32" t="n">
        <v>9000</v>
      </c>
      <c r="U17" s="32" t="n">
        <v>9000</v>
      </c>
      <c r="V17" s="32" t="n">
        <v>9000</v>
      </c>
      <c r="W17" s="32" t="n">
        <v>9000</v>
      </c>
      <c r="X17" s="32" t="n">
        <v>0</v>
      </c>
      <c r="Y17" s="32" t="n">
        <v>0</v>
      </c>
      <c r="Z17" s="13" t="n">
        <f aca="false">IFERROR(AVERAGEIF(D17:E17,"&lt;&gt;0"),"")</f>
        <v>9000</v>
      </c>
      <c r="AA17" s="13" t="n">
        <f aca="false">IFERROR(AVERAGEIF(F17:J17,"&lt;&gt;0"),"")</f>
        <v>9000</v>
      </c>
      <c r="AB17" s="13" t="n">
        <f aca="false">IFERROR(AVERAGEIF(K17:O17,"&lt;&gt;0"),"")</f>
        <v>9000</v>
      </c>
      <c r="AC17" s="13" t="n">
        <f aca="false">IFERROR(AVERAGEIF(P17:T17,"&lt;&gt;0"),"")</f>
        <v>9000</v>
      </c>
      <c r="AD17" s="13" t="n">
        <f aca="false">IFERROR(AVERAGEIF(U17:Y17,"&lt;&gt;0"),"")</f>
        <v>9000</v>
      </c>
      <c r="AE17" s="13" t="n">
        <f aca="false">IFERROR(AVERAGEIF(D17:Y17,"&lt;&gt;0"),"")</f>
        <v>9000</v>
      </c>
    </row>
    <row r="18" customFormat="false" ht="15" hidden="false" customHeight="false" outlineLevel="0" collapsed="false">
      <c r="A18" s="3" t="n">
        <v>14</v>
      </c>
      <c r="B18" s="3" t="s">
        <v>412</v>
      </c>
      <c r="C18" s="3" t="s">
        <v>471</v>
      </c>
      <c r="D18" s="32" t="n">
        <v>0</v>
      </c>
      <c r="E18" s="32" t="n">
        <v>25000</v>
      </c>
      <c r="F18" s="32" t="n">
        <v>25000</v>
      </c>
      <c r="G18" s="32" t="n">
        <v>25000</v>
      </c>
      <c r="H18" s="32" t="n">
        <v>25000</v>
      </c>
      <c r="I18" s="32" t="n">
        <v>27000</v>
      </c>
      <c r="J18" s="32" t="n">
        <v>27000</v>
      </c>
      <c r="K18" s="32" t="n">
        <v>0</v>
      </c>
      <c r="L18" s="32" t="n">
        <v>0</v>
      </c>
      <c r="M18" s="32" t="n">
        <v>27000</v>
      </c>
      <c r="N18" s="32" t="n">
        <v>27000</v>
      </c>
      <c r="O18" s="32" t="n">
        <v>27000</v>
      </c>
      <c r="P18" s="32" t="n">
        <v>27000</v>
      </c>
      <c r="Q18" s="32" t="n">
        <v>27000</v>
      </c>
      <c r="R18" s="32" t="n">
        <v>27000</v>
      </c>
      <c r="S18" s="32" t="n">
        <v>27000</v>
      </c>
      <c r="T18" s="32" t="n">
        <v>27000</v>
      </c>
      <c r="U18" s="32" t="n">
        <v>28000</v>
      </c>
      <c r="V18" s="32" t="n">
        <v>28000</v>
      </c>
      <c r="W18" s="32" t="n">
        <v>28000</v>
      </c>
      <c r="X18" s="32" t="n">
        <v>0</v>
      </c>
      <c r="Y18" s="32" t="n">
        <v>0</v>
      </c>
      <c r="Z18" s="13" t="n">
        <f aca="false">IFERROR(AVERAGEIF(D18:E18,"&lt;&gt;0"),"")</f>
        <v>25000</v>
      </c>
      <c r="AA18" s="13" t="n">
        <f aca="false">IFERROR(AVERAGEIF(F18:J18,"&lt;&gt;0"),"")</f>
        <v>25800</v>
      </c>
      <c r="AB18" s="13" t="n">
        <f aca="false">IFERROR(AVERAGEIF(K18:O18,"&lt;&gt;0"),"")</f>
        <v>27000</v>
      </c>
      <c r="AC18" s="13" t="n">
        <f aca="false">IFERROR(AVERAGEIF(P18:T18,"&lt;&gt;0"),"")</f>
        <v>27000</v>
      </c>
      <c r="AD18" s="13" t="n">
        <f aca="false">IFERROR(AVERAGEIF(U18:Y18,"&lt;&gt;0"),"")</f>
        <v>28000</v>
      </c>
      <c r="AE18" s="13" t="n">
        <f aca="false">IFERROR(AVERAGEIF(D18:Y18,"&lt;&gt;0"),"")</f>
        <v>26705.8823529412</v>
      </c>
    </row>
    <row r="19" customFormat="false" ht="15" hidden="false" customHeight="false" outlineLevel="0" collapsed="false">
      <c r="A19" s="3" t="n">
        <v>15</v>
      </c>
      <c r="B19" s="3" t="s">
        <v>419</v>
      </c>
      <c r="C19" s="3" t="s">
        <v>471</v>
      </c>
      <c r="D19" s="32" t="n">
        <v>0</v>
      </c>
      <c r="E19" s="32" t="n">
        <v>23000</v>
      </c>
      <c r="F19" s="32" t="n">
        <v>23000</v>
      </c>
      <c r="G19" s="32" t="n">
        <v>23000</v>
      </c>
      <c r="H19" s="32" t="n">
        <v>23000</v>
      </c>
      <c r="I19" s="32" t="n">
        <v>23000</v>
      </c>
      <c r="J19" s="32" t="n">
        <v>23000</v>
      </c>
      <c r="K19" s="32" t="n">
        <v>0</v>
      </c>
      <c r="L19" s="32" t="n">
        <v>0</v>
      </c>
      <c r="M19" s="32" t="n">
        <v>23000</v>
      </c>
      <c r="N19" s="32" t="n">
        <v>23000</v>
      </c>
      <c r="O19" s="32" t="n">
        <v>23000</v>
      </c>
      <c r="P19" s="32" t="n">
        <v>23000</v>
      </c>
      <c r="Q19" s="32" t="n">
        <v>23000</v>
      </c>
      <c r="R19" s="32" t="n">
        <v>23000</v>
      </c>
      <c r="S19" s="32" t="n">
        <v>23000</v>
      </c>
      <c r="T19" s="32" t="n">
        <v>23000</v>
      </c>
      <c r="U19" s="32" t="n">
        <v>23500</v>
      </c>
      <c r="V19" s="32" t="n">
        <v>24000</v>
      </c>
      <c r="W19" s="32" t="n">
        <v>24000</v>
      </c>
      <c r="X19" s="32" t="n">
        <v>0</v>
      </c>
      <c r="Y19" s="32" t="n">
        <v>0</v>
      </c>
      <c r="Z19" s="13" t="n">
        <f aca="false">IFERROR(AVERAGEIF(D19:E19,"&lt;&gt;0"),"")</f>
        <v>23000</v>
      </c>
      <c r="AA19" s="13" t="n">
        <f aca="false">IFERROR(AVERAGEIF(F19:J19,"&lt;&gt;0"),"")</f>
        <v>23000</v>
      </c>
      <c r="AB19" s="13" t="n">
        <f aca="false">IFERROR(AVERAGEIF(K19:O19,"&lt;&gt;0"),"")</f>
        <v>23000</v>
      </c>
      <c r="AC19" s="13" t="n">
        <f aca="false">IFERROR(AVERAGEIF(P19:T19,"&lt;&gt;0"),"")</f>
        <v>23000</v>
      </c>
      <c r="AD19" s="13" t="n">
        <f aca="false">IFERROR(AVERAGEIF(U19:Y19,"&lt;&gt;0"),"")</f>
        <v>23833.3333333333</v>
      </c>
      <c r="AE19" s="13" t="n">
        <f aca="false">IFERROR(AVERAGEIF(D19:Y19,"&lt;&gt;0"),"")</f>
        <v>23147.0588235294</v>
      </c>
    </row>
    <row r="20" customFormat="false" ht="15" hidden="false" customHeight="false" outlineLevel="0" collapsed="false">
      <c r="A20" s="3" t="n">
        <v>16</v>
      </c>
      <c r="B20" s="3" t="s">
        <v>430</v>
      </c>
      <c r="C20" s="3" t="s">
        <v>471</v>
      </c>
      <c r="D20" s="32" t="n">
        <v>0</v>
      </c>
      <c r="E20" s="32" t="n">
        <v>100000</v>
      </c>
      <c r="F20" s="32" t="n">
        <v>100000</v>
      </c>
      <c r="G20" s="32" t="n">
        <v>100000</v>
      </c>
      <c r="H20" s="32" t="n">
        <v>100000</v>
      </c>
      <c r="I20" s="32" t="n">
        <v>100000</v>
      </c>
      <c r="J20" s="32" t="n">
        <v>100000</v>
      </c>
      <c r="K20" s="32" t="n">
        <v>0</v>
      </c>
      <c r="L20" s="32" t="n">
        <v>0</v>
      </c>
      <c r="M20" s="32" t="n">
        <v>100000</v>
      </c>
      <c r="N20" s="32" t="n">
        <v>100000</v>
      </c>
      <c r="O20" s="32" t="n">
        <v>100000</v>
      </c>
      <c r="P20" s="32" t="n">
        <v>100000</v>
      </c>
      <c r="Q20" s="32" t="n">
        <v>100000</v>
      </c>
      <c r="R20" s="32" t="n">
        <v>100000</v>
      </c>
      <c r="S20" s="32" t="n">
        <v>100000</v>
      </c>
      <c r="T20" s="32" t="n">
        <v>100000</v>
      </c>
      <c r="U20" s="32" t="n">
        <v>100000</v>
      </c>
      <c r="V20" s="32" t="n">
        <v>100000</v>
      </c>
      <c r="W20" s="32" t="n">
        <v>100000</v>
      </c>
      <c r="X20" s="32" t="n">
        <v>0</v>
      </c>
      <c r="Y20" s="32" t="n">
        <v>0</v>
      </c>
      <c r="Z20" s="13" t="n">
        <f aca="false">IFERROR(AVERAGEIF(D20:E20,"&lt;&gt;0"),"")</f>
        <v>100000</v>
      </c>
      <c r="AA20" s="13" t="n">
        <f aca="false">IFERROR(AVERAGEIF(F20:J20,"&lt;&gt;0"),"")</f>
        <v>100000</v>
      </c>
      <c r="AB20" s="13" t="n">
        <f aca="false">IFERROR(AVERAGEIF(K20:O20,"&lt;&gt;0"),"")</f>
        <v>100000</v>
      </c>
      <c r="AC20" s="13" t="n">
        <f aca="false">IFERROR(AVERAGEIF(P20:T20,"&lt;&gt;0"),"")</f>
        <v>100000</v>
      </c>
      <c r="AD20" s="13" t="n">
        <f aca="false">IFERROR(AVERAGEIF(U20:Y20,"&lt;&gt;0"),"")</f>
        <v>100000</v>
      </c>
      <c r="AE20" s="13" t="n">
        <f aca="false">IFERROR(AVERAGEIF(D20:Y20,"&lt;&gt;0"),"")</f>
        <v>100000</v>
      </c>
    </row>
    <row r="21" customFormat="false" ht="15" hidden="false" customHeight="false" outlineLevel="0" collapsed="false">
      <c r="A21" s="3" t="n">
        <v>17</v>
      </c>
      <c r="B21" s="3" t="s">
        <v>431</v>
      </c>
      <c r="C21" s="3" t="s">
        <v>471</v>
      </c>
      <c r="D21" s="32" t="n">
        <v>0</v>
      </c>
      <c r="E21" s="32" t="n">
        <v>55000</v>
      </c>
      <c r="F21" s="32" t="n">
        <v>55000</v>
      </c>
      <c r="G21" s="32" t="n">
        <v>55000</v>
      </c>
      <c r="H21" s="32" t="n">
        <v>55000</v>
      </c>
      <c r="I21" s="32" t="n">
        <v>55000</v>
      </c>
      <c r="J21" s="32" t="n">
        <v>55000</v>
      </c>
      <c r="K21" s="32" t="n">
        <v>0</v>
      </c>
      <c r="L21" s="32" t="n">
        <v>0</v>
      </c>
      <c r="M21" s="32" t="n">
        <v>55000</v>
      </c>
      <c r="N21" s="32" t="n">
        <v>55000</v>
      </c>
      <c r="O21" s="32" t="n">
        <v>55000</v>
      </c>
      <c r="P21" s="32" t="n">
        <v>55000</v>
      </c>
      <c r="Q21" s="32" t="n">
        <v>55000</v>
      </c>
      <c r="R21" s="32" t="n">
        <v>55000</v>
      </c>
      <c r="S21" s="32" t="n">
        <v>55000</v>
      </c>
      <c r="T21" s="32" t="n">
        <v>55000</v>
      </c>
      <c r="U21" s="32" t="n">
        <v>55000</v>
      </c>
      <c r="V21" s="32" t="n">
        <v>60000</v>
      </c>
      <c r="W21" s="32" t="n">
        <v>60000</v>
      </c>
      <c r="X21" s="32" t="n">
        <v>0</v>
      </c>
      <c r="Y21" s="32" t="n">
        <v>0</v>
      </c>
      <c r="Z21" s="13" t="n">
        <f aca="false">IFERROR(AVERAGEIF(D21:E21,"&lt;&gt;0"),"")</f>
        <v>55000</v>
      </c>
      <c r="AA21" s="13" t="n">
        <f aca="false">IFERROR(AVERAGEIF(F21:J21,"&lt;&gt;0"),"")</f>
        <v>55000</v>
      </c>
      <c r="AB21" s="13" t="n">
        <f aca="false">IFERROR(AVERAGEIF(K21:O21,"&lt;&gt;0"),"")</f>
        <v>55000</v>
      </c>
      <c r="AC21" s="13" t="n">
        <f aca="false">IFERROR(AVERAGEIF(P21:T21,"&lt;&gt;0"),"")</f>
        <v>55000</v>
      </c>
      <c r="AD21" s="13" t="n">
        <f aca="false">IFERROR(AVERAGEIF(U21:Y21,"&lt;&gt;0"),"")</f>
        <v>58333.3333333333</v>
      </c>
      <c r="AE21" s="13" t="n">
        <f aca="false">IFERROR(AVERAGEIF(D21:Y21,"&lt;&gt;0"),"")</f>
        <v>55588.2352941177</v>
      </c>
    </row>
    <row r="22" customFormat="false" ht="15" hidden="false" customHeight="false" outlineLevel="0" collapsed="false">
      <c r="A22" s="3" t="n">
        <v>18</v>
      </c>
      <c r="B22" s="3" t="s">
        <v>432</v>
      </c>
      <c r="C22" s="3" t="s">
        <v>471</v>
      </c>
      <c r="D22" s="32" t="n">
        <v>0</v>
      </c>
      <c r="E22" s="32" t="n">
        <v>60000</v>
      </c>
      <c r="F22" s="32" t="n">
        <v>60000</v>
      </c>
      <c r="G22" s="32" t="n">
        <v>60000</v>
      </c>
      <c r="H22" s="32" t="n">
        <v>60000</v>
      </c>
      <c r="I22" s="32" t="n">
        <v>60000</v>
      </c>
      <c r="J22" s="32" t="n">
        <v>60000</v>
      </c>
      <c r="K22" s="32" t="n">
        <v>0</v>
      </c>
      <c r="L22" s="32" t="n">
        <v>0</v>
      </c>
      <c r="M22" s="32" t="n">
        <v>60000</v>
      </c>
      <c r="N22" s="32" t="n">
        <v>60000</v>
      </c>
      <c r="O22" s="32" t="n">
        <v>60000</v>
      </c>
      <c r="P22" s="32" t="n">
        <v>60000</v>
      </c>
      <c r="Q22" s="32" t="n">
        <v>60000</v>
      </c>
      <c r="R22" s="32" t="n">
        <v>60000</v>
      </c>
      <c r="S22" s="32" t="n">
        <v>60000</v>
      </c>
      <c r="T22" s="32" t="n">
        <v>60000</v>
      </c>
      <c r="U22" s="32" t="n">
        <v>60000</v>
      </c>
      <c r="V22" s="32" t="n">
        <v>60000</v>
      </c>
      <c r="W22" s="32" t="n">
        <v>60000</v>
      </c>
      <c r="X22" s="32" t="n">
        <v>0</v>
      </c>
      <c r="Y22" s="32" t="n">
        <v>0</v>
      </c>
      <c r="Z22" s="13" t="n">
        <f aca="false">IFERROR(AVERAGEIF(D22:E22,"&lt;&gt;0"),"")</f>
        <v>60000</v>
      </c>
      <c r="AA22" s="13" t="n">
        <f aca="false">IFERROR(AVERAGEIF(F22:J22,"&lt;&gt;0"),"")</f>
        <v>60000</v>
      </c>
      <c r="AB22" s="13" t="n">
        <f aca="false">IFERROR(AVERAGEIF(K22:O22,"&lt;&gt;0"),"")</f>
        <v>60000</v>
      </c>
      <c r="AC22" s="13" t="n">
        <f aca="false">IFERROR(AVERAGEIF(P22:T22,"&lt;&gt;0"),"")</f>
        <v>60000</v>
      </c>
      <c r="AD22" s="13" t="n">
        <f aca="false">IFERROR(AVERAGEIF(U22:Y22,"&lt;&gt;0"),"")</f>
        <v>60000</v>
      </c>
      <c r="AE22" s="13" t="n">
        <f aca="false">IFERROR(AVERAGEIF(D22:Y22,"&lt;&gt;0"),"")</f>
        <v>60000</v>
      </c>
    </row>
    <row r="23" customFormat="false" ht="15" hidden="false" customHeight="false" outlineLevel="0" collapsed="false">
      <c r="A23" s="3" t="n">
        <v>19</v>
      </c>
      <c r="B23" s="3" t="s">
        <v>473</v>
      </c>
      <c r="C23" s="3" t="s">
        <v>471</v>
      </c>
      <c r="D23" s="32" t="n">
        <v>0</v>
      </c>
      <c r="E23" s="32" t="n">
        <v>30000</v>
      </c>
      <c r="F23" s="32" t="n">
        <v>30000</v>
      </c>
      <c r="G23" s="32" t="n">
        <v>30000</v>
      </c>
      <c r="H23" s="32" t="n">
        <v>30000</v>
      </c>
      <c r="I23" s="32" t="n">
        <v>30000</v>
      </c>
      <c r="J23" s="32" t="n">
        <v>30000</v>
      </c>
      <c r="K23" s="32" t="n">
        <v>0</v>
      </c>
      <c r="L23" s="32" t="n">
        <v>0</v>
      </c>
      <c r="M23" s="32" t="n">
        <v>30000</v>
      </c>
      <c r="N23" s="32" t="n">
        <v>30000</v>
      </c>
      <c r="O23" s="32" t="n">
        <v>30000</v>
      </c>
      <c r="P23" s="32" t="n">
        <v>30000</v>
      </c>
      <c r="Q23" s="32" t="n">
        <v>30000</v>
      </c>
      <c r="R23" s="32" t="n">
        <v>30000</v>
      </c>
      <c r="S23" s="32" t="n">
        <v>30000</v>
      </c>
      <c r="T23" s="32" t="n">
        <v>30000</v>
      </c>
      <c r="U23" s="32" t="n">
        <v>30000</v>
      </c>
      <c r="V23" s="32" t="n">
        <v>30000</v>
      </c>
      <c r="W23" s="32" t="n">
        <v>30000</v>
      </c>
      <c r="X23" s="32" t="n">
        <v>0</v>
      </c>
      <c r="Y23" s="32" t="n">
        <v>0</v>
      </c>
      <c r="Z23" s="13" t="n">
        <f aca="false">IFERROR(AVERAGEIF(D23:E23,"&lt;&gt;0"),"")</f>
        <v>30000</v>
      </c>
      <c r="AA23" s="13" t="n">
        <f aca="false">IFERROR(AVERAGEIF(F23:J23,"&lt;&gt;0"),"")</f>
        <v>30000</v>
      </c>
      <c r="AB23" s="13" t="n">
        <f aca="false">IFERROR(AVERAGEIF(K23:O23,"&lt;&gt;0"),"")</f>
        <v>30000</v>
      </c>
      <c r="AC23" s="13" t="n">
        <f aca="false">IFERROR(AVERAGEIF(P23:T23,"&lt;&gt;0"),"")</f>
        <v>30000</v>
      </c>
      <c r="AD23" s="13" t="n">
        <f aca="false">IFERROR(AVERAGEIF(U23:Y23,"&lt;&gt;0"),"")</f>
        <v>30000</v>
      </c>
      <c r="AE23" s="13" t="n">
        <f aca="false">IFERROR(AVERAGEIF(D23:Y23,"&lt;&gt;0"),"")</f>
        <v>30000</v>
      </c>
    </row>
    <row r="24" customFormat="false" ht="15" hidden="false" customHeight="false" outlineLevel="0" collapsed="false">
      <c r="A24" s="3" t="n">
        <v>20</v>
      </c>
      <c r="B24" s="3" t="s">
        <v>421</v>
      </c>
      <c r="C24" s="3" t="s">
        <v>471</v>
      </c>
      <c r="D24" s="32" t="n">
        <v>0</v>
      </c>
      <c r="E24" s="32" t="n">
        <v>30000</v>
      </c>
      <c r="F24" s="32" t="n">
        <v>30000</v>
      </c>
      <c r="G24" s="32" t="n">
        <v>30000</v>
      </c>
      <c r="H24" s="32" t="n">
        <v>30000</v>
      </c>
      <c r="I24" s="32" t="n">
        <v>30000</v>
      </c>
      <c r="J24" s="32" t="n">
        <v>30000</v>
      </c>
      <c r="K24" s="32" t="n">
        <v>0</v>
      </c>
      <c r="L24" s="32" t="n">
        <v>0</v>
      </c>
      <c r="M24" s="32" t="n">
        <v>30000</v>
      </c>
      <c r="N24" s="32" t="n">
        <v>30000</v>
      </c>
      <c r="O24" s="32" t="n">
        <v>30000</v>
      </c>
      <c r="P24" s="32" t="n">
        <v>30000</v>
      </c>
      <c r="Q24" s="32" t="n">
        <v>30000</v>
      </c>
      <c r="R24" s="32" t="n">
        <v>30000</v>
      </c>
      <c r="S24" s="32" t="n">
        <v>30000</v>
      </c>
      <c r="T24" s="32" t="n">
        <v>30000</v>
      </c>
      <c r="U24" s="32" t="n">
        <v>30000</v>
      </c>
      <c r="V24" s="32" t="n">
        <v>30000</v>
      </c>
      <c r="W24" s="32" t="n">
        <v>30000</v>
      </c>
      <c r="X24" s="32" t="n">
        <v>0</v>
      </c>
      <c r="Y24" s="32" t="n">
        <v>0</v>
      </c>
      <c r="Z24" s="13" t="n">
        <f aca="false">IFERROR(AVERAGEIF(D24:E24,"&lt;&gt;0"),"")</f>
        <v>30000</v>
      </c>
      <c r="AA24" s="13" t="n">
        <f aca="false">IFERROR(AVERAGEIF(F24:J24,"&lt;&gt;0"),"")</f>
        <v>30000</v>
      </c>
      <c r="AB24" s="13" t="n">
        <f aca="false">IFERROR(AVERAGEIF(K24:O24,"&lt;&gt;0"),"")</f>
        <v>30000</v>
      </c>
      <c r="AC24" s="13" t="n">
        <f aca="false">IFERROR(AVERAGEIF(P24:T24,"&lt;&gt;0"),"")</f>
        <v>30000</v>
      </c>
      <c r="AD24" s="13" t="n">
        <f aca="false">IFERROR(AVERAGEIF(U24:Y24,"&lt;&gt;0"),"")</f>
        <v>30000</v>
      </c>
      <c r="AE24" s="13" t="n">
        <f aca="false">IFERROR(AVERAGEIF(D24:Y24,"&lt;&gt;0"),"")</f>
        <v>30000</v>
      </c>
    </row>
    <row r="25" customFormat="false" ht="15" hidden="false" customHeight="false" outlineLevel="0" collapsed="false">
      <c r="A25" s="3" t="n">
        <v>21</v>
      </c>
      <c r="B25" s="3" t="s">
        <v>474</v>
      </c>
      <c r="C25" s="3" t="s">
        <v>471</v>
      </c>
      <c r="D25" s="32" t="n">
        <v>0</v>
      </c>
      <c r="E25" s="32" t="n">
        <v>60000</v>
      </c>
      <c r="F25" s="32" t="n">
        <v>60000</v>
      </c>
      <c r="G25" s="32" t="n">
        <v>60000</v>
      </c>
      <c r="H25" s="32" t="n">
        <v>60000</v>
      </c>
      <c r="I25" s="32" t="n">
        <v>60000</v>
      </c>
      <c r="J25" s="32" t="n">
        <v>60000</v>
      </c>
      <c r="K25" s="32" t="n">
        <v>0</v>
      </c>
      <c r="L25" s="32" t="n">
        <v>0</v>
      </c>
      <c r="M25" s="32" t="n">
        <v>60000</v>
      </c>
      <c r="N25" s="32" t="n">
        <v>60000</v>
      </c>
      <c r="O25" s="32" t="n">
        <v>60000</v>
      </c>
      <c r="P25" s="32" t="n">
        <v>60000</v>
      </c>
      <c r="Q25" s="32" t="n">
        <v>60000</v>
      </c>
      <c r="R25" s="32" t="n">
        <v>60000</v>
      </c>
      <c r="S25" s="32" t="n">
        <v>60000</v>
      </c>
      <c r="T25" s="32" t="n">
        <v>60000</v>
      </c>
      <c r="U25" s="32" t="n">
        <v>60000</v>
      </c>
      <c r="V25" s="32" t="n">
        <v>60000</v>
      </c>
      <c r="W25" s="32" t="n">
        <v>60000</v>
      </c>
      <c r="X25" s="32" t="n">
        <v>0</v>
      </c>
      <c r="Y25" s="32" t="n">
        <v>0</v>
      </c>
      <c r="Z25" s="13" t="n">
        <f aca="false">IFERROR(AVERAGEIF(D25:E25,"&lt;&gt;0"),"")</f>
        <v>60000</v>
      </c>
      <c r="AA25" s="13" t="n">
        <f aca="false">IFERROR(AVERAGEIF(F25:J25,"&lt;&gt;0"),"")</f>
        <v>60000</v>
      </c>
      <c r="AB25" s="13" t="n">
        <f aca="false">IFERROR(AVERAGEIF(K25:O25,"&lt;&gt;0"),"")</f>
        <v>60000</v>
      </c>
      <c r="AC25" s="13" t="n">
        <f aca="false">IFERROR(AVERAGEIF(P25:T25,"&lt;&gt;0"),"")</f>
        <v>60000</v>
      </c>
      <c r="AD25" s="13" t="n">
        <f aca="false">IFERROR(AVERAGEIF(U25:Y25,"&lt;&gt;0"),"")</f>
        <v>60000</v>
      </c>
      <c r="AE25" s="13" t="n">
        <f aca="false">IFERROR(AVERAGEIF(D25:Y25,"&lt;&gt;0"),"")</f>
        <v>60000</v>
      </c>
    </row>
    <row r="26" customFormat="false" ht="15" hidden="false" customHeight="false" outlineLevel="0" collapsed="false">
      <c r="A26" s="3" t="n">
        <v>22</v>
      </c>
      <c r="B26" s="3" t="s">
        <v>426</v>
      </c>
      <c r="C26" s="3" t="s">
        <v>471</v>
      </c>
      <c r="D26" s="32" t="n">
        <v>0</v>
      </c>
      <c r="E26" s="32" t="n">
        <v>2800</v>
      </c>
      <c r="F26" s="32" t="n">
        <v>2800</v>
      </c>
      <c r="G26" s="32" t="n">
        <v>2800</v>
      </c>
      <c r="H26" s="32" t="n">
        <v>2800</v>
      </c>
      <c r="I26" s="32" t="n">
        <v>2800</v>
      </c>
      <c r="J26" s="32" t="n">
        <v>2800</v>
      </c>
      <c r="K26" s="32" t="n">
        <v>0</v>
      </c>
      <c r="L26" s="32" t="n">
        <v>0</v>
      </c>
      <c r="M26" s="32" t="n">
        <v>2800</v>
      </c>
      <c r="N26" s="32" t="n">
        <v>2800</v>
      </c>
      <c r="O26" s="32" t="n">
        <v>2800</v>
      </c>
      <c r="P26" s="32" t="n">
        <v>2800</v>
      </c>
      <c r="Q26" s="32" t="n">
        <v>2800</v>
      </c>
      <c r="R26" s="32" t="n">
        <v>2800</v>
      </c>
      <c r="S26" s="32" t="n">
        <v>2800</v>
      </c>
      <c r="T26" s="32" t="n">
        <v>2800</v>
      </c>
      <c r="U26" s="32" t="n">
        <v>2800</v>
      </c>
      <c r="V26" s="32" t="n">
        <v>2800</v>
      </c>
      <c r="W26" s="32" t="n">
        <v>2800</v>
      </c>
      <c r="X26" s="32" t="n">
        <v>0</v>
      </c>
      <c r="Y26" s="32" t="n">
        <v>0</v>
      </c>
      <c r="Z26" s="13" t="n">
        <f aca="false">IFERROR(AVERAGEIF(D26:E26,"&lt;&gt;0"),"")</f>
        <v>2800</v>
      </c>
      <c r="AA26" s="13" t="n">
        <f aca="false">IFERROR(AVERAGEIF(F26:J26,"&lt;&gt;0"),"")</f>
        <v>2800</v>
      </c>
      <c r="AB26" s="13" t="n">
        <f aca="false">IFERROR(AVERAGEIF(K26:O26,"&lt;&gt;0"),"")</f>
        <v>2800</v>
      </c>
      <c r="AC26" s="13" t="n">
        <f aca="false">IFERROR(AVERAGEIF(P26:T26,"&lt;&gt;0"),"")</f>
        <v>2800</v>
      </c>
      <c r="AD26" s="13" t="n">
        <f aca="false">IFERROR(AVERAGEIF(U26:Y26,"&lt;&gt;0"),"")</f>
        <v>2800</v>
      </c>
      <c r="AE26" s="13" t="n">
        <f aca="false">IFERROR(AVERAGEIF(D26:Y26,"&lt;&gt;0"),"")</f>
        <v>2800</v>
      </c>
    </row>
    <row r="27" customFormat="false" ht="15" hidden="false" customHeight="false" outlineLevel="0" collapsed="false">
      <c r="A27" s="3" t="n">
        <v>23</v>
      </c>
      <c r="B27" s="3" t="s">
        <v>424</v>
      </c>
      <c r="C27" s="3" t="s">
        <v>471</v>
      </c>
      <c r="D27" s="32" t="n">
        <v>0</v>
      </c>
      <c r="E27" s="32" t="n">
        <v>32000</v>
      </c>
      <c r="F27" s="32" t="n">
        <v>32000</v>
      </c>
      <c r="G27" s="32" t="n">
        <v>32000</v>
      </c>
      <c r="H27" s="32" t="n">
        <v>32000</v>
      </c>
      <c r="I27" s="32" t="n">
        <v>32000</v>
      </c>
      <c r="J27" s="32" t="n">
        <v>32000</v>
      </c>
      <c r="K27" s="32" t="n">
        <v>0</v>
      </c>
      <c r="L27" s="32" t="n">
        <v>0</v>
      </c>
      <c r="M27" s="32" t="n">
        <v>32000</v>
      </c>
      <c r="N27" s="32" t="n">
        <v>32000</v>
      </c>
      <c r="O27" s="32" t="n">
        <v>32000</v>
      </c>
      <c r="P27" s="32" t="n">
        <v>32000</v>
      </c>
      <c r="Q27" s="32" t="n">
        <v>32000</v>
      </c>
      <c r="R27" s="32" t="n">
        <v>32000</v>
      </c>
      <c r="S27" s="32" t="n">
        <v>32000</v>
      </c>
      <c r="T27" s="32" t="n">
        <v>32000</v>
      </c>
      <c r="U27" s="32" t="n">
        <v>32000</v>
      </c>
      <c r="V27" s="32" t="n">
        <v>32000</v>
      </c>
      <c r="W27" s="32" t="n">
        <v>32000</v>
      </c>
      <c r="X27" s="32" t="n">
        <v>0</v>
      </c>
      <c r="Y27" s="32" t="n">
        <v>0</v>
      </c>
      <c r="Z27" s="13" t="n">
        <f aca="false">IFERROR(AVERAGEIF(D27:E27,"&lt;&gt;0"),"")</f>
        <v>32000</v>
      </c>
      <c r="AA27" s="13" t="n">
        <f aca="false">IFERROR(AVERAGEIF(F27:J27,"&lt;&gt;0"),"")</f>
        <v>32000</v>
      </c>
      <c r="AB27" s="13" t="n">
        <f aca="false">IFERROR(AVERAGEIF(K27:O27,"&lt;&gt;0"),"")</f>
        <v>32000</v>
      </c>
      <c r="AC27" s="13" t="n">
        <f aca="false">IFERROR(AVERAGEIF(P27:T27,"&lt;&gt;0"),"")</f>
        <v>32000</v>
      </c>
      <c r="AD27" s="13" t="n">
        <f aca="false">IFERROR(AVERAGEIF(U27:Y27,"&lt;&gt;0"),"")</f>
        <v>32000</v>
      </c>
      <c r="AE27" s="13" t="n">
        <f aca="false">IFERROR(AVERAGEIF(D27:Y27,"&lt;&gt;0"),"")</f>
        <v>32000</v>
      </c>
    </row>
    <row r="28" customFormat="false" ht="15" hidden="false" customHeight="false" outlineLevel="0" collapsed="false">
      <c r="A28" s="3" t="n">
        <v>24</v>
      </c>
      <c r="B28" s="3" t="s">
        <v>425</v>
      </c>
      <c r="C28" s="3" t="s">
        <v>471</v>
      </c>
      <c r="D28" s="32" t="n">
        <v>0</v>
      </c>
      <c r="E28" s="32" t="n">
        <v>33000</v>
      </c>
      <c r="F28" s="32" t="n">
        <v>33000</v>
      </c>
      <c r="G28" s="32" t="n">
        <v>33000</v>
      </c>
      <c r="H28" s="32" t="n">
        <v>33000</v>
      </c>
      <c r="I28" s="32" t="n">
        <v>33000</v>
      </c>
      <c r="J28" s="32" t="n">
        <v>33000</v>
      </c>
      <c r="K28" s="32" t="n">
        <v>0</v>
      </c>
      <c r="L28" s="32" t="n">
        <v>0</v>
      </c>
      <c r="M28" s="32" t="n">
        <v>33000</v>
      </c>
      <c r="N28" s="32" t="n">
        <v>33000</v>
      </c>
      <c r="O28" s="32" t="n">
        <v>33000</v>
      </c>
      <c r="P28" s="32" t="n">
        <v>33000</v>
      </c>
      <c r="Q28" s="32" t="n">
        <v>33000</v>
      </c>
      <c r="R28" s="32" t="n">
        <v>33000</v>
      </c>
      <c r="S28" s="32" t="n">
        <v>33000</v>
      </c>
      <c r="T28" s="32" t="n">
        <v>33000</v>
      </c>
      <c r="U28" s="32" t="n">
        <v>33000</v>
      </c>
      <c r="V28" s="32" t="n">
        <v>33000</v>
      </c>
      <c r="W28" s="32" t="n">
        <v>33000</v>
      </c>
      <c r="X28" s="32" t="n">
        <v>0</v>
      </c>
      <c r="Y28" s="32" t="n">
        <v>0</v>
      </c>
      <c r="Z28" s="13" t="n">
        <f aca="false">IFERROR(AVERAGEIF(D28:E28,"&lt;&gt;0"),"")</f>
        <v>33000</v>
      </c>
      <c r="AA28" s="13" t="n">
        <f aca="false">IFERROR(AVERAGEIF(F28:J28,"&lt;&gt;0"),"")</f>
        <v>33000</v>
      </c>
      <c r="AB28" s="13" t="n">
        <f aca="false">IFERROR(AVERAGEIF(K28:O28,"&lt;&gt;0"),"")</f>
        <v>33000</v>
      </c>
      <c r="AC28" s="13" t="n">
        <f aca="false">IFERROR(AVERAGEIF(P28:T28,"&lt;&gt;0"),"")</f>
        <v>33000</v>
      </c>
      <c r="AD28" s="13" t="n">
        <f aca="false">IFERROR(AVERAGEIF(U28:Y28,"&lt;&gt;0"),"")</f>
        <v>33000</v>
      </c>
      <c r="AE28" s="13" t="n">
        <f aca="false">IFERROR(AVERAGEIF(D28:Y28,"&lt;&gt;0"),"")</f>
        <v>33000</v>
      </c>
    </row>
    <row r="29" customFormat="false" ht="15" hidden="false" customHeight="false" outlineLevel="0" collapsed="false">
      <c r="A29" s="3" t="n">
        <v>25</v>
      </c>
      <c r="B29" s="3" t="s">
        <v>475</v>
      </c>
      <c r="C29" s="3" t="s">
        <v>471</v>
      </c>
      <c r="D29" s="32" t="n">
        <v>0</v>
      </c>
      <c r="E29" s="32" t="n">
        <v>25000</v>
      </c>
      <c r="F29" s="32" t="n">
        <v>25000</v>
      </c>
      <c r="G29" s="32" t="n">
        <v>25000</v>
      </c>
      <c r="H29" s="32" t="n">
        <v>25000</v>
      </c>
      <c r="I29" s="32" t="n">
        <v>25000</v>
      </c>
      <c r="J29" s="32" t="n">
        <v>25000</v>
      </c>
      <c r="K29" s="32" t="n">
        <v>0</v>
      </c>
      <c r="L29" s="32" t="n">
        <v>0</v>
      </c>
      <c r="M29" s="32" t="n">
        <v>25000</v>
      </c>
      <c r="N29" s="32" t="n">
        <v>25000</v>
      </c>
      <c r="O29" s="32" t="n">
        <v>25000</v>
      </c>
      <c r="P29" s="32" t="n">
        <v>25000</v>
      </c>
      <c r="Q29" s="32" t="n">
        <v>25000</v>
      </c>
      <c r="R29" s="32" t="n">
        <v>25000</v>
      </c>
      <c r="S29" s="32" t="n">
        <v>25000</v>
      </c>
      <c r="T29" s="32" t="n">
        <v>25000</v>
      </c>
      <c r="U29" s="32" t="n">
        <v>25000</v>
      </c>
      <c r="V29" s="32" t="n">
        <v>25000</v>
      </c>
      <c r="W29" s="32" t="n">
        <v>25000</v>
      </c>
      <c r="X29" s="32" t="n">
        <v>0</v>
      </c>
      <c r="Y29" s="32" t="n">
        <v>0</v>
      </c>
      <c r="Z29" s="13" t="n">
        <f aca="false">IFERROR(AVERAGEIF(D29:E29,"&lt;&gt;0"),"")</f>
        <v>25000</v>
      </c>
      <c r="AA29" s="13" t="n">
        <f aca="false">IFERROR(AVERAGEIF(F29:J29,"&lt;&gt;0"),"")</f>
        <v>25000</v>
      </c>
      <c r="AB29" s="13" t="n">
        <f aca="false">IFERROR(AVERAGEIF(K29:O29,"&lt;&gt;0"),"")</f>
        <v>25000</v>
      </c>
      <c r="AC29" s="13" t="n">
        <f aca="false">IFERROR(AVERAGEIF(P29:T29,"&lt;&gt;0"),"")</f>
        <v>25000</v>
      </c>
      <c r="AD29" s="13" t="n">
        <f aca="false">IFERROR(AVERAGEIF(U29:Y29,"&lt;&gt;0"),"")</f>
        <v>25000</v>
      </c>
      <c r="AE29" s="13" t="n">
        <f aca="false">IFERROR(AVERAGEIF(D29:Y29,"&lt;&gt;0"),"")</f>
        <v>25000</v>
      </c>
    </row>
    <row r="30" customFormat="false" ht="15" hidden="false" customHeight="false" outlineLevel="0" collapsed="false">
      <c r="A30" s="3" t="n">
        <v>26</v>
      </c>
      <c r="B30" s="3" t="s">
        <v>476</v>
      </c>
      <c r="C30" s="3" t="s">
        <v>471</v>
      </c>
      <c r="D30" s="32" t="n">
        <v>0</v>
      </c>
      <c r="E30" s="32" t="n">
        <v>8000</v>
      </c>
      <c r="F30" s="32" t="n">
        <v>8000</v>
      </c>
      <c r="G30" s="32" t="n">
        <v>8000</v>
      </c>
      <c r="H30" s="32" t="n">
        <v>8000</v>
      </c>
      <c r="I30" s="32" t="n">
        <v>8000</v>
      </c>
      <c r="J30" s="32" t="n">
        <v>8000</v>
      </c>
      <c r="K30" s="32" t="n">
        <v>0</v>
      </c>
      <c r="L30" s="32" t="n">
        <v>0</v>
      </c>
      <c r="M30" s="32" t="n">
        <v>8000</v>
      </c>
      <c r="N30" s="32" t="n">
        <v>8000</v>
      </c>
      <c r="O30" s="32" t="n">
        <v>8000</v>
      </c>
      <c r="P30" s="32" t="n">
        <v>8000</v>
      </c>
      <c r="Q30" s="32" t="n">
        <v>8000</v>
      </c>
      <c r="R30" s="32" t="n">
        <v>8000</v>
      </c>
      <c r="S30" s="32" t="n">
        <v>8000</v>
      </c>
      <c r="T30" s="32" t="n">
        <v>8000</v>
      </c>
      <c r="U30" s="32" t="n">
        <v>8000</v>
      </c>
      <c r="V30" s="32" t="n">
        <v>8000</v>
      </c>
      <c r="W30" s="32" t="n">
        <v>8000</v>
      </c>
      <c r="X30" s="32" t="n">
        <v>0</v>
      </c>
      <c r="Y30" s="32" t="n">
        <v>0</v>
      </c>
      <c r="Z30" s="13" t="n">
        <f aca="false">IFERROR(AVERAGEIF(D30:E30,"&lt;&gt;0"),"")</f>
        <v>8000</v>
      </c>
      <c r="AA30" s="13" t="n">
        <f aca="false">IFERROR(AVERAGEIF(F30:J30,"&lt;&gt;0"),"")</f>
        <v>8000</v>
      </c>
      <c r="AB30" s="13" t="n">
        <f aca="false">IFERROR(AVERAGEIF(K30:O30,"&lt;&gt;0"),"")</f>
        <v>8000</v>
      </c>
      <c r="AC30" s="13" t="n">
        <f aca="false">IFERROR(AVERAGEIF(P30:T30,"&lt;&gt;0"),"")</f>
        <v>8000</v>
      </c>
      <c r="AD30" s="13" t="n">
        <f aca="false">IFERROR(AVERAGEIF(U30:Y30,"&lt;&gt;0"),"")</f>
        <v>8000</v>
      </c>
      <c r="AE30" s="13" t="n">
        <f aca="false">IFERROR(AVERAGEIF(D30:Y30,"&lt;&gt;0"),"")</f>
        <v>8000</v>
      </c>
    </row>
    <row r="31" customFormat="false" ht="15" hidden="false" customHeight="false" outlineLevel="0" collapsed="false">
      <c r="A31" s="3" t="n">
        <v>27</v>
      </c>
      <c r="B31" s="3" t="s">
        <v>427</v>
      </c>
      <c r="C31" s="3" t="s">
        <v>471</v>
      </c>
      <c r="D31" s="32" t="n">
        <v>0</v>
      </c>
      <c r="E31" s="32" t="n">
        <v>10500</v>
      </c>
      <c r="F31" s="32" t="n">
        <v>10500</v>
      </c>
      <c r="G31" s="32" t="n">
        <v>10500</v>
      </c>
      <c r="H31" s="32" t="n">
        <v>10500</v>
      </c>
      <c r="I31" s="32" t="n">
        <v>10500</v>
      </c>
      <c r="J31" s="32" t="n">
        <v>10500</v>
      </c>
      <c r="K31" s="32" t="n">
        <v>0</v>
      </c>
      <c r="L31" s="32" t="n">
        <v>0</v>
      </c>
      <c r="M31" s="32" t="n">
        <v>10500</v>
      </c>
      <c r="N31" s="32" t="n">
        <v>10500</v>
      </c>
      <c r="O31" s="32" t="n">
        <v>10500</v>
      </c>
      <c r="P31" s="32" t="n">
        <v>10500</v>
      </c>
      <c r="Q31" s="32" t="n">
        <v>10500</v>
      </c>
      <c r="R31" s="32" t="n">
        <v>10500</v>
      </c>
      <c r="S31" s="32" t="n">
        <v>10500</v>
      </c>
      <c r="T31" s="32" t="n">
        <v>10500</v>
      </c>
      <c r="U31" s="32" t="n">
        <v>10500</v>
      </c>
      <c r="V31" s="32" t="n">
        <v>10500</v>
      </c>
      <c r="W31" s="32" t="n">
        <v>10500</v>
      </c>
      <c r="X31" s="32" t="n">
        <v>0</v>
      </c>
      <c r="Y31" s="32" t="n">
        <v>0</v>
      </c>
      <c r="Z31" s="13" t="n">
        <f aca="false">IFERROR(AVERAGEIF(D31:E31,"&lt;&gt;0"),"")</f>
        <v>10500</v>
      </c>
      <c r="AA31" s="13" t="n">
        <f aca="false">IFERROR(AVERAGEIF(F31:J31,"&lt;&gt;0"),"")</f>
        <v>10500</v>
      </c>
      <c r="AB31" s="13" t="n">
        <f aca="false">IFERROR(AVERAGEIF(K31:O31,"&lt;&gt;0"),"")</f>
        <v>10500</v>
      </c>
      <c r="AC31" s="13" t="n">
        <f aca="false">IFERROR(AVERAGEIF(P31:T31,"&lt;&gt;0"),"")</f>
        <v>10500</v>
      </c>
      <c r="AD31" s="13" t="n">
        <f aca="false">IFERROR(AVERAGEIF(U31:Y31,"&lt;&gt;0"),"")</f>
        <v>10500</v>
      </c>
      <c r="AE31" s="13" t="n">
        <f aca="false">IFERROR(AVERAGEIF(D31:Y31,"&lt;&gt;0"),"")</f>
        <v>10500</v>
      </c>
    </row>
    <row r="32" customFormat="false" ht="15" hidden="false" customHeight="false" outlineLevel="0" collapsed="false">
      <c r="A32" s="3" t="n">
        <v>28</v>
      </c>
      <c r="B32" s="3" t="s">
        <v>422</v>
      </c>
      <c r="C32" s="3" t="s">
        <v>471</v>
      </c>
      <c r="D32" s="32" t="n">
        <v>0</v>
      </c>
      <c r="E32" s="32" t="n">
        <v>42000</v>
      </c>
      <c r="F32" s="32" t="n">
        <v>42000</v>
      </c>
      <c r="G32" s="32" t="n">
        <v>42000</v>
      </c>
      <c r="H32" s="32" t="n">
        <v>42000</v>
      </c>
      <c r="I32" s="32" t="n">
        <v>42000</v>
      </c>
      <c r="J32" s="32" t="n">
        <v>42000</v>
      </c>
      <c r="K32" s="32" t="n">
        <v>0</v>
      </c>
      <c r="L32" s="32" t="n">
        <v>0</v>
      </c>
      <c r="M32" s="32" t="n">
        <v>42000</v>
      </c>
      <c r="N32" s="32" t="n">
        <v>42000</v>
      </c>
      <c r="O32" s="32" t="n">
        <v>42000</v>
      </c>
      <c r="P32" s="32" t="n">
        <v>42000</v>
      </c>
      <c r="Q32" s="32" t="n">
        <v>42000</v>
      </c>
      <c r="R32" s="32" t="n">
        <v>42000</v>
      </c>
      <c r="S32" s="32" t="n">
        <v>42000</v>
      </c>
      <c r="T32" s="32" t="n">
        <v>42000</v>
      </c>
      <c r="U32" s="32" t="n">
        <v>42000</v>
      </c>
      <c r="V32" s="32" t="n">
        <v>42000</v>
      </c>
      <c r="W32" s="32" t="n">
        <v>42000</v>
      </c>
      <c r="X32" s="32" t="n">
        <v>0</v>
      </c>
      <c r="Y32" s="32" t="n">
        <v>0</v>
      </c>
      <c r="Z32" s="13" t="n">
        <f aca="false">IFERROR(AVERAGEIF(D32:E32,"&lt;&gt;0"),"")</f>
        <v>42000</v>
      </c>
      <c r="AA32" s="13" t="n">
        <f aca="false">IFERROR(AVERAGEIF(F32:J32,"&lt;&gt;0"),"")</f>
        <v>42000</v>
      </c>
      <c r="AB32" s="13" t="n">
        <f aca="false">IFERROR(AVERAGEIF(K32:O32,"&lt;&gt;0"),"")</f>
        <v>42000</v>
      </c>
      <c r="AC32" s="13" t="n">
        <f aca="false">IFERROR(AVERAGEIF(P32:T32,"&lt;&gt;0"),"")</f>
        <v>42000</v>
      </c>
      <c r="AD32" s="13" t="n">
        <f aca="false">IFERROR(AVERAGEIF(U32:Y32,"&lt;&gt;0"),"")</f>
        <v>42000</v>
      </c>
      <c r="AE32" s="13" t="n">
        <f aca="false">IFERROR(AVERAGEIF(D32:Y32,"&lt;&gt;0"),"")</f>
        <v>42000</v>
      </c>
    </row>
    <row r="33" customFormat="false" ht="15" hidden="false" customHeight="false" outlineLevel="0" collapsed="false">
      <c r="A33" s="3" t="n">
        <v>29</v>
      </c>
      <c r="B33" s="3" t="s">
        <v>433</v>
      </c>
      <c r="C33" s="3" t="s">
        <v>471</v>
      </c>
      <c r="D33" s="32" t="n">
        <v>0</v>
      </c>
      <c r="E33" s="32" t="n">
        <v>9000</v>
      </c>
      <c r="F33" s="32" t="n">
        <v>9000</v>
      </c>
      <c r="G33" s="32" t="n">
        <v>9000</v>
      </c>
      <c r="H33" s="32" t="n">
        <v>9000</v>
      </c>
      <c r="I33" s="32" t="n">
        <v>9000</v>
      </c>
      <c r="J33" s="32" t="n">
        <v>9000</v>
      </c>
      <c r="K33" s="32" t="n">
        <v>0</v>
      </c>
      <c r="L33" s="32" t="n">
        <v>0</v>
      </c>
      <c r="M33" s="32" t="n">
        <v>9000</v>
      </c>
      <c r="N33" s="32" t="n">
        <v>9000</v>
      </c>
      <c r="O33" s="32" t="n">
        <v>9000</v>
      </c>
      <c r="P33" s="32" t="n">
        <v>9000</v>
      </c>
      <c r="Q33" s="32" t="n">
        <v>9000</v>
      </c>
      <c r="R33" s="32" t="n">
        <v>9000</v>
      </c>
      <c r="S33" s="32" t="n">
        <v>9000</v>
      </c>
      <c r="T33" s="32" t="n">
        <v>9000</v>
      </c>
      <c r="U33" s="32" t="n">
        <v>9000</v>
      </c>
      <c r="V33" s="32" t="n">
        <v>9000</v>
      </c>
      <c r="W33" s="32" t="n">
        <v>9000</v>
      </c>
      <c r="X33" s="32" t="n">
        <v>0</v>
      </c>
      <c r="Y33" s="32" t="n">
        <v>0</v>
      </c>
      <c r="Z33" s="13" t="n">
        <f aca="false">IFERROR(AVERAGEIF(D33:E33,"&lt;&gt;0"),"")</f>
        <v>9000</v>
      </c>
      <c r="AA33" s="13" t="n">
        <f aca="false">IFERROR(AVERAGEIF(F33:J33,"&lt;&gt;0"),"")</f>
        <v>9000</v>
      </c>
      <c r="AB33" s="13" t="n">
        <f aca="false">IFERROR(AVERAGEIF(K33:O33,"&lt;&gt;0"),"")</f>
        <v>9000</v>
      </c>
      <c r="AC33" s="13" t="n">
        <f aca="false">IFERROR(AVERAGEIF(P33:T33,"&lt;&gt;0"),"")</f>
        <v>9000</v>
      </c>
      <c r="AD33" s="13" t="n">
        <f aca="false">IFERROR(AVERAGEIF(U33:Y33,"&lt;&gt;0"),"")</f>
        <v>9000</v>
      </c>
      <c r="AE33" s="13" t="n">
        <f aca="false">IFERROR(AVERAGEIF(D33:Y33,"&lt;&gt;0"),"")</f>
        <v>9000</v>
      </c>
    </row>
    <row r="34" customFormat="false" ht="15" hidden="false" customHeight="false" outlineLevel="0" collapsed="false">
      <c r="A34" s="3" t="n">
        <v>30</v>
      </c>
      <c r="B34" s="3" t="s">
        <v>411</v>
      </c>
      <c r="C34" s="3" t="s">
        <v>471</v>
      </c>
      <c r="D34" s="32" t="n">
        <v>0</v>
      </c>
      <c r="E34" s="32" t="n">
        <v>4750</v>
      </c>
      <c r="F34" s="32" t="n">
        <v>4750</v>
      </c>
      <c r="G34" s="32" t="n">
        <v>4750</v>
      </c>
      <c r="H34" s="32" t="n">
        <v>4750</v>
      </c>
      <c r="I34" s="32" t="n">
        <v>4750</v>
      </c>
      <c r="J34" s="32" t="n">
        <v>4750</v>
      </c>
      <c r="K34" s="32" t="n">
        <v>0</v>
      </c>
      <c r="L34" s="32" t="n">
        <v>0</v>
      </c>
      <c r="M34" s="32" t="n">
        <v>4750</v>
      </c>
      <c r="N34" s="32" t="n">
        <v>4750</v>
      </c>
      <c r="O34" s="32" t="n">
        <v>4750</v>
      </c>
      <c r="P34" s="32" t="n">
        <v>4750</v>
      </c>
      <c r="Q34" s="32" t="n">
        <v>4750</v>
      </c>
      <c r="R34" s="32" t="n">
        <v>4750</v>
      </c>
      <c r="S34" s="32" t="n">
        <v>4750</v>
      </c>
      <c r="T34" s="32" t="n">
        <v>4750</v>
      </c>
      <c r="U34" s="32" t="n">
        <v>4750</v>
      </c>
      <c r="V34" s="32" t="n">
        <v>4750</v>
      </c>
      <c r="W34" s="32" t="n">
        <v>4750</v>
      </c>
      <c r="X34" s="32" t="n">
        <v>0</v>
      </c>
      <c r="Y34" s="32" t="n">
        <v>0</v>
      </c>
      <c r="Z34" s="13" t="n">
        <f aca="false">IFERROR(AVERAGEIF(D34:E34,"&lt;&gt;0"),"")</f>
        <v>4750</v>
      </c>
      <c r="AA34" s="13" t="n">
        <f aca="false">IFERROR(AVERAGEIF(F34:J34,"&lt;&gt;0"),"")</f>
        <v>4750</v>
      </c>
      <c r="AB34" s="13" t="n">
        <f aca="false">IFERROR(AVERAGEIF(K34:O34,"&lt;&gt;0"),"")</f>
        <v>4750</v>
      </c>
      <c r="AC34" s="13" t="n">
        <f aca="false">IFERROR(AVERAGEIF(P34:T34,"&lt;&gt;0"),"")</f>
        <v>4750</v>
      </c>
      <c r="AD34" s="13" t="n">
        <f aca="false">IFERROR(AVERAGEIF(U34:Y34,"&lt;&gt;0"),"")</f>
        <v>4750</v>
      </c>
      <c r="AE34" s="13" t="n">
        <f aca="false">IFERROR(AVERAGEIF(D34:Y34,"&lt;&gt;0"),"")</f>
        <v>4750</v>
      </c>
    </row>
    <row r="35" customFormat="false" ht="15" hidden="false" customHeight="false" outlineLevel="0" collapsed="false">
      <c r="A35" s="3" t="n">
        <v>31</v>
      </c>
      <c r="B35" s="3" t="s">
        <v>416</v>
      </c>
      <c r="C35" s="3" t="s">
        <v>471</v>
      </c>
      <c r="D35" s="32" t="n">
        <v>0</v>
      </c>
      <c r="E35" s="32" t="n">
        <v>60000</v>
      </c>
      <c r="F35" s="32" t="n">
        <v>60000</v>
      </c>
      <c r="G35" s="32" t="n">
        <v>60000</v>
      </c>
      <c r="H35" s="32" t="n">
        <v>60000</v>
      </c>
      <c r="I35" s="32" t="n">
        <v>60000</v>
      </c>
      <c r="J35" s="32" t="n">
        <v>60000</v>
      </c>
      <c r="K35" s="32" t="n">
        <v>0</v>
      </c>
      <c r="L35" s="32" t="n">
        <v>0</v>
      </c>
      <c r="M35" s="32" t="n">
        <v>60000</v>
      </c>
      <c r="N35" s="32" t="n">
        <v>60000</v>
      </c>
      <c r="O35" s="32" t="n">
        <v>60000</v>
      </c>
      <c r="P35" s="32" t="n">
        <v>60000</v>
      </c>
      <c r="Q35" s="32" t="n">
        <v>60000</v>
      </c>
      <c r="R35" s="32" t="n">
        <v>60000</v>
      </c>
      <c r="S35" s="32" t="n">
        <v>60000</v>
      </c>
      <c r="T35" s="32" t="n">
        <v>60000</v>
      </c>
      <c r="U35" s="32" t="n">
        <v>60000</v>
      </c>
      <c r="V35" s="32" t="n">
        <v>60000</v>
      </c>
      <c r="W35" s="32" t="n">
        <v>60000</v>
      </c>
      <c r="X35" s="32" t="n">
        <v>0</v>
      </c>
      <c r="Y35" s="32" t="n">
        <v>0</v>
      </c>
      <c r="Z35" s="13" t="n">
        <f aca="false">IFERROR(AVERAGEIF(D35:E35,"&lt;&gt;0"),"")</f>
        <v>60000</v>
      </c>
      <c r="AA35" s="13" t="n">
        <f aca="false">IFERROR(AVERAGEIF(F35:J35,"&lt;&gt;0"),"")</f>
        <v>60000</v>
      </c>
      <c r="AB35" s="13" t="n">
        <f aca="false">IFERROR(AVERAGEIF(K35:O35,"&lt;&gt;0"),"")</f>
        <v>60000</v>
      </c>
      <c r="AC35" s="13" t="n">
        <f aca="false">IFERROR(AVERAGEIF(P35:T35,"&lt;&gt;0"),"")</f>
        <v>60000</v>
      </c>
      <c r="AD35" s="13" t="n">
        <f aca="false">IFERROR(AVERAGEIF(U35:Y35,"&lt;&gt;0"),"")</f>
        <v>60000</v>
      </c>
      <c r="AE35" s="13" t="n">
        <f aca="false">IFERROR(AVERAGEIF(D35:Y35,"&lt;&gt;0"),"")</f>
        <v>60000</v>
      </c>
    </row>
    <row r="36" customFormat="false" ht="15" hidden="false" customHeight="false" outlineLevel="0" collapsed="false">
      <c r="A36" s="3" t="n">
        <v>32</v>
      </c>
      <c r="B36" s="3" t="s">
        <v>417</v>
      </c>
      <c r="C36" s="3" t="s">
        <v>471</v>
      </c>
      <c r="D36" s="32" t="n">
        <v>0</v>
      </c>
      <c r="E36" s="32" t="n">
        <v>12000</v>
      </c>
      <c r="F36" s="32" t="n">
        <v>12000</v>
      </c>
      <c r="G36" s="32" t="n">
        <v>12000</v>
      </c>
      <c r="H36" s="32" t="n">
        <v>12000</v>
      </c>
      <c r="I36" s="32" t="n">
        <v>12000</v>
      </c>
      <c r="J36" s="32" t="n">
        <v>12000</v>
      </c>
      <c r="K36" s="32" t="n">
        <v>0</v>
      </c>
      <c r="L36" s="32" t="n">
        <v>0</v>
      </c>
      <c r="M36" s="32" t="n">
        <v>12000</v>
      </c>
      <c r="N36" s="32" t="n">
        <v>12000</v>
      </c>
      <c r="O36" s="32" t="n">
        <v>12000</v>
      </c>
      <c r="P36" s="32" t="n">
        <v>12000</v>
      </c>
      <c r="Q36" s="32" t="n">
        <v>12000</v>
      </c>
      <c r="R36" s="32" t="n">
        <v>12000</v>
      </c>
      <c r="S36" s="32" t="n">
        <v>12000</v>
      </c>
      <c r="T36" s="32" t="n">
        <v>12000</v>
      </c>
      <c r="U36" s="32" t="n">
        <v>12000</v>
      </c>
      <c r="V36" s="32" t="n">
        <v>12000</v>
      </c>
      <c r="W36" s="32" t="n">
        <v>12000</v>
      </c>
      <c r="X36" s="32" t="n">
        <v>0</v>
      </c>
      <c r="Y36" s="32" t="n">
        <v>0</v>
      </c>
      <c r="Z36" s="13" t="n">
        <f aca="false">IFERROR(AVERAGEIF(D36:E36,"&lt;&gt;0"),"")</f>
        <v>12000</v>
      </c>
      <c r="AA36" s="13" t="n">
        <f aca="false">IFERROR(AVERAGEIF(F36:J36,"&lt;&gt;0"),"")</f>
        <v>12000</v>
      </c>
      <c r="AB36" s="13" t="n">
        <f aca="false">IFERROR(AVERAGEIF(K36:O36,"&lt;&gt;0"),"")</f>
        <v>12000</v>
      </c>
      <c r="AC36" s="13" t="n">
        <f aca="false">IFERROR(AVERAGEIF(P36:T36,"&lt;&gt;0"),"")</f>
        <v>12000</v>
      </c>
      <c r="AD36" s="13" t="n">
        <f aca="false">IFERROR(AVERAGEIF(U36:Y36,"&lt;&gt;0"),"")</f>
        <v>12000</v>
      </c>
      <c r="AE36" s="13" t="n">
        <f aca="false">IFERROR(AVERAGEIF(D36:Y36,"&lt;&gt;0"),"")</f>
        <v>12000</v>
      </c>
    </row>
    <row r="37" customFormat="false" ht="15" hidden="false" customHeight="false" outlineLevel="0" collapsed="false">
      <c r="A37" s="3" t="n">
        <v>33</v>
      </c>
      <c r="B37" s="3" t="s">
        <v>434</v>
      </c>
      <c r="C37" s="3" t="s">
        <v>471</v>
      </c>
      <c r="D37" s="32" t="n">
        <v>0</v>
      </c>
      <c r="E37" s="32" t="n">
        <v>9000</v>
      </c>
      <c r="F37" s="32" t="n">
        <v>9000</v>
      </c>
      <c r="G37" s="32" t="n">
        <v>9000</v>
      </c>
      <c r="H37" s="32" t="n">
        <v>9000</v>
      </c>
      <c r="I37" s="32" t="n">
        <v>9000</v>
      </c>
      <c r="J37" s="32" t="n">
        <v>9000</v>
      </c>
      <c r="K37" s="32" t="n">
        <v>0</v>
      </c>
      <c r="L37" s="32" t="n">
        <v>0</v>
      </c>
      <c r="M37" s="32" t="n">
        <v>9000</v>
      </c>
      <c r="N37" s="32" t="n">
        <v>9000</v>
      </c>
      <c r="O37" s="32" t="n">
        <v>9000</v>
      </c>
      <c r="P37" s="32" t="n">
        <v>9000</v>
      </c>
      <c r="Q37" s="32" t="n">
        <v>9000</v>
      </c>
      <c r="R37" s="32" t="n">
        <v>9000</v>
      </c>
      <c r="S37" s="32" t="n">
        <v>9000</v>
      </c>
      <c r="T37" s="32" t="n">
        <v>9000</v>
      </c>
      <c r="U37" s="32" t="n">
        <v>9000</v>
      </c>
      <c r="V37" s="32" t="n">
        <v>9000</v>
      </c>
      <c r="W37" s="32" t="n">
        <v>9000</v>
      </c>
      <c r="X37" s="32" t="n">
        <v>0</v>
      </c>
      <c r="Y37" s="32" t="n">
        <v>0</v>
      </c>
      <c r="Z37" s="13" t="n">
        <f aca="false">IFERROR(AVERAGEIF(D37:E37,"&lt;&gt;0"),"")</f>
        <v>9000</v>
      </c>
      <c r="AA37" s="13" t="n">
        <f aca="false">IFERROR(AVERAGEIF(F37:J37,"&lt;&gt;0"),"")</f>
        <v>9000</v>
      </c>
      <c r="AB37" s="13" t="n">
        <f aca="false">IFERROR(AVERAGEIF(K37:O37,"&lt;&gt;0"),"")</f>
        <v>9000</v>
      </c>
      <c r="AC37" s="13" t="n">
        <f aca="false">IFERROR(AVERAGEIF(P37:T37,"&lt;&gt;0"),"")</f>
        <v>9000</v>
      </c>
      <c r="AD37" s="13" t="n">
        <f aca="false">IFERROR(AVERAGEIF(U37:Y37,"&lt;&gt;0"),"")</f>
        <v>9000</v>
      </c>
      <c r="AE37" s="13" t="n">
        <f aca="false">IFERROR(AVERAGEIF(D37:Y37,"&lt;&gt;0"),"")</f>
        <v>9000</v>
      </c>
    </row>
    <row r="38" customFormat="false" ht="15" hidden="false" customHeight="false" outlineLevel="0" collapsed="false">
      <c r="A38" s="3" t="n">
        <v>34</v>
      </c>
      <c r="B38" s="3" t="s">
        <v>477</v>
      </c>
      <c r="C38" s="3" t="s">
        <v>471</v>
      </c>
      <c r="D38" s="32" t="n">
        <v>0</v>
      </c>
      <c r="E38" s="32" t="n">
        <v>6000</v>
      </c>
      <c r="F38" s="32" t="n">
        <v>6000</v>
      </c>
      <c r="G38" s="32" t="n">
        <v>6000</v>
      </c>
      <c r="H38" s="32" t="n">
        <v>6000</v>
      </c>
      <c r="I38" s="32" t="n">
        <v>6000</v>
      </c>
      <c r="J38" s="32" t="n">
        <v>6000</v>
      </c>
      <c r="K38" s="32" t="n">
        <v>0</v>
      </c>
      <c r="L38" s="32" t="n">
        <v>0</v>
      </c>
      <c r="M38" s="32" t="n">
        <v>6000</v>
      </c>
      <c r="N38" s="32" t="n">
        <v>6000</v>
      </c>
      <c r="O38" s="32" t="n">
        <v>6000</v>
      </c>
      <c r="P38" s="32" t="n">
        <v>6000</v>
      </c>
      <c r="Q38" s="32" t="n">
        <v>6000</v>
      </c>
      <c r="R38" s="32" t="n">
        <v>6000</v>
      </c>
      <c r="S38" s="32" t="n">
        <v>6000</v>
      </c>
      <c r="T38" s="32" t="n">
        <v>6000</v>
      </c>
      <c r="U38" s="32" t="n">
        <v>6000</v>
      </c>
      <c r="V38" s="32" t="n">
        <v>6000</v>
      </c>
      <c r="W38" s="32" t="n">
        <v>6000</v>
      </c>
      <c r="X38" s="32" t="n">
        <v>0</v>
      </c>
      <c r="Y38" s="32" t="n">
        <v>0</v>
      </c>
      <c r="Z38" s="13" t="n">
        <f aca="false">IFERROR(AVERAGEIF(D38:E38,"&lt;&gt;0"),"")</f>
        <v>6000</v>
      </c>
      <c r="AA38" s="13" t="n">
        <f aca="false">IFERROR(AVERAGEIF(F38:J38,"&lt;&gt;0"),"")</f>
        <v>6000</v>
      </c>
      <c r="AB38" s="13" t="n">
        <f aca="false">IFERROR(AVERAGEIF(K38:O38,"&lt;&gt;0"),"")</f>
        <v>6000</v>
      </c>
      <c r="AC38" s="13" t="n">
        <f aca="false">IFERROR(AVERAGEIF(P38:T38,"&lt;&gt;0"),"")</f>
        <v>6000</v>
      </c>
      <c r="AD38" s="13" t="n">
        <f aca="false">IFERROR(AVERAGEIF(U38:Y38,"&lt;&gt;0"),"")</f>
        <v>6000</v>
      </c>
      <c r="AE38" s="13" t="n">
        <f aca="false">IFERROR(AVERAGEIF(D38:Y38,"&lt;&gt;0"),"")</f>
        <v>6000</v>
      </c>
    </row>
    <row r="39" customFormat="false" ht="15" hidden="false" customHeight="false" outlineLevel="0" collapsed="false">
      <c r="A39" s="3" t="n">
        <v>35</v>
      </c>
      <c r="B39" s="3" t="s">
        <v>478</v>
      </c>
      <c r="C39" s="3" t="s">
        <v>471</v>
      </c>
      <c r="D39" s="32" t="n">
        <v>0</v>
      </c>
      <c r="E39" s="32" t="n">
        <v>13000</v>
      </c>
      <c r="F39" s="32" t="n">
        <v>13000</v>
      </c>
      <c r="G39" s="32" t="n">
        <v>13000</v>
      </c>
      <c r="H39" s="32" t="n">
        <v>13000</v>
      </c>
      <c r="I39" s="32" t="n">
        <v>13000</v>
      </c>
      <c r="J39" s="32" t="n">
        <v>13000</v>
      </c>
      <c r="K39" s="32" t="n">
        <v>0</v>
      </c>
      <c r="L39" s="32" t="n">
        <v>0</v>
      </c>
      <c r="M39" s="32" t="n">
        <v>13000</v>
      </c>
      <c r="N39" s="32" t="n">
        <v>13000</v>
      </c>
      <c r="O39" s="32" t="n">
        <v>13000</v>
      </c>
      <c r="P39" s="32" t="n">
        <v>13000</v>
      </c>
      <c r="Q39" s="32" t="n">
        <v>13000</v>
      </c>
      <c r="R39" s="32" t="n">
        <v>13000</v>
      </c>
      <c r="S39" s="32" t="n">
        <v>13000</v>
      </c>
      <c r="T39" s="32" t="n">
        <v>13000</v>
      </c>
      <c r="U39" s="32" t="n">
        <v>13000</v>
      </c>
      <c r="V39" s="32" t="n">
        <v>13000</v>
      </c>
      <c r="W39" s="32" t="n">
        <v>13000</v>
      </c>
      <c r="X39" s="32" t="n">
        <v>0</v>
      </c>
      <c r="Y39" s="32" t="n">
        <v>0</v>
      </c>
      <c r="Z39" s="13" t="n">
        <f aca="false">IFERROR(AVERAGEIF(D39:E39,"&lt;&gt;0"),"")</f>
        <v>13000</v>
      </c>
      <c r="AA39" s="13" t="n">
        <f aca="false">IFERROR(AVERAGEIF(F39:J39,"&lt;&gt;0"),"")</f>
        <v>13000</v>
      </c>
      <c r="AB39" s="13" t="n">
        <f aca="false">IFERROR(AVERAGEIF(K39:O39,"&lt;&gt;0"),"")</f>
        <v>13000</v>
      </c>
      <c r="AC39" s="13" t="n">
        <f aca="false">IFERROR(AVERAGEIF(P39:T39,"&lt;&gt;0"),"")</f>
        <v>13000</v>
      </c>
      <c r="AD39" s="13" t="n">
        <f aca="false">IFERROR(AVERAGEIF(U39:Y39,"&lt;&gt;0"),"")</f>
        <v>13000</v>
      </c>
      <c r="AE39" s="13" t="n">
        <f aca="false">IFERROR(AVERAGEIF(D39:Y39,"&lt;&gt;0"),"")</f>
        <v>13000</v>
      </c>
    </row>
    <row r="40" customFormat="false" ht="15" hidden="false" customHeight="false" outlineLevel="0" collapsed="false">
      <c r="A40" s="3" t="n">
        <v>36</v>
      </c>
      <c r="B40" s="3" t="s">
        <v>479</v>
      </c>
      <c r="C40" s="3" t="s">
        <v>471</v>
      </c>
      <c r="D40" s="32" t="n">
        <v>0</v>
      </c>
      <c r="E40" s="32" t="n">
        <v>4000</v>
      </c>
      <c r="F40" s="32" t="n">
        <v>4000</v>
      </c>
      <c r="G40" s="32" t="n">
        <v>4000</v>
      </c>
      <c r="H40" s="32" t="n">
        <v>4000</v>
      </c>
      <c r="I40" s="32" t="n">
        <v>4000</v>
      </c>
      <c r="J40" s="32" t="n">
        <v>4000</v>
      </c>
      <c r="K40" s="32" t="n">
        <v>0</v>
      </c>
      <c r="L40" s="32" t="n">
        <v>0</v>
      </c>
      <c r="M40" s="32" t="n">
        <v>4000</v>
      </c>
      <c r="N40" s="32" t="n">
        <v>4000</v>
      </c>
      <c r="O40" s="32" t="n">
        <v>4000</v>
      </c>
      <c r="P40" s="32" t="n">
        <v>4000</v>
      </c>
      <c r="Q40" s="32" t="n">
        <v>4000</v>
      </c>
      <c r="R40" s="32" t="n">
        <v>4000</v>
      </c>
      <c r="S40" s="32" t="n">
        <v>4000</v>
      </c>
      <c r="T40" s="32" t="n">
        <v>4000</v>
      </c>
      <c r="U40" s="32" t="n">
        <v>4000</v>
      </c>
      <c r="V40" s="32" t="n">
        <v>4000</v>
      </c>
      <c r="W40" s="32" t="n">
        <v>4000</v>
      </c>
      <c r="X40" s="32" t="n">
        <v>0</v>
      </c>
      <c r="Y40" s="32" t="n">
        <v>0</v>
      </c>
      <c r="Z40" s="13" t="n">
        <f aca="false">IFERROR(AVERAGEIF(D40:E40,"&lt;&gt;0"),"")</f>
        <v>4000</v>
      </c>
      <c r="AA40" s="13" t="n">
        <f aca="false">IFERROR(AVERAGEIF(F40:J40,"&lt;&gt;0"),"")</f>
        <v>4000</v>
      </c>
      <c r="AB40" s="13" t="n">
        <f aca="false">IFERROR(AVERAGEIF(K40:O40,"&lt;&gt;0"),"")</f>
        <v>4000</v>
      </c>
      <c r="AC40" s="13" t="n">
        <f aca="false">IFERROR(AVERAGEIF(P40:T40,"&lt;&gt;0"),"")</f>
        <v>4000</v>
      </c>
      <c r="AD40" s="13" t="n">
        <f aca="false">IFERROR(AVERAGEIF(U40:Y40,"&lt;&gt;0"),"")</f>
        <v>4000</v>
      </c>
      <c r="AE40" s="13" t="n">
        <f aca="false">IFERROR(AVERAGEIF(D40:Y40,"&lt;&gt;0"),"")</f>
        <v>4000</v>
      </c>
    </row>
    <row r="41" customFormat="false" ht="15" hidden="false" customHeight="false" outlineLevel="0" collapsed="false">
      <c r="A41" s="3" t="n">
        <v>37</v>
      </c>
      <c r="B41" s="3" t="s">
        <v>480</v>
      </c>
      <c r="C41" s="3" t="s">
        <v>471</v>
      </c>
      <c r="D41" s="32" t="n">
        <v>0</v>
      </c>
      <c r="E41" s="32" t="n">
        <v>2000</v>
      </c>
      <c r="F41" s="32" t="n">
        <v>2000</v>
      </c>
      <c r="G41" s="32" t="n">
        <v>2000</v>
      </c>
      <c r="H41" s="32" t="n">
        <v>2000</v>
      </c>
      <c r="I41" s="32" t="n">
        <v>2000</v>
      </c>
      <c r="J41" s="32" t="n">
        <v>2000</v>
      </c>
      <c r="K41" s="32" t="n">
        <v>0</v>
      </c>
      <c r="L41" s="32" t="n">
        <v>0</v>
      </c>
      <c r="M41" s="32" t="n">
        <v>2000</v>
      </c>
      <c r="N41" s="32" t="n">
        <v>2000</v>
      </c>
      <c r="O41" s="32" t="n">
        <v>2000</v>
      </c>
      <c r="P41" s="32" t="n">
        <v>2000</v>
      </c>
      <c r="Q41" s="32" t="n">
        <v>2000</v>
      </c>
      <c r="R41" s="32" t="n">
        <v>2000</v>
      </c>
      <c r="S41" s="32" t="n">
        <v>2000</v>
      </c>
      <c r="T41" s="32" t="n">
        <v>2000</v>
      </c>
      <c r="U41" s="32" t="n">
        <v>2000</v>
      </c>
      <c r="V41" s="32" t="n">
        <v>2000</v>
      </c>
      <c r="W41" s="32" t="n">
        <v>2000</v>
      </c>
      <c r="X41" s="32" t="n">
        <v>0</v>
      </c>
      <c r="Y41" s="32" t="n">
        <v>0</v>
      </c>
      <c r="Z41" s="13" t="n">
        <f aca="false">IFERROR(AVERAGEIF(D41:E41,"&lt;&gt;0"),"")</f>
        <v>2000</v>
      </c>
      <c r="AA41" s="13" t="n">
        <f aca="false">IFERROR(AVERAGEIF(F41:J41,"&lt;&gt;0"),"")</f>
        <v>2000</v>
      </c>
      <c r="AB41" s="13" t="n">
        <f aca="false">IFERROR(AVERAGEIF(K41:O41,"&lt;&gt;0"),"")</f>
        <v>2000</v>
      </c>
      <c r="AC41" s="13" t="n">
        <f aca="false">IFERROR(AVERAGEIF(P41:T41,"&lt;&gt;0"),"")</f>
        <v>2000</v>
      </c>
      <c r="AD41" s="13" t="n">
        <f aca="false">IFERROR(AVERAGEIF(U41:Y41,"&lt;&gt;0"),"")</f>
        <v>2000</v>
      </c>
      <c r="AE41" s="13" t="n">
        <f aca="false">IFERROR(AVERAGEIF(D41:Y41,"&lt;&gt;0"),"")</f>
        <v>2000</v>
      </c>
    </row>
    <row r="42" customFormat="false" ht="15" hidden="false" customHeight="false" outlineLevel="0" collapsed="false">
      <c r="A42" s="3" t="n">
        <v>38</v>
      </c>
      <c r="B42" s="3" t="s">
        <v>481</v>
      </c>
      <c r="C42" s="3" t="s">
        <v>471</v>
      </c>
      <c r="D42" s="32" t="n">
        <v>0</v>
      </c>
      <c r="E42" s="32" t="n">
        <v>5000</v>
      </c>
      <c r="F42" s="32" t="n">
        <v>5000</v>
      </c>
      <c r="G42" s="32" t="n">
        <v>5000</v>
      </c>
      <c r="H42" s="32" t="n">
        <v>5000</v>
      </c>
      <c r="I42" s="32" t="n">
        <v>5000</v>
      </c>
      <c r="J42" s="32" t="n">
        <v>5000</v>
      </c>
      <c r="K42" s="32" t="n">
        <v>0</v>
      </c>
      <c r="L42" s="32" t="n">
        <v>0</v>
      </c>
      <c r="M42" s="32" t="n">
        <v>5000</v>
      </c>
      <c r="N42" s="32" t="n">
        <v>5000</v>
      </c>
      <c r="O42" s="32" t="n">
        <v>5000</v>
      </c>
      <c r="P42" s="32" t="n">
        <v>5000</v>
      </c>
      <c r="Q42" s="32" t="n">
        <v>5000</v>
      </c>
      <c r="R42" s="32" t="n">
        <v>5000</v>
      </c>
      <c r="S42" s="32" t="n">
        <v>5000</v>
      </c>
      <c r="T42" s="32" t="n">
        <v>5000</v>
      </c>
      <c r="U42" s="32" t="n">
        <v>5000</v>
      </c>
      <c r="V42" s="32" t="n">
        <v>5000</v>
      </c>
      <c r="W42" s="32" t="n">
        <v>5000</v>
      </c>
      <c r="X42" s="32" t="n">
        <v>0</v>
      </c>
      <c r="Y42" s="32" t="n">
        <v>0</v>
      </c>
      <c r="Z42" s="13" t="n">
        <f aca="false">IFERROR(AVERAGEIF(D42:E42,"&lt;&gt;0"),"")</f>
        <v>5000</v>
      </c>
      <c r="AA42" s="13" t="n">
        <f aca="false">IFERROR(AVERAGEIF(F42:J42,"&lt;&gt;0"),"")</f>
        <v>5000</v>
      </c>
      <c r="AB42" s="13" t="n">
        <f aca="false">IFERROR(AVERAGEIF(K42:O42,"&lt;&gt;0"),"")</f>
        <v>5000</v>
      </c>
      <c r="AC42" s="13" t="n">
        <f aca="false">IFERROR(AVERAGEIF(P42:T42,"&lt;&gt;0"),"")</f>
        <v>5000</v>
      </c>
      <c r="AD42" s="13" t="n">
        <f aca="false">IFERROR(AVERAGEIF(U42:Y42,"&lt;&gt;0"),"")</f>
        <v>5000</v>
      </c>
      <c r="AE42" s="13" t="n">
        <f aca="false">IFERROR(AVERAGEIF(D42:Y42,"&lt;&gt;0"),"")</f>
        <v>5000</v>
      </c>
    </row>
    <row r="43" customFormat="false" ht="15" hidden="false" customHeight="false" outlineLevel="0" collapsed="false">
      <c r="A43" s="3" t="n">
        <v>39</v>
      </c>
      <c r="B43" s="3" t="s">
        <v>482</v>
      </c>
      <c r="C43" s="3" t="s">
        <v>471</v>
      </c>
      <c r="D43" s="32" t="n">
        <v>0</v>
      </c>
      <c r="E43" s="32" t="n">
        <v>5000</v>
      </c>
      <c r="F43" s="32" t="n">
        <v>5000</v>
      </c>
      <c r="G43" s="32" t="n">
        <v>5000</v>
      </c>
      <c r="H43" s="32" t="n">
        <v>5000</v>
      </c>
      <c r="I43" s="32" t="n">
        <v>5000</v>
      </c>
      <c r="J43" s="32" t="n">
        <v>5000</v>
      </c>
      <c r="K43" s="32" t="n">
        <v>0</v>
      </c>
      <c r="L43" s="32" t="n">
        <v>0</v>
      </c>
      <c r="M43" s="32" t="n">
        <v>5000</v>
      </c>
      <c r="N43" s="32" t="n">
        <v>5000</v>
      </c>
      <c r="O43" s="32" t="n">
        <v>5000</v>
      </c>
      <c r="P43" s="32" t="n">
        <v>5000</v>
      </c>
      <c r="Q43" s="32" t="n">
        <v>5000</v>
      </c>
      <c r="R43" s="32" t="n">
        <v>5000</v>
      </c>
      <c r="S43" s="32" t="n">
        <v>5000</v>
      </c>
      <c r="T43" s="32" t="n">
        <v>5000</v>
      </c>
      <c r="U43" s="32" t="n">
        <v>5000</v>
      </c>
      <c r="V43" s="32" t="n">
        <v>5000</v>
      </c>
      <c r="W43" s="32" t="n">
        <v>5000</v>
      </c>
      <c r="X43" s="32" t="n">
        <v>0</v>
      </c>
      <c r="Y43" s="32" t="n">
        <v>0</v>
      </c>
      <c r="Z43" s="13" t="n">
        <f aca="false">IFERROR(AVERAGEIF(D43:E43,"&lt;&gt;0"),"")</f>
        <v>5000</v>
      </c>
      <c r="AA43" s="13" t="n">
        <f aca="false">IFERROR(AVERAGEIF(F43:J43,"&lt;&gt;0"),"")</f>
        <v>5000</v>
      </c>
      <c r="AB43" s="13" t="n">
        <f aca="false">IFERROR(AVERAGEIF(K43:O43,"&lt;&gt;0"),"")</f>
        <v>5000</v>
      </c>
      <c r="AC43" s="13" t="n">
        <f aca="false">IFERROR(AVERAGEIF(P43:T43,"&lt;&gt;0"),"")</f>
        <v>5000</v>
      </c>
      <c r="AD43" s="13" t="n">
        <f aca="false">IFERROR(AVERAGEIF(U43:Y43,"&lt;&gt;0"),"")</f>
        <v>5000</v>
      </c>
      <c r="AE43" s="13" t="n">
        <f aca="false">IFERROR(AVERAGEIF(D43:Y43,"&lt;&gt;0"),"")</f>
        <v>5000</v>
      </c>
    </row>
    <row r="44" customFormat="false" ht="15" hidden="false" customHeight="false" outlineLevel="0" collapsed="false">
      <c r="A44" s="3" t="n">
        <v>40</v>
      </c>
      <c r="B44" s="3" t="s">
        <v>483</v>
      </c>
      <c r="C44" s="3" t="s">
        <v>471</v>
      </c>
      <c r="D44" s="32" t="n">
        <v>0</v>
      </c>
      <c r="E44" s="32" t="n">
        <v>4000</v>
      </c>
      <c r="F44" s="32" t="n">
        <v>4000</v>
      </c>
      <c r="G44" s="32" t="n">
        <v>4000</v>
      </c>
      <c r="H44" s="32" t="n">
        <v>4000</v>
      </c>
      <c r="I44" s="32" t="n">
        <v>4000</v>
      </c>
      <c r="J44" s="32" t="n">
        <v>4000</v>
      </c>
      <c r="K44" s="32" t="n">
        <v>0</v>
      </c>
      <c r="L44" s="32" t="n">
        <v>0</v>
      </c>
      <c r="M44" s="32" t="n">
        <v>4000</v>
      </c>
      <c r="N44" s="32" t="n">
        <v>4000</v>
      </c>
      <c r="O44" s="32" t="n">
        <v>4000</v>
      </c>
      <c r="P44" s="32" t="n">
        <v>4000</v>
      </c>
      <c r="Q44" s="32" t="n">
        <v>4000</v>
      </c>
      <c r="R44" s="32" t="n">
        <v>4000</v>
      </c>
      <c r="S44" s="32" t="n">
        <v>4000</v>
      </c>
      <c r="T44" s="32" t="n">
        <v>4000</v>
      </c>
      <c r="U44" s="32" t="n">
        <v>4000</v>
      </c>
      <c r="V44" s="32" t="n">
        <v>4000</v>
      </c>
      <c r="W44" s="32" t="n">
        <v>4000</v>
      </c>
      <c r="X44" s="32" t="n">
        <v>0</v>
      </c>
      <c r="Y44" s="32" t="n">
        <v>0</v>
      </c>
      <c r="Z44" s="13" t="n">
        <f aca="false">IFERROR(AVERAGEIF(D44:E44,"&lt;&gt;0"),"")</f>
        <v>4000</v>
      </c>
      <c r="AA44" s="13" t="n">
        <f aca="false">IFERROR(AVERAGEIF(F44:J44,"&lt;&gt;0"),"")</f>
        <v>4000</v>
      </c>
      <c r="AB44" s="13" t="n">
        <f aca="false">IFERROR(AVERAGEIF(K44:O44,"&lt;&gt;0"),"")</f>
        <v>4000</v>
      </c>
      <c r="AC44" s="13" t="n">
        <f aca="false">IFERROR(AVERAGEIF(P44:T44,"&lt;&gt;0"),"")</f>
        <v>4000</v>
      </c>
      <c r="AD44" s="13" t="n">
        <f aca="false">IFERROR(AVERAGEIF(U44:Y44,"&lt;&gt;0"),"")</f>
        <v>4000</v>
      </c>
      <c r="AE44" s="13" t="n">
        <f aca="false">IFERROR(AVERAGEIF(D44:Y44,"&lt;&gt;0"),"")</f>
        <v>4000</v>
      </c>
    </row>
    <row r="45" customFormat="false" ht="15" hidden="false" customHeight="false" outlineLevel="0" collapsed="false">
      <c r="A45" s="3" t="n">
        <v>41</v>
      </c>
      <c r="B45" s="3" t="s">
        <v>484</v>
      </c>
      <c r="C45" s="3" t="s">
        <v>471</v>
      </c>
      <c r="D45" s="32" t="n">
        <v>0</v>
      </c>
      <c r="E45" s="32" t="n">
        <v>70000</v>
      </c>
      <c r="F45" s="32" t="n">
        <v>70000</v>
      </c>
      <c r="G45" s="32" t="n">
        <v>70000</v>
      </c>
      <c r="H45" s="32" t="n">
        <v>70000</v>
      </c>
      <c r="I45" s="32" t="n">
        <v>70000</v>
      </c>
      <c r="J45" s="32" t="n">
        <v>70000</v>
      </c>
      <c r="K45" s="32" t="n">
        <v>0</v>
      </c>
      <c r="L45" s="32" t="n">
        <v>0</v>
      </c>
      <c r="M45" s="32" t="n">
        <v>70000</v>
      </c>
      <c r="N45" s="32" t="n">
        <v>70000</v>
      </c>
      <c r="O45" s="32" t="n">
        <v>70000</v>
      </c>
      <c r="P45" s="32" t="n">
        <v>70000</v>
      </c>
      <c r="Q45" s="32" t="n">
        <v>70000</v>
      </c>
      <c r="R45" s="32" t="n">
        <v>70000</v>
      </c>
      <c r="S45" s="32" t="n">
        <v>70000</v>
      </c>
      <c r="T45" s="32" t="n">
        <v>70000</v>
      </c>
      <c r="U45" s="32" t="n">
        <v>70000</v>
      </c>
      <c r="V45" s="32" t="n">
        <v>70000</v>
      </c>
      <c r="W45" s="32" t="n">
        <v>70000</v>
      </c>
      <c r="X45" s="32" t="n">
        <v>0</v>
      </c>
      <c r="Y45" s="32" t="n">
        <v>0</v>
      </c>
      <c r="Z45" s="13" t="n">
        <f aca="false">IFERROR(AVERAGEIF(D45:E45,"&lt;&gt;0"),"")</f>
        <v>70000</v>
      </c>
      <c r="AA45" s="13" t="n">
        <f aca="false">IFERROR(AVERAGEIF(F45:J45,"&lt;&gt;0"),"")</f>
        <v>70000</v>
      </c>
      <c r="AB45" s="13" t="n">
        <f aca="false">IFERROR(AVERAGEIF(K45:O45,"&lt;&gt;0"),"")</f>
        <v>70000</v>
      </c>
      <c r="AC45" s="13" t="n">
        <f aca="false">IFERROR(AVERAGEIF(P45:T45,"&lt;&gt;0"),"")</f>
        <v>70000</v>
      </c>
      <c r="AD45" s="13" t="n">
        <f aca="false">IFERROR(AVERAGEIF(U45:Y45,"&lt;&gt;0"),"")</f>
        <v>70000</v>
      </c>
      <c r="AE45" s="13" t="n">
        <f aca="false">IFERROR(AVERAGEIF(D45:Y45,"&lt;&gt;0"),"")</f>
        <v>70000</v>
      </c>
    </row>
    <row r="46" customFormat="false" ht="15" hidden="false" customHeight="false" outlineLevel="0" collapsed="false">
      <c r="A46" s="3" t="n">
        <v>42</v>
      </c>
      <c r="B46" s="3" t="s">
        <v>485</v>
      </c>
      <c r="C46" s="3" t="s">
        <v>471</v>
      </c>
      <c r="D46" s="32" t="n">
        <v>0</v>
      </c>
      <c r="E46" s="32" t="n">
        <v>40000</v>
      </c>
      <c r="F46" s="32" t="n">
        <v>40000</v>
      </c>
      <c r="G46" s="32" t="n">
        <v>40000</v>
      </c>
      <c r="H46" s="32" t="n">
        <v>40000</v>
      </c>
      <c r="I46" s="32" t="n">
        <v>40000</v>
      </c>
      <c r="J46" s="32" t="n">
        <v>40000</v>
      </c>
      <c r="K46" s="32" t="n">
        <v>0</v>
      </c>
      <c r="L46" s="32" t="n">
        <v>0</v>
      </c>
      <c r="M46" s="32" t="n">
        <v>40000</v>
      </c>
      <c r="N46" s="32" t="n">
        <v>40000</v>
      </c>
      <c r="O46" s="32" t="n">
        <v>40000</v>
      </c>
      <c r="P46" s="32" t="n">
        <v>40000</v>
      </c>
      <c r="Q46" s="32" t="n">
        <v>40000</v>
      </c>
      <c r="R46" s="32" t="n">
        <v>40000</v>
      </c>
      <c r="S46" s="32" t="n">
        <v>40000</v>
      </c>
      <c r="T46" s="32" t="n">
        <v>40000</v>
      </c>
      <c r="U46" s="32" t="n">
        <v>40000</v>
      </c>
      <c r="V46" s="32" t="n">
        <v>40000</v>
      </c>
      <c r="W46" s="32" t="n">
        <v>40000</v>
      </c>
      <c r="X46" s="32" t="n">
        <v>0</v>
      </c>
      <c r="Y46" s="32" t="n">
        <v>0</v>
      </c>
      <c r="Z46" s="13" t="n">
        <f aca="false">IFERROR(AVERAGEIF(D46:E46,"&lt;&gt;0"),"")</f>
        <v>40000</v>
      </c>
      <c r="AA46" s="13" t="n">
        <f aca="false">IFERROR(AVERAGEIF(F46:J46,"&lt;&gt;0"),"")</f>
        <v>40000</v>
      </c>
      <c r="AB46" s="13" t="n">
        <f aca="false">IFERROR(AVERAGEIF(K46:O46,"&lt;&gt;0"),"")</f>
        <v>40000</v>
      </c>
      <c r="AC46" s="13" t="n">
        <f aca="false">IFERROR(AVERAGEIF(P46:T46,"&lt;&gt;0"),"")</f>
        <v>40000</v>
      </c>
      <c r="AD46" s="13" t="n">
        <f aca="false">IFERROR(AVERAGEIF(U46:Y46,"&lt;&gt;0"),"")</f>
        <v>40000</v>
      </c>
      <c r="AE46" s="13" t="n">
        <f aca="false">IFERROR(AVERAGEIF(D46:Y46,"&lt;&gt;0"),"")</f>
        <v>40000</v>
      </c>
    </row>
    <row r="47" customFormat="false" ht="15" hidden="false" customHeight="false" outlineLevel="0" collapsed="false">
      <c r="A47" s="3" t="n">
        <v>43</v>
      </c>
      <c r="B47" s="3" t="s">
        <v>486</v>
      </c>
      <c r="C47" s="3" t="s">
        <v>471</v>
      </c>
      <c r="D47" s="32" t="n">
        <v>0</v>
      </c>
      <c r="E47" s="32" t="n">
        <v>27000</v>
      </c>
      <c r="F47" s="32" t="n">
        <v>27000</v>
      </c>
      <c r="G47" s="32" t="n">
        <v>27000</v>
      </c>
      <c r="H47" s="32" t="n">
        <v>27000</v>
      </c>
      <c r="I47" s="32" t="n">
        <v>27000</v>
      </c>
      <c r="J47" s="32" t="n">
        <v>27000</v>
      </c>
      <c r="K47" s="32" t="n">
        <v>0</v>
      </c>
      <c r="L47" s="32" t="n">
        <v>0</v>
      </c>
      <c r="M47" s="32" t="n">
        <v>27000</v>
      </c>
      <c r="N47" s="32" t="n">
        <v>27000</v>
      </c>
      <c r="O47" s="32" t="n">
        <v>27000</v>
      </c>
      <c r="P47" s="32" t="n">
        <v>27000</v>
      </c>
      <c r="Q47" s="32" t="n">
        <v>27000</v>
      </c>
      <c r="R47" s="32" t="n">
        <v>27000</v>
      </c>
      <c r="S47" s="32" t="n">
        <v>27000</v>
      </c>
      <c r="T47" s="32" t="n">
        <v>27000</v>
      </c>
      <c r="U47" s="32" t="n">
        <v>27000</v>
      </c>
      <c r="V47" s="32" t="n">
        <v>27000</v>
      </c>
      <c r="W47" s="32" t="n">
        <v>27000</v>
      </c>
      <c r="X47" s="32" t="n">
        <v>0</v>
      </c>
      <c r="Y47" s="32" t="n">
        <v>0</v>
      </c>
      <c r="Z47" s="13" t="n">
        <f aca="false">IFERROR(AVERAGEIF(D47:E47,"&lt;&gt;0"),"")</f>
        <v>27000</v>
      </c>
      <c r="AA47" s="13" t="n">
        <f aca="false">IFERROR(AVERAGEIF(F47:J47,"&lt;&gt;0"),"")</f>
        <v>27000</v>
      </c>
      <c r="AB47" s="13" t="n">
        <f aca="false">IFERROR(AVERAGEIF(K47:O47,"&lt;&gt;0"),"")</f>
        <v>27000</v>
      </c>
      <c r="AC47" s="13" t="n">
        <f aca="false">IFERROR(AVERAGEIF(P47:T47,"&lt;&gt;0"),"")</f>
        <v>27000</v>
      </c>
      <c r="AD47" s="13" t="n">
        <f aca="false">IFERROR(AVERAGEIF(U47:Y47,"&lt;&gt;0"),"")</f>
        <v>27000</v>
      </c>
      <c r="AE47" s="13" t="n">
        <f aca="false">IFERROR(AVERAGEIF(D47:Y47,"&lt;&gt;0"),"")</f>
        <v>27000</v>
      </c>
    </row>
    <row r="48" customFormat="false" ht="15" hidden="false" customHeight="false" outlineLevel="0" collapsed="false">
      <c r="A48" s="3" t="n">
        <v>44</v>
      </c>
      <c r="B48" s="3" t="s">
        <v>487</v>
      </c>
      <c r="C48" s="3" t="s">
        <v>471</v>
      </c>
      <c r="D48" s="32" t="n">
        <v>0</v>
      </c>
      <c r="E48" s="32" t="n">
        <v>14000</v>
      </c>
      <c r="F48" s="32" t="n">
        <v>14000</v>
      </c>
      <c r="G48" s="32" t="n">
        <v>14000</v>
      </c>
      <c r="H48" s="32" t="n">
        <v>14000</v>
      </c>
      <c r="I48" s="32" t="n">
        <v>14000</v>
      </c>
      <c r="J48" s="32" t="n">
        <v>14000</v>
      </c>
      <c r="K48" s="32" t="n">
        <v>0</v>
      </c>
      <c r="L48" s="32" t="n">
        <v>0</v>
      </c>
      <c r="M48" s="32" t="n">
        <v>14000</v>
      </c>
      <c r="N48" s="32" t="n">
        <v>14000</v>
      </c>
      <c r="O48" s="32" t="n">
        <v>14000</v>
      </c>
      <c r="P48" s="32" t="n">
        <v>14000</v>
      </c>
      <c r="Q48" s="32" t="n">
        <v>14000</v>
      </c>
      <c r="R48" s="32" t="n">
        <v>14000</v>
      </c>
      <c r="S48" s="32" t="n">
        <v>14000</v>
      </c>
      <c r="T48" s="32" t="n">
        <v>14000</v>
      </c>
      <c r="U48" s="32" t="n">
        <v>14000</v>
      </c>
      <c r="V48" s="32" t="n">
        <v>14000</v>
      </c>
      <c r="W48" s="32" t="n">
        <v>14000</v>
      </c>
      <c r="X48" s="32" t="n">
        <v>0</v>
      </c>
      <c r="Y48" s="32" t="n">
        <v>0</v>
      </c>
      <c r="Z48" s="13" t="n">
        <f aca="false">IFERROR(AVERAGEIF(D48:E48,"&lt;&gt;0"),"")</f>
        <v>14000</v>
      </c>
      <c r="AA48" s="13" t="n">
        <f aca="false">IFERROR(AVERAGEIF(F48:J48,"&lt;&gt;0"),"")</f>
        <v>14000</v>
      </c>
      <c r="AB48" s="13" t="n">
        <f aca="false">IFERROR(AVERAGEIF(K48:O48,"&lt;&gt;0"),"")</f>
        <v>14000</v>
      </c>
      <c r="AC48" s="13" t="n">
        <f aca="false">IFERROR(AVERAGEIF(P48:T48,"&lt;&gt;0"),"")</f>
        <v>14000</v>
      </c>
      <c r="AD48" s="13" t="n">
        <f aca="false">IFERROR(AVERAGEIF(U48:Y48,"&lt;&gt;0"),"")</f>
        <v>14000</v>
      </c>
      <c r="AE48" s="13" t="n">
        <f aca="false">IFERROR(AVERAGEIF(D48:Y48,"&lt;&gt;0"),"")</f>
        <v>14000</v>
      </c>
    </row>
  </sheetData>
  <mergeCells count="1">
    <mergeCell ref="A1:A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4"/>
    <col collapsed="false" customWidth="true" hidden="false" outlineLevel="0" max="23" min="4" style="0" width="9"/>
    <col collapsed="false" customWidth="true" hidden="false" outlineLevel="0" max="28" min="24" style="0" width="14"/>
  </cols>
  <sheetData>
    <row r="1" customFormat="false" ht="16.15" hidden="false" customHeight="false" outlineLevel="0" collapsed="false">
      <c r="A1" s="1" t="s">
        <v>626</v>
      </c>
      <c r="B1" s="1"/>
      <c r="C1" s="1"/>
      <c r="D1" s="1"/>
      <c r="E1" s="1"/>
      <c r="F1" s="1"/>
      <c r="G1" s="1"/>
      <c r="H1" s="1"/>
      <c r="I1" s="1"/>
      <c r="J1" s="1"/>
      <c r="K1" s="1"/>
      <c r="L1" s="1"/>
      <c r="M1" s="1"/>
      <c r="N1" s="1"/>
      <c r="O1" s="1"/>
      <c r="P1" s="1"/>
      <c r="Q1" s="1"/>
      <c r="R1" s="1"/>
      <c r="S1" s="1"/>
      <c r="T1" s="1"/>
      <c r="U1" s="1"/>
      <c r="V1" s="1"/>
      <c r="W1" s="1"/>
      <c r="X1" s="1"/>
      <c r="Y1" s="1"/>
      <c r="Z1" s="1"/>
      <c r="AA1" s="1"/>
      <c r="AB1" s="1"/>
    </row>
    <row r="2" customFormat="false" ht="15" hidden="false" customHeight="false" outlineLevel="0" collapsed="false">
      <c r="A2" s="7" t="s">
        <v>443</v>
      </c>
    </row>
    <row r="4" customFormat="false" ht="19.4" hidden="false" customHeight="false" outlineLevel="0" collapsed="false">
      <c r="A4" s="10" t="s">
        <v>1</v>
      </c>
      <c r="B4" s="10" t="s">
        <v>444</v>
      </c>
      <c r="C4" s="10" t="s">
        <v>445</v>
      </c>
      <c r="D4" s="10" t="s">
        <v>627</v>
      </c>
      <c r="E4" s="10" t="s">
        <v>628</v>
      </c>
      <c r="F4" s="10" t="s">
        <v>629</v>
      </c>
      <c r="G4" s="10" t="s">
        <v>630</v>
      </c>
      <c r="H4" s="10" t="s">
        <v>631</v>
      </c>
      <c r="I4" s="10" t="s">
        <v>632</v>
      </c>
      <c r="J4" s="10" t="s">
        <v>633</v>
      </c>
      <c r="K4" s="10" t="s">
        <v>634</v>
      </c>
      <c r="L4" s="10" t="s">
        <v>635</v>
      </c>
      <c r="M4" s="10" t="s">
        <v>636</v>
      </c>
      <c r="N4" s="10" t="s">
        <v>637</v>
      </c>
      <c r="O4" s="10" t="s">
        <v>638</v>
      </c>
      <c r="P4" s="10" t="s">
        <v>639</v>
      </c>
      <c r="Q4" s="10" t="s">
        <v>640</v>
      </c>
      <c r="R4" s="10" t="s">
        <v>641</v>
      </c>
      <c r="S4" s="10" t="s">
        <v>642</v>
      </c>
      <c r="T4" s="10" t="s">
        <v>643</v>
      </c>
      <c r="U4" s="10" t="s">
        <v>644</v>
      </c>
      <c r="V4" s="10" t="s">
        <v>645</v>
      </c>
      <c r="W4" s="10" t="s">
        <v>646</v>
      </c>
      <c r="X4" s="10" t="s">
        <v>466</v>
      </c>
      <c r="Y4" s="10" t="s">
        <v>467</v>
      </c>
      <c r="Z4" s="10" t="s">
        <v>468</v>
      </c>
      <c r="AA4" s="10" t="s">
        <v>469</v>
      </c>
      <c r="AB4" s="10" t="s">
        <v>647</v>
      </c>
    </row>
    <row r="5" customFormat="false" ht="15" hidden="false" customHeight="false" outlineLevel="0" collapsed="false">
      <c r="A5" s="3" t="n">
        <v>1</v>
      </c>
      <c r="B5" s="3" t="s">
        <v>407</v>
      </c>
      <c r="C5" s="3" t="s">
        <v>471</v>
      </c>
      <c r="D5" s="32" t="n">
        <v>12000</v>
      </c>
      <c r="E5" s="32" t="n">
        <v>12000</v>
      </c>
      <c r="F5" s="32" t="n">
        <v>12000</v>
      </c>
      <c r="G5" s="32" t="n">
        <v>12000</v>
      </c>
      <c r="H5" s="32" t="n">
        <v>0</v>
      </c>
      <c r="I5" s="32" t="n">
        <v>0</v>
      </c>
      <c r="J5" s="32" t="n">
        <v>12000</v>
      </c>
      <c r="K5" s="32" t="n">
        <v>12000</v>
      </c>
      <c r="L5" s="32" t="n">
        <v>12000</v>
      </c>
      <c r="M5" s="32" t="n">
        <v>12000</v>
      </c>
      <c r="N5" s="32" t="n">
        <v>12000</v>
      </c>
      <c r="O5" s="32" t="n">
        <v>12000</v>
      </c>
      <c r="P5" s="32" t="n">
        <v>12000</v>
      </c>
      <c r="Q5" s="32" t="n">
        <v>12000</v>
      </c>
      <c r="R5" s="32" t="n">
        <v>12000</v>
      </c>
      <c r="S5" s="32" t="n">
        <v>12000</v>
      </c>
      <c r="T5" s="32" t="n">
        <v>12000</v>
      </c>
      <c r="U5" s="32" t="n">
        <v>12000</v>
      </c>
      <c r="V5" s="32" t="n">
        <v>12000</v>
      </c>
      <c r="W5" s="32" t="n">
        <v>0</v>
      </c>
      <c r="X5" s="13" t="n">
        <f aca="false">IFERROR(AVERAGEIF(D5:H5,"&lt;&gt;0"),"")</f>
        <v>12000</v>
      </c>
      <c r="Y5" s="13" t="n">
        <f aca="false">IFERROR(AVERAGEIF(I5:M5,"&lt;&gt;0"),"")</f>
        <v>12000</v>
      </c>
      <c r="Z5" s="13" t="n">
        <f aca="false">IFERROR(AVERAGEIF(N5:R5,"&lt;&gt;0"),"")</f>
        <v>12000</v>
      </c>
      <c r="AA5" s="13" t="n">
        <f aca="false">IFERROR(AVERAGEIF(S5:W5,"&lt;&gt;0"),"")</f>
        <v>12000</v>
      </c>
      <c r="AB5" s="13" t="n">
        <f aca="false">IFERROR(AVERAGEIF(D5:W5,"&lt;&gt;0"),"")</f>
        <v>12000</v>
      </c>
    </row>
    <row r="6" customFormat="false" ht="15" hidden="false" customHeight="false" outlineLevel="0" collapsed="false">
      <c r="A6" s="3" t="n">
        <v>2</v>
      </c>
      <c r="B6" s="3" t="s">
        <v>408</v>
      </c>
      <c r="C6" s="3" t="s">
        <v>471</v>
      </c>
      <c r="D6" s="32" t="n">
        <v>13000</v>
      </c>
      <c r="E6" s="32" t="n">
        <v>13000</v>
      </c>
      <c r="F6" s="32" t="n">
        <v>13000</v>
      </c>
      <c r="G6" s="32" t="n">
        <v>13000</v>
      </c>
      <c r="H6" s="32" t="n">
        <v>0</v>
      </c>
      <c r="I6" s="32" t="n">
        <v>0</v>
      </c>
      <c r="J6" s="32" t="n">
        <v>13000</v>
      </c>
      <c r="K6" s="32" t="n">
        <v>13000</v>
      </c>
      <c r="L6" s="32" t="n">
        <v>13000</v>
      </c>
      <c r="M6" s="32" t="n">
        <v>13000</v>
      </c>
      <c r="N6" s="32" t="n">
        <v>13000</v>
      </c>
      <c r="O6" s="32" t="n">
        <v>13000</v>
      </c>
      <c r="P6" s="32" t="n">
        <v>13000</v>
      </c>
      <c r="Q6" s="32" t="n">
        <v>13000</v>
      </c>
      <c r="R6" s="32" t="n">
        <v>13000</v>
      </c>
      <c r="S6" s="32" t="n">
        <v>13000</v>
      </c>
      <c r="T6" s="32" t="n">
        <v>13000</v>
      </c>
      <c r="U6" s="32" t="n">
        <v>13000</v>
      </c>
      <c r="V6" s="32" t="n">
        <v>13000</v>
      </c>
      <c r="W6" s="32" t="n">
        <v>0</v>
      </c>
      <c r="X6" s="13" t="n">
        <f aca="false">IFERROR(AVERAGEIF(D6:H6,"&lt;&gt;0"),"")</f>
        <v>13000</v>
      </c>
      <c r="Y6" s="13" t="n">
        <f aca="false">IFERROR(AVERAGEIF(I6:M6,"&lt;&gt;0"),"")</f>
        <v>13000</v>
      </c>
      <c r="Z6" s="13" t="n">
        <f aca="false">IFERROR(AVERAGEIF(N6:R6,"&lt;&gt;0"),"")</f>
        <v>13000</v>
      </c>
      <c r="AA6" s="13" t="n">
        <f aca="false">IFERROR(AVERAGEIF(S6:W6,"&lt;&gt;0"),"")</f>
        <v>13000</v>
      </c>
      <c r="AB6" s="13" t="n">
        <f aca="false">IFERROR(AVERAGEIF(D6:W6,"&lt;&gt;0"),"")</f>
        <v>13000</v>
      </c>
    </row>
    <row r="7" customFormat="false" ht="15" hidden="false" customHeight="false" outlineLevel="0" collapsed="false">
      <c r="A7" s="3" t="n">
        <v>3</v>
      </c>
      <c r="B7" s="3" t="s">
        <v>409</v>
      </c>
      <c r="C7" s="3" t="s">
        <v>471</v>
      </c>
      <c r="D7" s="33"/>
      <c r="E7" s="33"/>
      <c r="F7" s="33"/>
      <c r="G7" s="33"/>
      <c r="H7" s="33"/>
      <c r="I7" s="33"/>
      <c r="J7" s="33"/>
      <c r="K7" s="33"/>
      <c r="L7" s="33"/>
      <c r="M7" s="33"/>
      <c r="N7" s="33"/>
      <c r="O7" s="33"/>
      <c r="P7" s="33"/>
      <c r="Q7" s="33"/>
      <c r="R7" s="33"/>
      <c r="S7" s="33"/>
      <c r="T7" s="33"/>
      <c r="U7" s="33"/>
      <c r="V7" s="33"/>
      <c r="W7" s="33"/>
      <c r="X7" s="13" t="str">
        <f aca="false">IFERROR(AVERAGEIF(D7:H7,"&lt;&gt;0"),"")</f>
        <v/>
      </c>
      <c r="Y7" s="13" t="str">
        <f aca="false">IFERROR(AVERAGEIF(I7:M7,"&lt;&gt;0"),"")</f>
        <v/>
      </c>
      <c r="Z7" s="13" t="str">
        <f aca="false">IFERROR(AVERAGEIF(N7:R7,"&lt;&gt;0"),"")</f>
        <v/>
      </c>
      <c r="AA7" s="13" t="str">
        <f aca="false">IFERROR(AVERAGEIF(S7:W7,"&lt;&gt;0"),"")</f>
        <v/>
      </c>
      <c r="AB7" s="13" t="str">
        <f aca="false">IFERROR(AVERAGEIF(D7:W7,"&lt;&gt;0"),"")</f>
        <v/>
      </c>
    </row>
    <row r="8" customFormat="false" ht="15" hidden="false" customHeight="false" outlineLevel="0" collapsed="false">
      <c r="A8" s="3" t="n">
        <v>4</v>
      </c>
      <c r="B8" s="3" t="s">
        <v>472</v>
      </c>
      <c r="C8" s="3" t="s">
        <v>471</v>
      </c>
      <c r="D8" s="32" t="n">
        <v>11000</v>
      </c>
      <c r="E8" s="32" t="n">
        <v>11000</v>
      </c>
      <c r="F8" s="32" t="n">
        <v>11000</v>
      </c>
      <c r="G8" s="32" t="n">
        <v>11000</v>
      </c>
      <c r="H8" s="32" t="n">
        <v>0</v>
      </c>
      <c r="I8" s="32" t="n">
        <v>0</v>
      </c>
      <c r="J8" s="32" t="n">
        <v>11000</v>
      </c>
      <c r="K8" s="32" t="n">
        <v>11000</v>
      </c>
      <c r="L8" s="32" t="n">
        <v>11000</v>
      </c>
      <c r="M8" s="32" t="n">
        <v>11000</v>
      </c>
      <c r="N8" s="32" t="n">
        <v>11000</v>
      </c>
      <c r="O8" s="32" t="n">
        <v>11000</v>
      </c>
      <c r="P8" s="32" t="n">
        <v>11000</v>
      </c>
      <c r="Q8" s="32" t="n">
        <v>11000</v>
      </c>
      <c r="R8" s="32" t="n">
        <v>11000</v>
      </c>
      <c r="S8" s="32" t="n">
        <v>11000</v>
      </c>
      <c r="T8" s="32" t="n">
        <v>11000</v>
      </c>
      <c r="U8" s="32" t="n">
        <v>11000</v>
      </c>
      <c r="V8" s="32" t="n">
        <v>11000</v>
      </c>
      <c r="W8" s="32" t="n">
        <v>0</v>
      </c>
      <c r="X8" s="13" t="n">
        <f aca="false">IFERROR(AVERAGEIF(D8:H8,"&lt;&gt;0"),"")</f>
        <v>11000</v>
      </c>
      <c r="Y8" s="13" t="n">
        <f aca="false">IFERROR(AVERAGEIF(I8:M8,"&lt;&gt;0"),"")</f>
        <v>11000</v>
      </c>
      <c r="Z8" s="13" t="n">
        <f aca="false">IFERROR(AVERAGEIF(N8:R8,"&lt;&gt;0"),"")</f>
        <v>11000</v>
      </c>
      <c r="AA8" s="13" t="n">
        <f aca="false">IFERROR(AVERAGEIF(S8:W8,"&lt;&gt;0"),"")</f>
        <v>11000</v>
      </c>
      <c r="AB8" s="13" t="n">
        <f aca="false">IFERROR(AVERAGEIF(D8:W8,"&lt;&gt;0"),"")</f>
        <v>11000</v>
      </c>
    </row>
    <row r="9" customFormat="false" ht="15" hidden="false" customHeight="false" outlineLevel="0" collapsed="false">
      <c r="A9" s="3" t="n">
        <v>5</v>
      </c>
      <c r="B9" s="3" t="s">
        <v>428</v>
      </c>
      <c r="C9" s="3" t="s">
        <v>471</v>
      </c>
      <c r="D9" s="32" t="n">
        <v>28000</v>
      </c>
      <c r="E9" s="32" t="n">
        <v>28000</v>
      </c>
      <c r="F9" s="32" t="n">
        <v>40000</v>
      </c>
      <c r="G9" s="32" t="n">
        <v>38000</v>
      </c>
      <c r="H9" s="32" t="n">
        <v>0</v>
      </c>
      <c r="I9" s="32" t="n">
        <v>0</v>
      </c>
      <c r="J9" s="32" t="n">
        <v>33000</v>
      </c>
      <c r="K9" s="32" t="n">
        <v>30000</v>
      </c>
      <c r="L9" s="32" t="n">
        <v>27000</v>
      </c>
      <c r="M9" s="32" t="n">
        <v>20000</v>
      </c>
      <c r="N9" s="32" t="n">
        <v>20000</v>
      </c>
      <c r="O9" s="32" t="n">
        <v>20000</v>
      </c>
      <c r="P9" s="32" t="n">
        <v>20000</v>
      </c>
      <c r="Q9" s="32" t="n">
        <v>20000</v>
      </c>
      <c r="R9" s="32" t="n">
        <v>20000</v>
      </c>
      <c r="S9" s="32" t="n">
        <v>20000</v>
      </c>
      <c r="T9" s="32" t="n">
        <v>20000</v>
      </c>
      <c r="U9" s="32" t="n">
        <v>20000</v>
      </c>
      <c r="V9" s="32" t="n">
        <v>20000</v>
      </c>
      <c r="W9" s="32" t="n">
        <v>0</v>
      </c>
      <c r="X9" s="13" t="n">
        <f aca="false">IFERROR(AVERAGEIF(D9:H9,"&lt;&gt;0"),"")</f>
        <v>33500</v>
      </c>
      <c r="Y9" s="13" t="n">
        <f aca="false">IFERROR(AVERAGEIF(I9:M9,"&lt;&gt;0"),"")</f>
        <v>27500</v>
      </c>
      <c r="Z9" s="13" t="n">
        <f aca="false">IFERROR(AVERAGEIF(N9:R9,"&lt;&gt;0"),"")</f>
        <v>20000</v>
      </c>
      <c r="AA9" s="13" t="n">
        <f aca="false">IFERROR(AVERAGEIF(S9:W9,"&lt;&gt;0"),"")</f>
        <v>20000</v>
      </c>
      <c r="AB9" s="13" t="n">
        <f aca="false">IFERROR(AVERAGEIF(D9:W9,"&lt;&gt;0"),"")</f>
        <v>24941.1764705882</v>
      </c>
    </row>
    <row r="10" customFormat="false" ht="15" hidden="false" customHeight="false" outlineLevel="0" collapsed="false">
      <c r="A10" s="3" t="n">
        <v>6</v>
      </c>
      <c r="B10" s="3" t="s">
        <v>429</v>
      </c>
      <c r="C10" s="3" t="s">
        <v>471</v>
      </c>
      <c r="D10" s="32" t="n">
        <v>30000</v>
      </c>
      <c r="E10" s="32" t="n">
        <v>30000</v>
      </c>
      <c r="F10" s="32" t="n">
        <v>40000</v>
      </c>
      <c r="G10" s="32" t="n">
        <v>38000</v>
      </c>
      <c r="H10" s="32" t="n">
        <v>0</v>
      </c>
      <c r="I10" s="32" t="n">
        <v>0</v>
      </c>
      <c r="J10" s="32" t="n">
        <v>35000</v>
      </c>
      <c r="K10" s="32" t="n">
        <v>30000</v>
      </c>
      <c r="L10" s="32" t="n">
        <v>27000</v>
      </c>
      <c r="M10" s="32" t="n">
        <v>22000</v>
      </c>
      <c r="N10" s="32" t="n">
        <v>20000</v>
      </c>
      <c r="O10" s="32" t="n">
        <v>20000</v>
      </c>
      <c r="P10" s="32" t="n">
        <v>20000</v>
      </c>
      <c r="Q10" s="32" t="n">
        <v>20000</v>
      </c>
      <c r="R10" s="32" t="n">
        <v>22000</v>
      </c>
      <c r="S10" s="32" t="n">
        <v>22000</v>
      </c>
      <c r="T10" s="32" t="n">
        <v>22000</v>
      </c>
      <c r="U10" s="32" t="n">
        <v>22000</v>
      </c>
      <c r="V10" s="32" t="n">
        <v>22000</v>
      </c>
      <c r="W10" s="32" t="n">
        <v>0</v>
      </c>
      <c r="X10" s="13" t="n">
        <f aca="false">IFERROR(AVERAGEIF(D10:H10,"&lt;&gt;0"),"")</f>
        <v>34500</v>
      </c>
      <c r="Y10" s="13" t="n">
        <f aca="false">IFERROR(AVERAGEIF(I10:M10,"&lt;&gt;0"),"")</f>
        <v>28500</v>
      </c>
      <c r="Z10" s="13" t="n">
        <f aca="false">IFERROR(AVERAGEIF(N10:R10,"&lt;&gt;0"),"")</f>
        <v>20400</v>
      </c>
      <c r="AA10" s="13" t="n">
        <f aca="false">IFERROR(AVERAGEIF(S10:W10,"&lt;&gt;0"),"")</f>
        <v>22000</v>
      </c>
      <c r="AB10" s="13" t="n">
        <f aca="false">IFERROR(AVERAGEIF(D10:W10,"&lt;&gt;0"),"")</f>
        <v>26000</v>
      </c>
    </row>
    <row r="11" customFormat="false" ht="15" hidden="false" customHeight="false" outlineLevel="0" collapsed="false">
      <c r="A11" s="3" t="n">
        <v>7</v>
      </c>
      <c r="B11" s="3" t="s">
        <v>418</v>
      </c>
      <c r="C11" s="3" t="s">
        <v>471</v>
      </c>
      <c r="D11" s="32" t="n">
        <v>30000</v>
      </c>
      <c r="E11" s="32" t="n">
        <v>30000</v>
      </c>
      <c r="F11" s="32" t="n">
        <v>35000</v>
      </c>
      <c r="G11" s="32" t="n">
        <v>35000</v>
      </c>
      <c r="H11" s="32" t="n">
        <v>0</v>
      </c>
      <c r="I11" s="32" t="n">
        <v>0</v>
      </c>
      <c r="J11" s="32" t="n">
        <v>30000</v>
      </c>
      <c r="K11" s="32" t="n">
        <v>30000</v>
      </c>
      <c r="L11" s="32" t="n">
        <v>26000</v>
      </c>
      <c r="M11" s="32" t="n">
        <v>22000</v>
      </c>
      <c r="N11" s="32" t="n">
        <v>20000</v>
      </c>
      <c r="O11" s="32" t="n">
        <v>20000</v>
      </c>
      <c r="P11" s="32" t="n">
        <v>20000</v>
      </c>
      <c r="Q11" s="32" t="n">
        <v>20000</v>
      </c>
      <c r="R11" s="32" t="n">
        <v>22000</v>
      </c>
      <c r="S11" s="32" t="n">
        <v>22000</v>
      </c>
      <c r="T11" s="32" t="n">
        <v>22000</v>
      </c>
      <c r="U11" s="32" t="n">
        <v>22000</v>
      </c>
      <c r="V11" s="32" t="n">
        <v>22000</v>
      </c>
      <c r="W11" s="32" t="n">
        <v>0</v>
      </c>
      <c r="X11" s="13" t="n">
        <f aca="false">IFERROR(AVERAGEIF(D11:H11,"&lt;&gt;0"),"")</f>
        <v>32500</v>
      </c>
      <c r="Y11" s="13" t="n">
        <f aca="false">IFERROR(AVERAGEIF(I11:M11,"&lt;&gt;0"),"")</f>
        <v>27000</v>
      </c>
      <c r="Z11" s="13" t="n">
        <f aca="false">IFERROR(AVERAGEIF(N11:R11,"&lt;&gt;0"),"")</f>
        <v>20400</v>
      </c>
      <c r="AA11" s="13" t="n">
        <f aca="false">IFERROR(AVERAGEIF(S11:W11,"&lt;&gt;0"),"")</f>
        <v>22000</v>
      </c>
      <c r="AB11" s="13" t="n">
        <f aca="false">IFERROR(AVERAGEIF(D11:W11,"&lt;&gt;0"),"")</f>
        <v>25176.4705882353</v>
      </c>
    </row>
    <row r="12" customFormat="false" ht="15" hidden="false" customHeight="false" outlineLevel="0" collapsed="false">
      <c r="A12" s="3" t="n">
        <v>8</v>
      </c>
      <c r="B12" s="3" t="s">
        <v>423</v>
      </c>
      <c r="C12" s="3" t="s">
        <v>471</v>
      </c>
      <c r="D12" s="32" t="n">
        <v>33000</v>
      </c>
      <c r="E12" s="32" t="n">
        <v>33000</v>
      </c>
      <c r="F12" s="32" t="n">
        <v>33000</v>
      </c>
      <c r="G12" s="32" t="n">
        <v>32000</v>
      </c>
      <c r="H12" s="32" t="n">
        <v>0</v>
      </c>
      <c r="I12" s="32" t="n">
        <v>0</v>
      </c>
      <c r="J12" s="32" t="n">
        <v>32000</v>
      </c>
      <c r="K12" s="32" t="n">
        <v>27000</v>
      </c>
      <c r="L12" s="32" t="n">
        <v>27000</v>
      </c>
      <c r="M12" s="32" t="n">
        <v>24000</v>
      </c>
      <c r="N12" s="32" t="n">
        <v>24000</v>
      </c>
      <c r="O12" s="32" t="n">
        <v>22000</v>
      </c>
      <c r="P12" s="32" t="n">
        <v>20000</v>
      </c>
      <c r="Q12" s="32" t="n">
        <v>20000</v>
      </c>
      <c r="R12" s="32" t="n">
        <v>20000</v>
      </c>
      <c r="S12" s="32" t="n">
        <v>22000</v>
      </c>
      <c r="T12" s="32" t="n">
        <v>22000</v>
      </c>
      <c r="U12" s="32" t="n">
        <v>22000</v>
      </c>
      <c r="V12" s="32" t="n">
        <v>22000</v>
      </c>
      <c r="W12" s="32" t="n">
        <v>0</v>
      </c>
      <c r="X12" s="13" t="n">
        <f aca="false">IFERROR(AVERAGEIF(D12:H12,"&lt;&gt;0"),"")</f>
        <v>32750</v>
      </c>
      <c r="Y12" s="13" t="n">
        <f aca="false">IFERROR(AVERAGEIF(I12:M12,"&lt;&gt;0"),"")</f>
        <v>27500</v>
      </c>
      <c r="Z12" s="13" t="n">
        <f aca="false">IFERROR(AVERAGEIF(N12:R12,"&lt;&gt;0"),"")</f>
        <v>21200</v>
      </c>
      <c r="AA12" s="13" t="n">
        <f aca="false">IFERROR(AVERAGEIF(S12:W12,"&lt;&gt;0"),"")</f>
        <v>22000</v>
      </c>
      <c r="AB12" s="13" t="n">
        <f aca="false">IFERROR(AVERAGEIF(D12:W12,"&lt;&gt;0"),"")</f>
        <v>25588.2352941176</v>
      </c>
    </row>
    <row r="13" customFormat="false" ht="15" hidden="false" customHeight="false" outlineLevel="0" collapsed="false">
      <c r="A13" s="3" t="n">
        <v>9</v>
      </c>
      <c r="B13" s="3" t="s">
        <v>420</v>
      </c>
      <c r="C13" s="3" t="s">
        <v>471</v>
      </c>
      <c r="D13" s="32" t="n">
        <v>16500</v>
      </c>
      <c r="E13" s="32" t="n">
        <v>16500</v>
      </c>
      <c r="F13" s="32" t="n">
        <v>16500</v>
      </c>
      <c r="G13" s="32" t="n">
        <v>16500</v>
      </c>
      <c r="H13" s="32" t="n">
        <v>0</v>
      </c>
      <c r="I13" s="32" t="n">
        <v>0</v>
      </c>
      <c r="J13" s="32" t="n">
        <v>16000</v>
      </c>
      <c r="K13" s="32" t="n">
        <v>16000</v>
      </c>
      <c r="L13" s="32" t="n">
        <v>16000</v>
      </c>
      <c r="M13" s="32" t="n">
        <v>16000</v>
      </c>
      <c r="N13" s="32" t="n">
        <v>16000</v>
      </c>
      <c r="O13" s="32" t="n">
        <v>16000</v>
      </c>
      <c r="P13" s="32" t="n">
        <v>16000</v>
      </c>
      <c r="Q13" s="32" t="n">
        <v>16000</v>
      </c>
      <c r="R13" s="32" t="n">
        <v>16000</v>
      </c>
      <c r="S13" s="32" t="n">
        <v>16000</v>
      </c>
      <c r="T13" s="32" t="n">
        <v>16000</v>
      </c>
      <c r="U13" s="32" t="n">
        <v>16000</v>
      </c>
      <c r="V13" s="32" t="n">
        <v>16000</v>
      </c>
      <c r="W13" s="32" t="n">
        <v>0</v>
      </c>
      <c r="X13" s="13" t="n">
        <f aca="false">IFERROR(AVERAGEIF(D13:H13,"&lt;&gt;0"),"")</f>
        <v>16500</v>
      </c>
      <c r="Y13" s="13" t="n">
        <f aca="false">IFERROR(AVERAGEIF(I13:M13,"&lt;&gt;0"),"")</f>
        <v>16000</v>
      </c>
      <c r="Z13" s="13" t="n">
        <f aca="false">IFERROR(AVERAGEIF(N13:R13,"&lt;&gt;0"),"")</f>
        <v>16000</v>
      </c>
      <c r="AA13" s="13" t="n">
        <f aca="false">IFERROR(AVERAGEIF(S13:W13,"&lt;&gt;0"),"")</f>
        <v>16000</v>
      </c>
      <c r="AB13" s="13" t="n">
        <f aca="false">IFERROR(AVERAGEIF(D13:W13,"&lt;&gt;0"),"")</f>
        <v>16117.6470588235</v>
      </c>
    </row>
    <row r="14" customFormat="false" ht="15" hidden="false" customHeight="false" outlineLevel="0" collapsed="false">
      <c r="A14" s="3" t="n">
        <v>10</v>
      </c>
      <c r="B14" s="3" t="s">
        <v>413</v>
      </c>
      <c r="C14" s="3" t="s">
        <v>471</v>
      </c>
      <c r="D14" s="32" t="n">
        <v>15000</v>
      </c>
      <c r="E14" s="32" t="n">
        <v>15000</v>
      </c>
      <c r="F14" s="32" t="n">
        <v>15000</v>
      </c>
      <c r="G14" s="32" t="n">
        <v>15000</v>
      </c>
      <c r="H14" s="32" t="n">
        <v>0</v>
      </c>
      <c r="I14" s="32" t="n">
        <v>0</v>
      </c>
      <c r="J14" s="32" t="n">
        <v>15000</v>
      </c>
      <c r="K14" s="32" t="n">
        <v>15000</v>
      </c>
      <c r="L14" s="32" t="n">
        <v>15000</v>
      </c>
      <c r="M14" s="32" t="n">
        <v>15000</v>
      </c>
      <c r="N14" s="32" t="n">
        <v>15000</v>
      </c>
      <c r="O14" s="32" t="n">
        <v>15000</v>
      </c>
      <c r="P14" s="32" t="n">
        <v>15000</v>
      </c>
      <c r="Q14" s="32" t="n">
        <v>15000</v>
      </c>
      <c r="R14" s="32" t="n">
        <v>15000</v>
      </c>
      <c r="S14" s="32" t="n">
        <v>15000</v>
      </c>
      <c r="T14" s="32" t="n">
        <v>15000</v>
      </c>
      <c r="U14" s="32" t="n">
        <v>15000</v>
      </c>
      <c r="V14" s="32" t="n">
        <v>15000</v>
      </c>
      <c r="W14" s="32" t="n">
        <v>0</v>
      </c>
      <c r="X14" s="13" t="n">
        <f aca="false">IFERROR(AVERAGEIF(D14:H14,"&lt;&gt;0"),"")</f>
        <v>15000</v>
      </c>
      <c r="Y14" s="13" t="n">
        <f aca="false">IFERROR(AVERAGEIF(I14:M14,"&lt;&gt;0"),"")</f>
        <v>15000</v>
      </c>
      <c r="Z14" s="13" t="n">
        <f aca="false">IFERROR(AVERAGEIF(N14:R14,"&lt;&gt;0"),"")</f>
        <v>15000</v>
      </c>
      <c r="AA14" s="13" t="n">
        <f aca="false">IFERROR(AVERAGEIF(S14:W14,"&lt;&gt;0"),"")</f>
        <v>15000</v>
      </c>
      <c r="AB14" s="13" t="n">
        <f aca="false">IFERROR(AVERAGEIF(D14:W14,"&lt;&gt;0"),"")</f>
        <v>15000</v>
      </c>
    </row>
    <row r="15" customFormat="false" ht="15" hidden="false" customHeight="false" outlineLevel="0" collapsed="false">
      <c r="A15" s="3" t="n">
        <v>11</v>
      </c>
      <c r="B15" s="3" t="s">
        <v>414</v>
      </c>
      <c r="C15" s="3" t="s">
        <v>471</v>
      </c>
      <c r="D15" s="32" t="n">
        <v>18000</v>
      </c>
      <c r="E15" s="32" t="n">
        <v>18000</v>
      </c>
      <c r="F15" s="32" t="n">
        <v>18000</v>
      </c>
      <c r="G15" s="32" t="n">
        <v>18000</v>
      </c>
      <c r="H15" s="32" t="n">
        <v>0</v>
      </c>
      <c r="I15" s="32" t="n">
        <v>0</v>
      </c>
      <c r="J15" s="32" t="n">
        <v>18000</v>
      </c>
      <c r="K15" s="32" t="n">
        <v>18000</v>
      </c>
      <c r="L15" s="32" t="n">
        <v>18000</v>
      </c>
      <c r="M15" s="32" t="n">
        <v>18000</v>
      </c>
      <c r="N15" s="32" t="n">
        <v>18000</v>
      </c>
      <c r="O15" s="32" t="n">
        <v>18000</v>
      </c>
      <c r="P15" s="32" t="n">
        <v>18000</v>
      </c>
      <c r="Q15" s="32" t="n">
        <v>18000</v>
      </c>
      <c r="R15" s="32" t="n">
        <v>18000</v>
      </c>
      <c r="S15" s="32" t="n">
        <v>18000</v>
      </c>
      <c r="T15" s="32" t="n">
        <v>18000</v>
      </c>
      <c r="U15" s="32" t="n">
        <v>18000</v>
      </c>
      <c r="V15" s="32" t="n">
        <v>18000</v>
      </c>
      <c r="W15" s="32" t="n">
        <v>0</v>
      </c>
      <c r="X15" s="13" t="n">
        <f aca="false">IFERROR(AVERAGEIF(D15:H15,"&lt;&gt;0"),"")</f>
        <v>18000</v>
      </c>
      <c r="Y15" s="13" t="n">
        <f aca="false">IFERROR(AVERAGEIF(I15:M15,"&lt;&gt;0"),"")</f>
        <v>18000</v>
      </c>
      <c r="Z15" s="13" t="n">
        <f aca="false">IFERROR(AVERAGEIF(N15:R15,"&lt;&gt;0"),"")</f>
        <v>18000</v>
      </c>
      <c r="AA15" s="13" t="n">
        <f aca="false">IFERROR(AVERAGEIF(S15:W15,"&lt;&gt;0"),"")</f>
        <v>18000</v>
      </c>
      <c r="AB15" s="13" t="n">
        <f aca="false">IFERROR(AVERAGEIF(D15:W15,"&lt;&gt;0"),"")</f>
        <v>18000</v>
      </c>
    </row>
    <row r="16" customFormat="false" ht="15" hidden="false" customHeight="false" outlineLevel="0" collapsed="false">
      <c r="A16" s="3" t="n">
        <v>12</v>
      </c>
      <c r="B16" s="3" t="s">
        <v>415</v>
      </c>
      <c r="C16" s="3" t="s">
        <v>471</v>
      </c>
      <c r="D16" s="32" t="n">
        <v>16000</v>
      </c>
      <c r="E16" s="32" t="n">
        <v>16000</v>
      </c>
      <c r="F16" s="32" t="n">
        <v>16000</v>
      </c>
      <c r="G16" s="32" t="n">
        <v>16000</v>
      </c>
      <c r="H16" s="32" t="n">
        <v>0</v>
      </c>
      <c r="I16" s="32" t="n">
        <v>0</v>
      </c>
      <c r="J16" s="32" t="n">
        <v>16000</v>
      </c>
      <c r="K16" s="32" t="n">
        <v>16000</v>
      </c>
      <c r="L16" s="32" t="n">
        <v>16000</v>
      </c>
      <c r="M16" s="32" t="n">
        <v>16000</v>
      </c>
      <c r="N16" s="32" t="n">
        <v>16000</v>
      </c>
      <c r="O16" s="32" t="n">
        <v>16000</v>
      </c>
      <c r="P16" s="32" t="n">
        <v>16000</v>
      </c>
      <c r="Q16" s="32" t="n">
        <v>16000</v>
      </c>
      <c r="R16" s="32" t="n">
        <v>15700</v>
      </c>
      <c r="S16" s="32" t="n">
        <v>15700</v>
      </c>
      <c r="T16" s="32" t="n">
        <v>15700</v>
      </c>
      <c r="U16" s="32" t="n">
        <v>15700</v>
      </c>
      <c r="V16" s="32" t="n">
        <v>15700</v>
      </c>
      <c r="W16" s="32" t="n">
        <v>0</v>
      </c>
      <c r="X16" s="13" t="n">
        <f aca="false">IFERROR(AVERAGEIF(D16:H16,"&lt;&gt;0"),"")</f>
        <v>16000</v>
      </c>
      <c r="Y16" s="13" t="n">
        <f aca="false">IFERROR(AVERAGEIF(I16:M16,"&lt;&gt;0"),"")</f>
        <v>16000</v>
      </c>
      <c r="Z16" s="13" t="n">
        <f aca="false">IFERROR(AVERAGEIF(N16:R16,"&lt;&gt;0"),"")</f>
        <v>15940</v>
      </c>
      <c r="AA16" s="13" t="n">
        <f aca="false">IFERROR(AVERAGEIF(S16:W16,"&lt;&gt;0"),"")</f>
        <v>15700</v>
      </c>
      <c r="AB16" s="13" t="n">
        <f aca="false">IFERROR(AVERAGEIF(D16:W16,"&lt;&gt;0"),"")</f>
        <v>15911.7647058824</v>
      </c>
    </row>
    <row r="17" customFormat="false" ht="15" hidden="false" customHeight="false" outlineLevel="0" collapsed="false">
      <c r="A17" s="3" t="n">
        <v>13</v>
      </c>
      <c r="B17" s="3" t="s">
        <v>410</v>
      </c>
      <c r="C17" s="3" t="s">
        <v>471</v>
      </c>
      <c r="D17" s="32" t="n">
        <v>9000</v>
      </c>
      <c r="E17" s="32" t="n">
        <v>9000</v>
      </c>
      <c r="F17" s="32" t="n">
        <v>9000</v>
      </c>
      <c r="G17" s="32" t="n">
        <v>9000</v>
      </c>
      <c r="H17" s="32" t="n">
        <v>0</v>
      </c>
      <c r="I17" s="32" t="n">
        <v>0</v>
      </c>
      <c r="J17" s="32" t="n">
        <v>9000</v>
      </c>
      <c r="K17" s="32" t="n">
        <v>9000</v>
      </c>
      <c r="L17" s="32" t="n">
        <v>9000</v>
      </c>
      <c r="M17" s="32" t="n">
        <v>9000</v>
      </c>
      <c r="N17" s="32" t="n">
        <v>9000</v>
      </c>
      <c r="O17" s="32" t="n">
        <v>9000</v>
      </c>
      <c r="P17" s="32" t="n">
        <v>9000</v>
      </c>
      <c r="Q17" s="32" t="n">
        <v>9000</v>
      </c>
      <c r="R17" s="32" t="n">
        <v>9000</v>
      </c>
      <c r="S17" s="32" t="n">
        <v>11000</v>
      </c>
      <c r="T17" s="32" t="n">
        <v>11500</v>
      </c>
      <c r="U17" s="32" t="n">
        <v>11500</v>
      </c>
      <c r="V17" s="32" t="n">
        <v>11500</v>
      </c>
      <c r="W17" s="32" t="n">
        <v>0</v>
      </c>
      <c r="X17" s="13" t="n">
        <f aca="false">IFERROR(AVERAGEIF(D17:H17,"&lt;&gt;0"),"")</f>
        <v>9000</v>
      </c>
      <c r="Y17" s="13" t="n">
        <f aca="false">IFERROR(AVERAGEIF(I17:M17,"&lt;&gt;0"),"")</f>
        <v>9000</v>
      </c>
      <c r="Z17" s="13" t="n">
        <f aca="false">IFERROR(AVERAGEIF(N17:R17,"&lt;&gt;0"),"")</f>
        <v>9000</v>
      </c>
      <c r="AA17" s="13" t="n">
        <f aca="false">IFERROR(AVERAGEIF(S17:W17,"&lt;&gt;0"),"")</f>
        <v>11375</v>
      </c>
      <c r="AB17" s="13" t="n">
        <f aca="false">IFERROR(AVERAGEIF(D17:W17,"&lt;&gt;0"),"")</f>
        <v>9558.82352941176</v>
      </c>
    </row>
    <row r="18" customFormat="false" ht="15" hidden="false" customHeight="false" outlineLevel="0" collapsed="false">
      <c r="A18" s="3" t="n">
        <v>14</v>
      </c>
      <c r="B18" s="3" t="s">
        <v>412</v>
      </c>
      <c r="C18" s="3" t="s">
        <v>471</v>
      </c>
      <c r="D18" s="32" t="n">
        <v>29000</v>
      </c>
      <c r="E18" s="32" t="n">
        <v>29000</v>
      </c>
      <c r="F18" s="32" t="n">
        <v>29000</v>
      </c>
      <c r="G18" s="32" t="n">
        <v>29000</v>
      </c>
      <c r="H18" s="32" t="n">
        <v>0</v>
      </c>
      <c r="I18" s="32" t="n">
        <v>0</v>
      </c>
      <c r="J18" s="32" t="n">
        <v>29000</v>
      </c>
      <c r="K18" s="32" t="n">
        <v>27500</v>
      </c>
      <c r="L18" s="32" t="n">
        <v>26000</v>
      </c>
      <c r="M18" s="32" t="n">
        <v>25000</v>
      </c>
      <c r="N18" s="32" t="n">
        <v>25000</v>
      </c>
      <c r="O18" s="32" t="n">
        <v>23000</v>
      </c>
      <c r="P18" s="32" t="n">
        <v>23000</v>
      </c>
      <c r="Q18" s="32" t="n">
        <v>23000</v>
      </c>
      <c r="R18" s="32" t="n">
        <v>23000</v>
      </c>
      <c r="S18" s="32" t="n">
        <v>23000</v>
      </c>
      <c r="T18" s="32" t="n">
        <v>23000</v>
      </c>
      <c r="U18" s="32" t="n">
        <v>23000</v>
      </c>
      <c r="V18" s="32" t="n">
        <v>23000</v>
      </c>
      <c r="W18" s="32" t="n">
        <v>0</v>
      </c>
      <c r="X18" s="13" t="n">
        <f aca="false">IFERROR(AVERAGEIF(D18:H18,"&lt;&gt;0"),"")</f>
        <v>29000</v>
      </c>
      <c r="Y18" s="13" t="n">
        <f aca="false">IFERROR(AVERAGEIF(I18:M18,"&lt;&gt;0"),"")</f>
        <v>26875</v>
      </c>
      <c r="Z18" s="13" t="n">
        <f aca="false">IFERROR(AVERAGEIF(N18:R18,"&lt;&gt;0"),"")</f>
        <v>23400</v>
      </c>
      <c r="AA18" s="13" t="n">
        <f aca="false">IFERROR(AVERAGEIF(S18:W18,"&lt;&gt;0"),"")</f>
        <v>23000</v>
      </c>
      <c r="AB18" s="13" t="n">
        <f aca="false">IFERROR(AVERAGEIF(D18:W18,"&lt;&gt;0"),"")</f>
        <v>25441.1764705882</v>
      </c>
    </row>
    <row r="19" customFormat="false" ht="15" hidden="false" customHeight="false" outlineLevel="0" collapsed="false">
      <c r="A19" s="3" t="n">
        <v>15</v>
      </c>
      <c r="B19" s="3" t="s">
        <v>419</v>
      </c>
      <c r="C19" s="3" t="s">
        <v>471</v>
      </c>
      <c r="D19" s="32" t="n">
        <v>25000</v>
      </c>
      <c r="E19" s="32" t="n">
        <v>25000</v>
      </c>
      <c r="F19" s="32" t="n">
        <v>25000</v>
      </c>
      <c r="G19" s="32" t="n">
        <v>25000</v>
      </c>
      <c r="H19" s="32" t="n">
        <v>0</v>
      </c>
      <c r="I19" s="32" t="n">
        <v>0</v>
      </c>
      <c r="J19" s="32" t="n">
        <v>25000</v>
      </c>
      <c r="K19" s="32" t="n">
        <v>24000</v>
      </c>
      <c r="L19" s="32" t="n">
        <v>24000</v>
      </c>
      <c r="M19" s="32" t="n">
        <v>23000</v>
      </c>
      <c r="N19" s="32" t="n">
        <v>23000</v>
      </c>
      <c r="O19" s="32" t="n">
        <v>22000</v>
      </c>
      <c r="P19" s="32" t="n">
        <v>22000</v>
      </c>
      <c r="Q19" s="32" t="n">
        <v>22000</v>
      </c>
      <c r="R19" s="32" t="n">
        <v>22000</v>
      </c>
      <c r="S19" s="32" t="n">
        <v>23000</v>
      </c>
      <c r="T19" s="32" t="n">
        <v>23000</v>
      </c>
      <c r="U19" s="32" t="n">
        <v>23000</v>
      </c>
      <c r="V19" s="32" t="n">
        <v>23000</v>
      </c>
      <c r="W19" s="32" t="n">
        <v>0</v>
      </c>
      <c r="X19" s="13" t="n">
        <f aca="false">IFERROR(AVERAGEIF(D19:H19,"&lt;&gt;0"),"")</f>
        <v>25000</v>
      </c>
      <c r="Y19" s="13" t="n">
        <f aca="false">IFERROR(AVERAGEIF(I19:M19,"&lt;&gt;0"),"")</f>
        <v>24000</v>
      </c>
      <c r="Z19" s="13" t="n">
        <f aca="false">IFERROR(AVERAGEIF(N19:R19,"&lt;&gt;0"),"")</f>
        <v>22200</v>
      </c>
      <c r="AA19" s="13" t="n">
        <f aca="false">IFERROR(AVERAGEIF(S19:W19,"&lt;&gt;0"),"")</f>
        <v>23000</v>
      </c>
      <c r="AB19" s="13" t="n">
        <f aca="false">IFERROR(AVERAGEIF(D19:W19,"&lt;&gt;0"),"")</f>
        <v>23470.5882352941</v>
      </c>
    </row>
    <row r="20" customFormat="false" ht="15" hidden="false" customHeight="false" outlineLevel="0" collapsed="false">
      <c r="A20" s="3" t="n">
        <v>16</v>
      </c>
      <c r="B20" s="3" t="s">
        <v>430</v>
      </c>
      <c r="C20" s="3" t="s">
        <v>471</v>
      </c>
      <c r="D20" s="32" t="n">
        <v>100000</v>
      </c>
      <c r="E20" s="32" t="n">
        <v>100000</v>
      </c>
      <c r="F20" s="32" t="n">
        <v>100000</v>
      </c>
      <c r="G20" s="32" t="n">
        <v>100000</v>
      </c>
      <c r="H20" s="32" t="n">
        <v>0</v>
      </c>
      <c r="I20" s="32" t="n">
        <v>0</v>
      </c>
      <c r="J20" s="32" t="n">
        <v>100000</v>
      </c>
      <c r="K20" s="32" t="n">
        <v>98000</v>
      </c>
      <c r="L20" s="32" t="n">
        <v>98000</v>
      </c>
      <c r="M20" s="32" t="n">
        <v>90000</v>
      </c>
      <c r="N20" s="32" t="n">
        <v>90000</v>
      </c>
      <c r="O20" s="32" t="n">
        <v>90000</v>
      </c>
      <c r="P20" s="32" t="n">
        <v>90000</v>
      </c>
      <c r="Q20" s="32" t="n">
        <v>90000</v>
      </c>
      <c r="R20" s="32" t="n">
        <v>90000</v>
      </c>
      <c r="S20" s="32" t="n">
        <v>90000</v>
      </c>
      <c r="T20" s="32" t="n">
        <v>90000</v>
      </c>
      <c r="U20" s="32" t="n">
        <v>90000</v>
      </c>
      <c r="V20" s="32" t="n">
        <v>90000</v>
      </c>
      <c r="W20" s="32" t="n">
        <v>0</v>
      </c>
      <c r="X20" s="13" t="n">
        <f aca="false">IFERROR(AVERAGEIF(D20:H20,"&lt;&gt;0"),"")</f>
        <v>100000</v>
      </c>
      <c r="Y20" s="13" t="n">
        <f aca="false">IFERROR(AVERAGEIF(I20:M20,"&lt;&gt;0"),"")</f>
        <v>96500</v>
      </c>
      <c r="Z20" s="13" t="n">
        <f aca="false">IFERROR(AVERAGEIF(N20:R20,"&lt;&gt;0"),"")</f>
        <v>90000</v>
      </c>
      <c r="AA20" s="13" t="n">
        <f aca="false">IFERROR(AVERAGEIF(S20:W20,"&lt;&gt;0"),"")</f>
        <v>90000</v>
      </c>
      <c r="AB20" s="13" t="n">
        <f aca="false">IFERROR(AVERAGEIF(D20:W20,"&lt;&gt;0"),"")</f>
        <v>93882.3529411765</v>
      </c>
    </row>
    <row r="21" customFormat="false" ht="15" hidden="false" customHeight="false" outlineLevel="0" collapsed="false">
      <c r="A21" s="3" t="n">
        <v>17</v>
      </c>
      <c r="B21" s="3" t="s">
        <v>431</v>
      </c>
      <c r="C21" s="3" t="s">
        <v>471</v>
      </c>
      <c r="D21" s="32" t="n">
        <v>60000</v>
      </c>
      <c r="E21" s="32" t="n">
        <v>60000</v>
      </c>
      <c r="F21" s="32" t="n">
        <v>60000</v>
      </c>
      <c r="G21" s="32" t="n">
        <v>60000</v>
      </c>
      <c r="H21" s="32" t="n">
        <v>0</v>
      </c>
      <c r="I21" s="32" t="n">
        <v>0</v>
      </c>
      <c r="J21" s="32" t="n">
        <v>60000</v>
      </c>
      <c r="K21" s="32" t="n">
        <v>60000</v>
      </c>
      <c r="L21" s="32" t="n">
        <v>60000</v>
      </c>
      <c r="M21" s="32" t="n">
        <v>60000</v>
      </c>
      <c r="N21" s="32" t="n">
        <v>60000</v>
      </c>
      <c r="O21" s="32" t="n">
        <v>60000</v>
      </c>
      <c r="P21" s="32" t="n">
        <v>60000</v>
      </c>
      <c r="Q21" s="32" t="n">
        <v>60000</v>
      </c>
      <c r="R21" s="32" t="n">
        <v>60000</v>
      </c>
      <c r="S21" s="32" t="n">
        <v>60000</v>
      </c>
      <c r="T21" s="32" t="n">
        <v>60000</v>
      </c>
      <c r="U21" s="32" t="n">
        <v>60000</v>
      </c>
      <c r="V21" s="32" t="n">
        <v>60000</v>
      </c>
      <c r="W21" s="32" t="n">
        <v>0</v>
      </c>
      <c r="X21" s="13" t="n">
        <f aca="false">IFERROR(AVERAGEIF(D21:H21,"&lt;&gt;0"),"")</f>
        <v>60000</v>
      </c>
      <c r="Y21" s="13" t="n">
        <f aca="false">IFERROR(AVERAGEIF(I21:M21,"&lt;&gt;0"),"")</f>
        <v>60000</v>
      </c>
      <c r="Z21" s="13" t="n">
        <f aca="false">IFERROR(AVERAGEIF(N21:R21,"&lt;&gt;0"),"")</f>
        <v>60000</v>
      </c>
      <c r="AA21" s="13" t="n">
        <f aca="false">IFERROR(AVERAGEIF(S21:W21,"&lt;&gt;0"),"")</f>
        <v>60000</v>
      </c>
      <c r="AB21" s="13" t="n">
        <f aca="false">IFERROR(AVERAGEIF(D21:W21,"&lt;&gt;0"),"")</f>
        <v>60000</v>
      </c>
    </row>
    <row r="22" customFormat="false" ht="15" hidden="false" customHeight="false" outlineLevel="0" collapsed="false">
      <c r="A22" s="3" t="n">
        <v>18</v>
      </c>
      <c r="B22" s="3" t="s">
        <v>432</v>
      </c>
      <c r="C22" s="3" t="s">
        <v>471</v>
      </c>
      <c r="D22" s="32" t="n">
        <v>60000</v>
      </c>
      <c r="E22" s="32" t="n">
        <v>60000</v>
      </c>
      <c r="F22" s="32" t="n">
        <v>60000</v>
      </c>
      <c r="G22" s="32" t="n">
        <v>60000</v>
      </c>
      <c r="H22" s="32" t="n">
        <v>0</v>
      </c>
      <c r="I22" s="32" t="n">
        <v>0</v>
      </c>
      <c r="J22" s="32" t="n">
        <v>60000</v>
      </c>
      <c r="K22" s="32" t="n">
        <v>55000</v>
      </c>
      <c r="L22" s="32" t="n">
        <v>55000</v>
      </c>
      <c r="M22" s="32" t="n">
        <v>55000</v>
      </c>
      <c r="N22" s="32" t="n">
        <v>55000</v>
      </c>
      <c r="O22" s="32" t="n">
        <v>55000</v>
      </c>
      <c r="P22" s="32" t="n">
        <v>55000</v>
      </c>
      <c r="Q22" s="32" t="n">
        <v>55000</v>
      </c>
      <c r="R22" s="32" t="n">
        <v>55000</v>
      </c>
      <c r="S22" s="32" t="n">
        <v>55000</v>
      </c>
      <c r="T22" s="32" t="n">
        <v>55000</v>
      </c>
      <c r="U22" s="32" t="n">
        <v>55000</v>
      </c>
      <c r="V22" s="32" t="n">
        <v>55000</v>
      </c>
      <c r="W22" s="32" t="n">
        <v>0</v>
      </c>
      <c r="X22" s="13" t="n">
        <f aca="false">IFERROR(AVERAGEIF(D22:H22,"&lt;&gt;0"),"")</f>
        <v>60000</v>
      </c>
      <c r="Y22" s="13" t="n">
        <f aca="false">IFERROR(AVERAGEIF(I22:M22,"&lt;&gt;0"),"")</f>
        <v>56250</v>
      </c>
      <c r="Z22" s="13" t="n">
        <f aca="false">IFERROR(AVERAGEIF(N22:R22,"&lt;&gt;0"),"")</f>
        <v>55000</v>
      </c>
      <c r="AA22" s="13" t="n">
        <f aca="false">IFERROR(AVERAGEIF(S22:W22,"&lt;&gt;0"),"")</f>
        <v>55000</v>
      </c>
      <c r="AB22" s="13" t="n">
        <f aca="false">IFERROR(AVERAGEIF(D22:W22,"&lt;&gt;0"),"")</f>
        <v>56470.5882352941</v>
      </c>
    </row>
    <row r="23" customFormat="false" ht="15" hidden="false" customHeight="false" outlineLevel="0" collapsed="false">
      <c r="A23" s="3" t="n">
        <v>19</v>
      </c>
      <c r="B23" s="3" t="s">
        <v>473</v>
      </c>
      <c r="C23" s="3" t="s">
        <v>471</v>
      </c>
      <c r="D23" s="32" t="n">
        <v>30000</v>
      </c>
      <c r="E23" s="32" t="n">
        <v>30000</v>
      </c>
      <c r="F23" s="32" t="n">
        <v>30000</v>
      </c>
      <c r="G23" s="32" t="n">
        <v>30000</v>
      </c>
      <c r="H23" s="32" t="n">
        <v>0</v>
      </c>
      <c r="I23" s="32" t="n">
        <v>0</v>
      </c>
      <c r="J23" s="32" t="n">
        <v>30000</v>
      </c>
      <c r="K23" s="32" t="n">
        <v>30000</v>
      </c>
      <c r="L23" s="32" t="n">
        <v>30000</v>
      </c>
      <c r="M23" s="32" t="n">
        <v>30000</v>
      </c>
      <c r="N23" s="32" t="n">
        <v>30000</v>
      </c>
      <c r="O23" s="32" t="n">
        <v>30000</v>
      </c>
      <c r="P23" s="32" t="n">
        <v>30000</v>
      </c>
      <c r="Q23" s="32" t="n">
        <v>30000</v>
      </c>
      <c r="R23" s="32" t="n">
        <v>30000</v>
      </c>
      <c r="S23" s="32" t="n">
        <v>30000</v>
      </c>
      <c r="T23" s="32" t="n">
        <v>30000</v>
      </c>
      <c r="U23" s="32" t="n">
        <v>30000</v>
      </c>
      <c r="V23" s="32" t="n">
        <v>30000</v>
      </c>
      <c r="W23" s="32" t="n">
        <v>0</v>
      </c>
      <c r="X23" s="13" t="n">
        <f aca="false">IFERROR(AVERAGEIF(D23:H23,"&lt;&gt;0"),"")</f>
        <v>30000</v>
      </c>
      <c r="Y23" s="13" t="n">
        <f aca="false">IFERROR(AVERAGEIF(I23:M23,"&lt;&gt;0"),"")</f>
        <v>30000</v>
      </c>
      <c r="Z23" s="13" t="n">
        <f aca="false">IFERROR(AVERAGEIF(N23:R23,"&lt;&gt;0"),"")</f>
        <v>30000</v>
      </c>
      <c r="AA23" s="13" t="n">
        <f aca="false">IFERROR(AVERAGEIF(S23:W23,"&lt;&gt;0"),"")</f>
        <v>30000</v>
      </c>
      <c r="AB23" s="13" t="n">
        <f aca="false">IFERROR(AVERAGEIF(D23:W23,"&lt;&gt;0"),"")</f>
        <v>30000</v>
      </c>
    </row>
    <row r="24" customFormat="false" ht="15" hidden="false" customHeight="false" outlineLevel="0" collapsed="false">
      <c r="A24" s="3" t="n">
        <v>20</v>
      </c>
      <c r="B24" s="3" t="s">
        <v>421</v>
      </c>
      <c r="C24" s="3" t="s">
        <v>471</v>
      </c>
      <c r="D24" s="32" t="n">
        <v>30000</v>
      </c>
      <c r="E24" s="32" t="n">
        <v>30000</v>
      </c>
      <c r="F24" s="32" t="n">
        <v>30000</v>
      </c>
      <c r="G24" s="32" t="n">
        <v>30000</v>
      </c>
      <c r="H24" s="32" t="n">
        <v>0</v>
      </c>
      <c r="I24" s="32" t="n">
        <v>0</v>
      </c>
      <c r="J24" s="32" t="n">
        <v>30000</v>
      </c>
      <c r="K24" s="32" t="n">
        <v>28000</v>
      </c>
      <c r="L24" s="32" t="n">
        <v>28000</v>
      </c>
      <c r="M24" s="32" t="n">
        <v>28000</v>
      </c>
      <c r="N24" s="32" t="n">
        <v>28000</v>
      </c>
      <c r="O24" s="32" t="n">
        <v>28000</v>
      </c>
      <c r="P24" s="32" t="n">
        <v>28000</v>
      </c>
      <c r="Q24" s="32" t="n">
        <v>28000</v>
      </c>
      <c r="R24" s="32" t="n">
        <v>28000</v>
      </c>
      <c r="S24" s="32" t="n">
        <v>28000</v>
      </c>
      <c r="T24" s="32" t="n">
        <v>28000</v>
      </c>
      <c r="U24" s="32" t="n">
        <v>28000</v>
      </c>
      <c r="V24" s="32" t="n">
        <v>28000</v>
      </c>
      <c r="W24" s="32" t="n">
        <v>0</v>
      </c>
      <c r="X24" s="13" t="n">
        <f aca="false">IFERROR(AVERAGEIF(D24:H24,"&lt;&gt;0"),"")</f>
        <v>30000</v>
      </c>
      <c r="Y24" s="13" t="n">
        <f aca="false">IFERROR(AVERAGEIF(I24:M24,"&lt;&gt;0"),"")</f>
        <v>28500</v>
      </c>
      <c r="Z24" s="13" t="n">
        <f aca="false">IFERROR(AVERAGEIF(N24:R24,"&lt;&gt;0"),"")</f>
        <v>28000</v>
      </c>
      <c r="AA24" s="13" t="n">
        <f aca="false">IFERROR(AVERAGEIF(S24:W24,"&lt;&gt;0"),"")</f>
        <v>28000</v>
      </c>
      <c r="AB24" s="13" t="n">
        <f aca="false">IFERROR(AVERAGEIF(D24:W24,"&lt;&gt;0"),"")</f>
        <v>28588.2352941176</v>
      </c>
    </row>
    <row r="25" customFormat="false" ht="15" hidden="false" customHeight="false" outlineLevel="0" collapsed="false">
      <c r="A25" s="3" t="n">
        <v>21</v>
      </c>
      <c r="B25" s="3" t="s">
        <v>474</v>
      </c>
      <c r="C25" s="3" t="s">
        <v>471</v>
      </c>
      <c r="D25" s="32" t="n">
        <v>60000</v>
      </c>
      <c r="E25" s="32" t="n">
        <v>60000</v>
      </c>
      <c r="F25" s="32" t="n">
        <v>60000</v>
      </c>
      <c r="G25" s="32" t="n">
        <v>60000</v>
      </c>
      <c r="H25" s="32" t="n">
        <v>0</v>
      </c>
      <c r="I25" s="32" t="n">
        <v>0</v>
      </c>
      <c r="J25" s="32" t="n">
        <v>60000</v>
      </c>
      <c r="K25" s="32" t="n">
        <v>60000</v>
      </c>
      <c r="L25" s="32" t="n">
        <v>60000</v>
      </c>
      <c r="M25" s="32" t="n">
        <v>60000</v>
      </c>
      <c r="N25" s="32" t="n">
        <v>60000</v>
      </c>
      <c r="O25" s="32" t="n">
        <v>60000</v>
      </c>
      <c r="P25" s="32" t="n">
        <v>60000</v>
      </c>
      <c r="Q25" s="32" t="n">
        <v>60000</v>
      </c>
      <c r="R25" s="32" t="n">
        <v>60000</v>
      </c>
      <c r="S25" s="32" t="n">
        <v>60000</v>
      </c>
      <c r="T25" s="32" t="n">
        <v>60000</v>
      </c>
      <c r="U25" s="32" t="n">
        <v>60000</v>
      </c>
      <c r="V25" s="32" t="n">
        <v>60000</v>
      </c>
      <c r="W25" s="32" t="n">
        <v>0</v>
      </c>
      <c r="X25" s="13" t="n">
        <f aca="false">IFERROR(AVERAGEIF(D25:H25,"&lt;&gt;0"),"")</f>
        <v>60000</v>
      </c>
      <c r="Y25" s="13" t="n">
        <f aca="false">IFERROR(AVERAGEIF(I25:M25,"&lt;&gt;0"),"")</f>
        <v>60000</v>
      </c>
      <c r="Z25" s="13" t="n">
        <f aca="false">IFERROR(AVERAGEIF(N25:R25,"&lt;&gt;0"),"")</f>
        <v>60000</v>
      </c>
      <c r="AA25" s="13" t="n">
        <f aca="false">IFERROR(AVERAGEIF(S25:W25,"&lt;&gt;0"),"")</f>
        <v>60000</v>
      </c>
      <c r="AB25" s="13" t="n">
        <f aca="false">IFERROR(AVERAGEIF(D25:W25,"&lt;&gt;0"),"")</f>
        <v>60000</v>
      </c>
    </row>
    <row r="26" customFormat="false" ht="15" hidden="false" customHeight="false" outlineLevel="0" collapsed="false">
      <c r="A26" s="3" t="n">
        <v>22</v>
      </c>
      <c r="B26" s="3" t="s">
        <v>426</v>
      </c>
      <c r="C26" s="3" t="s">
        <v>471</v>
      </c>
      <c r="D26" s="32" t="n">
        <v>2800</v>
      </c>
      <c r="E26" s="32" t="n">
        <v>2800</v>
      </c>
      <c r="F26" s="32" t="n">
        <v>2800</v>
      </c>
      <c r="G26" s="32" t="n">
        <v>2800</v>
      </c>
      <c r="H26" s="32" t="n">
        <v>0</v>
      </c>
      <c r="I26" s="32" t="n">
        <v>0</v>
      </c>
      <c r="J26" s="32" t="n">
        <v>2800</v>
      </c>
      <c r="K26" s="32" t="n">
        <v>2800</v>
      </c>
      <c r="L26" s="32" t="n">
        <v>2800</v>
      </c>
      <c r="M26" s="32" t="n">
        <v>2800</v>
      </c>
      <c r="N26" s="32" t="n">
        <v>2800</v>
      </c>
      <c r="O26" s="32" t="n">
        <v>2800</v>
      </c>
      <c r="P26" s="32" t="n">
        <v>2800</v>
      </c>
      <c r="Q26" s="32" t="n">
        <v>2800</v>
      </c>
      <c r="R26" s="32" t="n">
        <v>2800</v>
      </c>
      <c r="S26" s="32" t="n">
        <v>2800</v>
      </c>
      <c r="T26" s="32" t="n">
        <v>2800</v>
      </c>
      <c r="U26" s="32" t="n">
        <v>2800</v>
      </c>
      <c r="V26" s="32" t="n">
        <v>2800</v>
      </c>
      <c r="W26" s="32" t="n">
        <v>0</v>
      </c>
      <c r="X26" s="13" t="n">
        <f aca="false">IFERROR(AVERAGEIF(D26:H26,"&lt;&gt;0"),"")</f>
        <v>2800</v>
      </c>
      <c r="Y26" s="13" t="n">
        <f aca="false">IFERROR(AVERAGEIF(I26:M26,"&lt;&gt;0"),"")</f>
        <v>2800</v>
      </c>
      <c r="Z26" s="13" t="n">
        <f aca="false">IFERROR(AVERAGEIF(N26:R26,"&lt;&gt;0"),"")</f>
        <v>2800</v>
      </c>
      <c r="AA26" s="13" t="n">
        <f aca="false">IFERROR(AVERAGEIF(S26:W26,"&lt;&gt;0"),"")</f>
        <v>2800</v>
      </c>
      <c r="AB26" s="13" t="n">
        <f aca="false">IFERROR(AVERAGEIF(D26:W26,"&lt;&gt;0"),"")</f>
        <v>2800</v>
      </c>
    </row>
    <row r="27" customFormat="false" ht="15" hidden="false" customHeight="false" outlineLevel="0" collapsed="false">
      <c r="A27" s="3" t="n">
        <v>23</v>
      </c>
      <c r="B27" s="3" t="s">
        <v>424</v>
      </c>
      <c r="C27" s="3" t="s">
        <v>471</v>
      </c>
      <c r="D27" s="32" t="n">
        <v>27000</v>
      </c>
      <c r="E27" s="32" t="n">
        <v>27000</v>
      </c>
      <c r="F27" s="32" t="n">
        <v>27000</v>
      </c>
      <c r="G27" s="32" t="n">
        <v>27000</v>
      </c>
      <c r="H27" s="32" t="n">
        <v>0</v>
      </c>
      <c r="I27" s="32" t="n">
        <v>0</v>
      </c>
      <c r="J27" s="32" t="n">
        <v>27000</v>
      </c>
      <c r="K27" s="32" t="n">
        <v>27000</v>
      </c>
      <c r="L27" s="32" t="n">
        <v>27000</v>
      </c>
      <c r="M27" s="32" t="n">
        <v>27000</v>
      </c>
      <c r="N27" s="32" t="n">
        <v>27000</v>
      </c>
      <c r="O27" s="32" t="n">
        <v>25000</v>
      </c>
      <c r="P27" s="32" t="n">
        <v>25000</v>
      </c>
      <c r="Q27" s="32" t="n">
        <v>25000</v>
      </c>
      <c r="R27" s="32" t="n">
        <v>25000</v>
      </c>
      <c r="S27" s="32" t="n">
        <v>25000</v>
      </c>
      <c r="T27" s="32" t="n">
        <v>25000</v>
      </c>
      <c r="U27" s="32" t="n">
        <v>25000</v>
      </c>
      <c r="V27" s="32" t="n">
        <v>25000</v>
      </c>
      <c r="W27" s="32" t="n">
        <v>0</v>
      </c>
      <c r="X27" s="13" t="n">
        <f aca="false">IFERROR(AVERAGEIF(D27:H27,"&lt;&gt;0"),"")</f>
        <v>27000</v>
      </c>
      <c r="Y27" s="13" t="n">
        <f aca="false">IFERROR(AVERAGEIF(I27:M27,"&lt;&gt;0"),"")</f>
        <v>27000</v>
      </c>
      <c r="Z27" s="13" t="n">
        <f aca="false">IFERROR(AVERAGEIF(N27:R27,"&lt;&gt;0"),"")</f>
        <v>25400</v>
      </c>
      <c r="AA27" s="13" t="n">
        <f aca="false">IFERROR(AVERAGEIF(S27:W27,"&lt;&gt;0"),"")</f>
        <v>25000</v>
      </c>
      <c r="AB27" s="13" t="n">
        <f aca="false">IFERROR(AVERAGEIF(D27:W27,"&lt;&gt;0"),"")</f>
        <v>26058.8235294118</v>
      </c>
    </row>
    <row r="28" customFormat="false" ht="15" hidden="false" customHeight="false" outlineLevel="0" collapsed="false">
      <c r="A28" s="3" t="n">
        <v>24</v>
      </c>
      <c r="B28" s="3" t="s">
        <v>425</v>
      </c>
      <c r="C28" s="3" t="s">
        <v>471</v>
      </c>
      <c r="D28" s="32" t="n">
        <v>33000</v>
      </c>
      <c r="E28" s="32" t="n">
        <v>33000</v>
      </c>
      <c r="F28" s="32" t="n">
        <v>33000</v>
      </c>
      <c r="G28" s="32" t="n">
        <v>33000</v>
      </c>
      <c r="H28" s="32" t="n">
        <v>0</v>
      </c>
      <c r="I28" s="32" t="n">
        <v>0</v>
      </c>
      <c r="J28" s="32" t="n">
        <v>33000</v>
      </c>
      <c r="K28" s="32" t="n">
        <v>33000</v>
      </c>
      <c r="L28" s="32" t="n">
        <v>33000</v>
      </c>
      <c r="M28" s="32" t="n">
        <v>33000</v>
      </c>
      <c r="N28" s="32" t="n">
        <v>33000</v>
      </c>
      <c r="O28" s="32" t="n">
        <v>30000</v>
      </c>
      <c r="P28" s="32" t="n">
        <v>30000</v>
      </c>
      <c r="Q28" s="32" t="n">
        <v>30000</v>
      </c>
      <c r="R28" s="32" t="n">
        <v>30000</v>
      </c>
      <c r="S28" s="32" t="n">
        <v>30000</v>
      </c>
      <c r="T28" s="32" t="n">
        <v>30000</v>
      </c>
      <c r="U28" s="32" t="n">
        <v>30000</v>
      </c>
      <c r="V28" s="32" t="n">
        <v>30000</v>
      </c>
      <c r="W28" s="32" t="n">
        <v>0</v>
      </c>
      <c r="X28" s="13" t="n">
        <f aca="false">IFERROR(AVERAGEIF(D28:H28,"&lt;&gt;0"),"")</f>
        <v>33000</v>
      </c>
      <c r="Y28" s="13" t="n">
        <f aca="false">IFERROR(AVERAGEIF(I28:M28,"&lt;&gt;0"),"")</f>
        <v>33000</v>
      </c>
      <c r="Z28" s="13" t="n">
        <f aca="false">IFERROR(AVERAGEIF(N28:R28,"&lt;&gt;0"),"")</f>
        <v>30600</v>
      </c>
      <c r="AA28" s="13" t="n">
        <f aca="false">IFERROR(AVERAGEIF(S28:W28,"&lt;&gt;0"),"")</f>
        <v>30000</v>
      </c>
      <c r="AB28" s="13" t="n">
        <f aca="false">IFERROR(AVERAGEIF(D28:W28,"&lt;&gt;0"),"")</f>
        <v>31588.2352941176</v>
      </c>
    </row>
    <row r="29" customFormat="false" ht="15" hidden="false" customHeight="false" outlineLevel="0" collapsed="false">
      <c r="A29" s="3" t="n">
        <v>25</v>
      </c>
      <c r="B29" s="3" t="s">
        <v>475</v>
      </c>
      <c r="C29" s="3" t="s">
        <v>471</v>
      </c>
      <c r="D29" s="32" t="n">
        <v>27000</v>
      </c>
      <c r="E29" s="32" t="n">
        <v>27000</v>
      </c>
      <c r="F29" s="32" t="n">
        <v>27000</v>
      </c>
      <c r="G29" s="32" t="n">
        <v>27000</v>
      </c>
      <c r="H29" s="32" t="n">
        <v>0</v>
      </c>
      <c r="I29" s="32" t="n">
        <v>0</v>
      </c>
      <c r="J29" s="32" t="n">
        <v>27000</v>
      </c>
      <c r="K29" s="32" t="n">
        <v>26000</v>
      </c>
      <c r="L29" s="32" t="n">
        <v>26000</v>
      </c>
      <c r="M29" s="32" t="n">
        <v>25000</v>
      </c>
      <c r="N29" s="32" t="n">
        <v>25000</v>
      </c>
      <c r="O29" s="32" t="n">
        <v>25000</v>
      </c>
      <c r="P29" s="32" t="n">
        <v>25000</v>
      </c>
      <c r="Q29" s="32" t="n">
        <v>25000</v>
      </c>
      <c r="R29" s="32" t="n">
        <v>25000</v>
      </c>
      <c r="S29" s="32" t="n">
        <v>25000</v>
      </c>
      <c r="T29" s="32" t="n">
        <v>25000</v>
      </c>
      <c r="U29" s="32" t="n">
        <v>25000</v>
      </c>
      <c r="V29" s="32" t="n">
        <v>25000</v>
      </c>
      <c r="W29" s="32" t="n">
        <v>0</v>
      </c>
      <c r="X29" s="13" t="n">
        <f aca="false">IFERROR(AVERAGEIF(D29:H29,"&lt;&gt;0"),"")</f>
        <v>27000</v>
      </c>
      <c r="Y29" s="13" t="n">
        <f aca="false">IFERROR(AVERAGEIF(I29:M29,"&lt;&gt;0"),"")</f>
        <v>26000</v>
      </c>
      <c r="Z29" s="13" t="n">
        <f aca="false">IFERROR(AVERAGEIF(N29:R29,"&lt;&gt;0"),"")</f>
        <v>25000</v>
      </c>
      <c r="AA29" s="13" t="n">
        <f aca="false">IFERROR(AVERAGEIF(S29:W29,"&lt;&gt;0"),"")</f>
        <v>25000</v>
      </c>
      <c r="AB29" s="13" t="n">
        <f aca="false">IFERROR(AVERAGEIF(D29:W29,"&lt;&gt;0"),"")</f>
        <v>25705.8823529412</v>
      </c>
    </row>
    <row r="30" customFormat="false" ht="15" hidden="false" customHeight="false" outlineLevel="0" collapsed="false">
      <c r="A30" s="3" t="n">
        <v>26</v>
      </c>
      <c r="B30" s="3" t="s">
        <v>476</v>
      </c>
      <c r="C30" s="3" t="s">
        <v>471</v>
      </c>
      <c r="D30" s="32" t="n">
        <v>8000</v>
      </c>
      <c r="E30" s="32" t="n">
        <v>8000</v>
      </c>
      <c r="F30" s="32" t="n">
        <v>8000</v>
      </c>
      <c r="G30" s="32" t="n">
        <v>8000</v>
      </c>
      <c r="H30" s="32" t="n">
        <v>0</v>
      </c>
      <c r="I30" s="32" t="n">
        <v>0</v>
      </c>
      <c r="J30" s="32" t="n">
        <v>8000</v>
      </c>
      <c r="K30" s="32" t="n">
        <v>8000</v>
      </c>
      <c r="L30" s="32" t="n">
        <v>8000</v>
      </c>
      <c r="M30" s="32" t="n">
        <v>8000</v>
      </c>
      <c r="N30" s="32" t="n">
        <v>8000</v>
      </c>
      <c r="O30" s="32" t="n">
        <v>8000</v>
      </c>
      <c r="P30" s="32" t="n">
        <v>8000</v>
      </c>
      <c r="Q30" s="32" t="n">
        <v>8000</v>
      </c>
      <c r="R30" s="32" t="n">
        <v>8000</v>
      </c>
      <c r="S30" s="32" t="n">
        <v>8000</v>
      </c>
      <c r="T30" s="32" t="n">
        <v>8000</v>
      </c>
      <c r="U30" s="32" t="n">
        <v>8000</v>
      </c>
      <c r="V30" s="32" t="n">
        <v>8000</v>
      </c>
      <c r="W30" s="32" t="n">
        <v>0</v>
      </c>
      <c r="X30" s="13" t="n">
        <f aca="false">IFERROR(AVERAGEIF(D30:H30,"&lt;&gt;0"),"")</f>
        <v>8000</v>
      </c>
      <c r="Y30" s="13" t="n">
        <f aca="false">IFERROR(AVERAGEIF(I30:M30,"&lt;&gt;0"),"")</f>
        <v>8000</v>
      </c>
      <c r="Z30" s="13" t="n">
        <f aca="false">IFERROR(AVERAGEIF(N30:R30,"&lt;&gt;0"),"")</f>
        <v>8000</v>
      </c>
      <c r="AA30" s="13" t="n">
        <f aca="false">IFERROR(AVERAGEIF(S30:W30,"&lt;&gt;0"),"")</f>
        <v>8000</v>
      </c>
      <c r="AB30" s="13" t="n">
        <f aca="false">IFERROR(AVERAGEIF(D30:W30,"&lt;&gt;0"),"")</f>
        <v>8000</v>
      </c>
    </row>
    <row r="31" customFormat="false" ht="15" hidden="false" customHeight="false" outlineLevel="0" collapsed="false">
      <c r="A31" s="3" t="n">
        <v>27</v>
      </c>
      <c r="B31" s="3" t="s">
        <v>427</v>
      </c>
      <c r="C31" s="3" t="s">
        <v>471</v>
      </c>
      <c r="D31" s="32" t="n">
        <v>10500</v>
      </c>
      <c r="E31" s="32" t="n">
        <v>10500</v>
      </c>
      <c r="F31" s="32" t="n">
        <v>10500</v>
      </c>
      <c r="G31" s="32" t="n">
        <v>10500</v>
      </c>
      <c r="H31" s="32" t="n">
        <v>0</v>
      </c>
      <c r="I31" s="32" t="n">
        <v>0</v>
      </c>
      <c r="J31" s="32" t="n">
        <v>10500</v>
      </c>
      <c r="K31" s="32" t="n">
        <v>10500</v>
      </c>
      <c r="L31" s="32" t="n">
        <v>10500</v>
      </c>
      <c r="M31" s="32" t="n">
        <v>10500</v>
      </c>
      <c r="N31" s="32" t="n">
        <v>10500</v>
      </c>
      <c r="O31" s="32" t="n">
        <v>10500</v>
      </c>
      <c r="P31" s="32" t="n">
        <v>10500</v>
      </c>
      <c r="Q31" s="32" t="n">
        <v>10500</v>
      </c>
      <c r="R31" s="32" t="n">
        <v>10500</v>
      </c>
      <c r="S31" s="32" t="n">
        <v>10500</v>
      </c>
      <c r="T31" s="32" t="n">
        <v>10500</v>
      </c>
      <c r="U31" s="32" t="n">
        <v>10500</v>
      </c>
      <c r="V31" s="32" t="n">
        <v>10500</v>
      </c>
      <c r="W31" s="32" t="n">
        <v>0</v>
      </c>
      <c r="X31" s="13" t="n">
        <f aca="false">IFERROR(AVERAGEIF(D31:H31,"&lt;&gt;0"),"")</f>
        <v>10500</v>
      </c>
      <c r="Y31" s="13" t="n">
        <f aca="false">IFERROR(AVERAGEIF(I31:M31,"&lt;&gt;0"),"")</f>
        <v>10500</v>
      </c>
      <c r="Z31" s="13" t="n">
        <f aca="false">IFERROR(AVERAGEIF(N31:R31,"&lt;&gt;0"),"")</f>
        <v>10500</v>
      </c>
      <c r="AA31" s="13" t="n">
        <f aca="false">IFERROR(AVERAGEIF(S31:W31,"&lt;&gt;0"),"")</f>
        <v>10500</v>
      </c>
      <c r="AB31" s="13" t="n">
        <f aca="false">IFERROR(AVERAGEIF(D31:W31,"&lt;&gt;0"),"")</f>
        <v>10500</v>
      </c>
    </row>
    <row r="32" customFormat="false" ht="15" hidden="false" customHeight="false" outlineLevel="0" collapsed="false">
      <c r="A32" s="3" t="n">
        <v>28</v>
      </c>
      <c r="B32" s="3" t="s">
        <v>422</v>
      </c>
      <c r="C32" s="3" t="s">
        <v>471</v>
      </c>
      <c r="D32" s="32" t="n">
        <v>42000</v>
      </c>
      <c r="E32" s="32" t="n">
        <v>42000</v>
      </c>
      <c r="F32" s="32" t="n">
        <v>42000</v>
      </c>
      <c r="G32" s="32" t="n">
        <v>42000</v>
      </c>
      <c r="H32" s="32" t="n">
        <v>0</v>
      </c>
      <c r="I32" s="32" t="n">
        <v>0</v>
      </c>
      <c r="J32" s="32" t="n">
        <v>42000</v>
      </c>
      <c r="K32" s="32" t="n">
        <v>42000</v>
      </c>
      <c r="L32" s="32" t="n">
        <v>42000</v>
      </c>
      <c r="M32" s="32" t="n">
        <v>42000</v>
      </c>
      <c r="N32" s="32" t="n">
        <v>42000</v>
      </c>
      <c r="O32" s="32" t="n">
        <v>42000</v>
      </c>
      <c r="P32" s="32" t="n">
        <v>42000</v>
      </c>
      <c r="Q32" s="32" t="n">
        <v>42000</v>
      </c>
      <c r="R32" s="32" t="n">
        <v>42000</v>
      </c>
      <c r="S32" s="32" t="n">
        <v>42000</v>
      </c>
      <c r="T32" s="32" t="n">
        <v>42000</v>
      </c>
      <c r="U32" s="32" t="n">
        <v>42000</v>
      </c>
      <c r="V32" s="32" t="n">
        <v>42000</v>
      </c>
      <c r="W32" s="32" t="n">
        <v>0</v>
      </c>
      <c r="X32" s="13" t="n">
        <f aca="false">IFERROR(AVERAGEIF(D32:H32,"&lt;&gt;0"),"")</f>
        <v>42000</v>
      </c>
      <c r="Y32" s="13" t="n">
        <f aca="false">IFERROR(AVERAGEIF(I32:M32,"&lt;&gt;0"),"")</f>
        <v>42000</v>
      </c>
      <c r="Z32" s="13" t="n">
        <f aca="false">IFERROR(AVERAGEIF(N32:R32,"&lt;&gt;0"),"")</f>
        <v>42000</v>
      </c>
      <c r="AA32" s="13" t="n">
        <f aca="false">IFERROR(AVERAGEIF(S32:W32,"&lt;&gt;0"),"")</f>
        <v>42000</v>
      </c>
      <c r="AB32" s="13" t="n">
        <f aca="false">IFERROR(AVERAGEIF(D32:W32,"&lt;&gt;0"),"")</f>
        <v>42000</v>
      </c>
    </row>
    <row r="33" customFormat="false" ht="15" hidden="false" customHeight="false" outlineLevel="0" collapsed="false">
      <c r="A33" s="3" t="n">
        <v>29</v>
      </c>
      <c r="B33" s="3" t="s">
        <v>433</v>
      </c>
      <c r="C33" s="3" t="s">
        <v>471</v>
      </c>
      <c r="D33" s="32" t="n">
        <v>9000</v>
      </c>
      <c r="E33" s="32" t="n">
        <v>9000</v>
      </c>
      <c r="F33" s="32" t="n">
        <v>9000</v>
      </c>
      <c r="G33" s="32" t="n">
        <v>9000</v>
      </c>
      <c r="H33" s="32" t="n">
        <v>0</v>
      </c>
      <c r="I33" s="32" t="n">
        <v>0</v>
      </c>
      <c r="J33" s="32" t="n">
        <v>9000</v>
      </c>
      <c r="K33" s="32" t="n">
        <v>8000</v>
      </c>
      <c r="L33" s="32" t="n">
        <v>8000</v>
      </c>
      <c r="M33" s="32" t="n">
        <v>8000</v>
      </c>
      <c r="N33" s="32" t="n">
        <v>8000</v>
      </c>
      <c r="O33" s="32" t="n">
        <v>8000</v>
      </c>
      <c r="P33" s="32" t="n">
        <v>8000</v>
      </c>
      <c r="Q33" s="32" t="n">
        <v>8000</v>
      </c>
      <c r="R33" s="32" t="n">
        <v>8000</v>
      </c>
      <c r="S33" s="32" t="n">
        <v>8000</v>
      </c>
      <c r="T33" s="32" t="n">
        <v>8000</v>
      </c>
      <c r="U33" s="32" t="n">
        <v>8000</v>
      </c>
      <c r="V33" s="32" t="n">
        <v>8000</v>
      </c>
      <c r="W33" s="32" t="n">
        <v>0</v>
      </c>
      <c r="X33" s="13" t="n">
        <f aca="false">IFERROR(AVERAGEIF(D33:H33,"&lt;&gt;0"),"")</f>
        <v>9000</v>
      </c>
      <c r="Y33" s="13" t="n">
        <f aca="false">IFERROR(AVERAGEIF(I33:M33,"&lt;&gt;0"),"")</f>
        <v>8250</v>
      </c>
      <c r="Z33" s="13" t="n">
        <f aca="false">IFERROR(AVERAGEIF(N33:R33,"&lt;&gt;0"),"")</f>
        <v>8000</v>
      </c>
      <c r="AA33" s="13" t="n">
        <f aca="false">IFERROR(AVERAGEIF(S33:W33,"&lt;&gt;0"),"")</f>
        <v>8000</v>
      </c>
      <c r="AB33" s="13" t="n">
        <f aca="false">IFERROR(AVERAGEIF(D33:W33,"&lt;&gt;0"),"")</f>
        <v>8294.11764705882</v>
      </c>
    </row>
    <row r="34" customFormat="false" ht="15" hidden="false" customHeight="false" outlineLevel="0" collapsed="false">
      <c r="A34" s="3" t="n">
        <v>30</v>
      </c>
      <c r="B34" s="3" t="s">
        <v>411</v>
      </c>
      <c r="C34" s="3" t="s">
        <v>471</v>
      </c>
      <c r="D34" s="32" t="n">
        <v>4750</v>
      </c>
      <c r="E34" s="32" t="n">
        <v>4750</v>
      </c>
      <c r="F34" s="32" t="n">
        <v>4750</v>
      </c>
      <c r="G34" s="32" t="n">
        <v>4750</v>
      </c>
      <c r="H34" s="32" t="n">
        <v>0</v>
      </c>
      <c r="I34" s="32" t="n">
        <v>0</v>
      </c>
      <c r="J34" s="32" t="n">
        <v>4750</v>
      </c>
      <c r="K34" s="32" t="n">
        <v>4750</v>
      </c>
      <c r="L34" s="32" t="n">
        <v>4750</v>
      </c>
      <c r="M34" s="32" t="n">
        <v>4750</v>
      </c>
      <c r="N34" s="32" t="n">
        <v>4750</v>
      </c>
      <c r="O34" s="32" t="n">
        <v>4750</v>
      </c>
      <c r="P34" s="32" t="n">
        <v>4750</v>
      </c>
      <c r="Q34" s="32" t="n">
        <v>4750</v>
      </c>
      <c r="R34" s="32" t="n">
        <v>4750</v>
      </c>
      <c r="S34" s="32" t="n">
        <v>4750</v>
      </c>
      <c r="T34" s="32" t="n">
        <v>4750</v>
      </c>
      <c r="U34" s="32" t="n">
        <v>4750</v>
      </c>
      <c r="V34" s="32" t="n">
        <v>4750</v>
      </c>
      <c r="W34" s="32" t="n">
        <v>0</v>
      </c>
      <c r="X34" s="13" t="n">
        <f aca="false">IFERROR(AVERAGEIF(D34:H34,"&lt;&gt;0"),"")</f>
        <v>4750</v>
      </c>
      <c r="Y34" s="13" t="n">
        <f aca="false">IFERROR(AVERAGEIF(I34:M34,"&lt;&gt;0"),"")</f>
        <v>4750</v>
      </c>
      <c r="Z34" s="13" t="n">
        <f aca="false">IFERROR(AVERAGEIF(N34:R34,"&lt;&gt;0"),"")</f>
        <v>4750</v>
      </c>
      <c r="AA34" s="13" t="n">
        <f aca="false">IFERROR(AVERAGEIF(S34:W34,"&lt;&gt;0"),"")</f>
        <v>4750</v>
      </c>
      <c r="AB34" s="13" t="n">
        <f aca="false">IFERROR(AVERAGEIF(D34:W34,"&lt;&gt;0"),"")</f>
        <v>4750</v>
      </c>
    </row>
    <row r="35" customFormat="false" ht="15" hidden="false" customHeight="false" outlineLevel="0" collapsed="false">
      <c r="A35" s="3" t="n">
        <v>31</v>
      </c>
      <c r="B35" s="3" t="s">
        <v>416</v>
      </c>
      <c r="C35" s="3" t="s">
        <v>471</v>
      </c>
      <c r="D35" s="32" t="n">
        <v>60000</v>
      </c>
      <c r="E35" s="32" t="n">
        <v>60000</v>
      </c>
      <c r="F35" s="32" t="n">
        <v>60000</v>
      </c>
      <c r="G35" s="32" t="n">
        <v>60000</v>
      </c>
      <c r="H35" s="32" t="n">
        <v>0</v>
      </c>
      <c r="I35" s="32" t="n">
        <v>0</v>
      </c>
      <c r="J35" s="32" t="n">
        <v>60000</v>
      </c>
      <c r="K35" s="32" t="n">
        <v>58000</v>
      </c>
      <c r="L35" s="32" t="n">
        <v>58000</v>
      </c>
      <c r="M35" s="32" t="n">
        <v>58000</v>
      </c>
      <c r="N35" s="32" t="n">
        <v>58000</v>
      </c>
      <c r="O35" s="32" t="n">
        <v>58000</v>
      </c>
      <c r="P35" s="32" t="n">
        <v>58000</v>
      </c>
      <c r="Q35" s="32" t="n">
        <v>58000</v>
      </c>
      <c r="R35" s="32" t="n">
        <v>58000</v>
      </c>
      <c r="S35" s="32" t="n">
        <v>58000</v>
      </c>
      <c r="T35" s="32" t="n">
        <v>58000</v>
      </c>
      <c r="U35" s="32" t="n">
        <v>58000</v>
      </c>
      <c r="V35" s="32" t="n">
        <v>58000</v>
      </c>
      <c r="W35" s="32" t="n">
        <v>0</v>
      </c>
      <c r="X35" s="13" t="n">
        <f aca="false">IFERROR(AVERAGEIF(D35:H35,"&lt;&gt;0"),"")</f>
        <v>60000</v>
      </c>
      <c r="Y35" s="13" t="n">
        <f aca="false">IFERROR(AVERAGEIF(I35:M35,"&lt;&gt;0"),"")</f>
        <v>58500</v>
      </c>
      <c r="Z35" s="13" t="n">
        <f aca="false">IFERROR(AVERAGEIF(N35:R35,"&lt;&gt;0"),"")</f>
        <v>58000</v>
      </c>
      <c r="AA35" s="13" t="n">
        <f aca="false">IFERROR(AVERAGEIF(S35:W35,"&lt;&gt;0"),"")</f>
        <v>58000</v>
      </c>
      <c r="AB35" s="13" t="n">
        <f aca="false">IFERROR(AVERAGEIF(D35:W35,"&lt;&gt;0"),"")</f>
        <v>58588.2352941177</v>
      </c>
    </row>
    <row r="36" customFormat="false" ht="15" hidden="false" customHeight="false" outlineLevel="0" collapsed="false">
      <c r="A36" s="3" t="n">
        <v>32</v>
      </c>
      <c r="B36" s="3" t="s">
        <v>417</v>
      </c>
      <c r="C36" s="3" t="s">
        <v>471</v>
      </c>
      <c r="D36" s="32" t="n">
        <v>12000</v>
      </c>
      <c r="E36" s="32" t="n">
        <v>12000</v>
      </c>
      <c r="F36" s="32" t="n">
        <v>12000</v>
      </c>
      <c r="G36" s="32" t="n">
        <v>12000</v>
      </c>
      <c r="H36" s="32" t="n">
        <v>0</v>
      </c>
      <c r="I36" s="32" t="n">
        <v>0</v>
      </c>
      <c r="J36" s="32" t="n">
        <v>12000</v>
      </c>
      <c r="K36" s="32" t="n">
        <v>12000</v>
      </c>
      <c r="L36" s="32" t="n">
        <v>12000</v>
      </c>
      <c r="M36" s="32" t="n">
        <v>12000</v>
      </c>
      <c r="N36" s="32" t="n">
        <v>12000</v>
      </c>
      <c r="O36" s="32" t="n">
        <v>12000</v>
      </c>
      <c r="P36" s="32" t="n">
        <v>12000</v>
      </c>
      <c r="Q36" s="32" t="n">
        <v>12000</v>
      </c>
      <c r="R36" s="32" t="n">
        <v>12000</v>
      </c>
      <c r="S36" s="32" t="n">
        <v>12000</v>
      </c>
      <c r="T36" s="32" t="n">
        <v>12000</v>
      </c>
      <c r="U36" s="32" t="n">
        <v>12000</v>
      </c>
      <c r="V36" s="32" t="n">
        <v>12000</v>
      </c>
      <c r="W36" s="32" t="n">
        <v>0</v>
      </c>
      <c r="X36" s="13" t="n">
        <f aca="false">IFERROR(AVERAGEIF(D36:H36,"&lt;&gt;0"),"")</f>
        <v>12000</v>
      </c>
      <c r="Y36" s="13" t="n">
        <f aca="false">IFERROR(AVERAGEIF(I36:M36,"&lt;&gt;0"),"")</f>
        <v>12000</v>
      </c>
      <c r="Z36" s="13" t="n">
        <f aca="false">IFERROR(AVERAGEIF(N36:R36,"&lt;&gt;0"),"")</f>
        <v>12000</v>
      </c>
      <c r="AA36" s="13" t="n">
        <f aca="false">IFERROR(AVERAGEIF(S36:W36,"&lt;&gt;0"),"")</f>
        <v>12000</v>
      </c>
      <c r="AB36" s="13" t="n">
        <f aca="false">IFERROR(AVERAGEIF(D36:W36,"&lt;&gt;0"),"")</f>
        <v>12000</v>
      </c>
    </row>
    <row r="37" customFormat="false" ht="15" hidden="false" customHeight="false" outlineLevel="0" collapsed="false">
      <c r="A37" s="3" t="n">
        <v>33</v>
      </c>
      <c r="B37" s="3" t="s">
        <v>434</v>
      </c>
      <c r="C37" s="3" t="s">
        <v>471</v>
      </c>
      <c r="D37" s="32" t="n">
        <v>9000</v>
      </c>
      <c r="E37" s="32" t="n">
        <v>9000</v>
      </c>
      <c r="F37" s="32" t="n">
        <v>9000</v>
      </c>
      <c r="G37" s="32" t="n">
        <v>9000</v>
      </c>
      <c r="H37" s="32" t="n">
        <v>0</v>
      </c>
      <c r="I37" s="32" t="n">
        <v>0</v>
      </c>
      <c r="J37" s="32" t="n">
        <v>9000</v>
      </c>
      <c r="K37" s="32" t="n">
        <v>9000</v>
      </c>
      <c r="L37" s="32" t="n">
        <v>9000</v>
      </c>
      <c r="M37" s="32" t="n">
        <v>9000</v>
      </c>
      <c r="N37" s="32" t="n">
        <v>9000</v>
      </c>
      <c r="O37" s="32" t="n">
        <v>9000</v>
      </c>
      <c r="P37" s="32" t="n">
        <v>9000</v>
      </c>
      <c r="Q37" s="32" t="n">
        <v>9000</v>
      </c>
      <c r="R37" s="32" t="n">
        <v>9000</v>
      </c>
      <c r="S37" s="32" t="n">
        <v>9000</v>
      </c>
      <c r="T37" s="32" t="n">
        <v>9000</v>
      </c>
      <c r="U37" s="32" t="n">
        <v>9000</v>
      </c>
      <c r="V37" s="32" t="n">
        <v>9000</v>
      </c>
      <c r="W37" s="32" t="n">
        <v>0</v>
      </c>
      <c r="X37" s="13" t="n">
        <f aca="false">IFERROR(AVERAGEIF(D37:H37,"&lt;&gt;0"),"")</f>
        <v>9000</v>
      </c>
      <c r="Y37" s="13" t="n">
        <f aca="false">IFERROR(AVERAGEIF(I37:M37,"&lt;&gt;0"),"")</f>
        <v>9000</v>
      </c>
      <c r="Z37" s="13" t="n">
        <f aca="false">IFERROR(AVERAGEIF(N37:R37,"&lt;&gt;0"),"")</f>
        <v>9000</v>
      </c>
      <c r="AA37" s="13" t="n">
        <f aca="false">IFERROR(AVERAGEIF(S37:W37,"&lt;&gt;0"),"")</f>
        <v>9000</v>
      </c>
      <c r="AB37" s="13" t="n">
        <f aca="false">IFERROR(AVERAGEIF(D37:W37,"&lt;&gt;0"),"")</f>
        <v>9000</v>
      </c>
    </row>
    <row r="38" customFormat="false" ht="15" hidden="false" customHeight="false" outlineLevel="0" collapsed="false">
      <c r="A38" s="3" t="n">
        <v>34</v>
      </c>
      <c r="B38" s="3" t="s">
        <v>477</v>
      </c>
      <c r="C38" s="3" t="s">
        <v>471</v>
      </c>
      <c r="D38" s="32" t="n">
        <v>6000</v>
      </c>
      <c r="E38" s="32" t="n">
        <v>6000</v>
      </c>
      <c r="F38" s="32" t="n">
        <v>6000</v>
      </c>
      <c r="G38" s="32" t="n">
        <v>6000</v>
      </c>
      <c r="H38" s="32" t="n">
        <v>0</v>
      </c>
      <c r="I38" s="32" t="n">
        <v>0</v>
      </c>
      <c r="J38" s="32" t="n">
        <v>6000</v>
      </c>
      <c r="K38" s="32" t="n">
        <v>5500</v>
      </c>
      <c r="L38" s="32" t="n">
        <v>5500</v>
      </c>
      <c r="M38" s="32" t="n">
        <v>5500</v>
      </c>
      <c r="N38" s="32" t="n">
        <v>5500</v>
      </c>
      <c r="O38" s="32" t="n">
        <v>5500</v>
      </c>
      <c r="P38" s="32" t="n">
        <v>5500</v>
      </c>
      <c r="Q38" s="32" t="n">
        <v>5500</v>
      </c>
      <c r="R38" s="32" t="n">
        <v>5500</v>
      </c>
      <c r="S38" s="32" t="n">
        <v>5500</v>
      </c>
      <c r="T38" s="32" t="n">
        <v>5500</v>
      </c>
      <c r="U38" s="32" t="n">
        <v>5500</v>
      </c>
      <c r="V38" s="32" t="n">
        <v>5500</v>
      </c>
      <c r="W38" s="32" t="n">
        <v>0</v>
      </c>
      <c r="X38" s="13" t="n">
        <f aca="false">IFERROR(AVERAGEIF(D38:H38,"&lt;&gt;0"),"")</f>
        <v>6000</v>
      </c>
      <c r="Y38" s="13" t="n">
        <f aca="false">IFERROR(AVERAGEIF(I38:M38,"&lt;&gt;0"),"")</f>
        <v>5625</v>
      </c>
      <c r="Z38" s="13" t="n">
        <f aca="false">IFERROR(AVERAGEIF(N38:R38,"&lt;&gt;0"),"")</f>
        <v>5500</v>
      </c>
      <c r="AA38" s="13" t="n">
        <f aca="false">IFERROR(AVERAGEIF(S38:W38,"&lt;&gt;0"),"")</f>
        <v>5500</v>
      </c>
      <c r="AB38" s="13" t="n">
        <f aca="false">IFERROR(AVERAGEIF(D38:W38,"&lt;&gt;0"),"")</f>
        <v>5647.05882352941</v>
      </c>
    </row>
    <row r="39" customFormat="false" ht="15" hidden="false" customHeight="false" outlineLevel="0" collapsed="false">
      <c r="A39" s="3" t="n">
        <v>35</v>
      </c>
      <c r="B39" s="3" t="s">
        <v>478</v>
      </c>
      <c r="C39" s="3" t="s">
        <v>471</v>
      </c>
      <c r="D39" s="32" t="n">
        <v>13000</v>
      </c>
      <c r="E39" s="32" t="n">
        <v>13000</v>
      </c>
      <c r="F39" s="32" t="n">
        <v>13000</v>
      </c>
      <c r="G39" s="32" t="n">
        <v>13000</v>
      </c>
      <c r="H39" s="32" t="n">
        <v>0</v>
      </c>
      <c r="I39" s="32" t="n">
        <v>0</v>
      </c>
      <c r="J39" s="32" t="n">
        <v>13000</v>
      </c>
      <c r="K39" s="32" t="n">
        <v>12000</v>
      </c>
      <c r="L39" s="32" t="n">
        <v>12000</v>
      </c>
      <c r="M39" s="32" t="n">
        <v>12000</v>
      </c>
      <c r="N39" s="32" t="n">
        <v>12000</v>
      </c>
      <c r="O39" s="32" t="n">
        <v>12000</v>
      </c>
      <c r="P39" s="32" t="n">
        <v>12000</v>
      </c>
      <c r="Q39" s="32" t="n">
        <v>12000</v>
      </c>
      <c r="R39" s="32" t="n">
        <v>12000</v>
      </c>
      <c r="S39" s="32" t="n">
        <v>12000</v>
      </c>
      <c r="T39" s="32" t="n">
        <v>12000</v>
      </c>
      <c r="U39" s="32" t="n">
        <v>12000</v>
      </c>
      <c r="V39" s="32" t="n">
        <v>12000</v>
      </c>
      <c r="W39" s="32" t="n">
        <v>0</v>
      </c>
      <c r="X39" s="13" t="n">
        <f aca="false">IFERROR(AVERAGEIF(D39:H39,"&lt;&gt;0"),"")</f>
        <v>13000</v>
      </c>
      <c r="Y39" s="13" t="n">
        <f aca="false">IFERROR(AVERAGEIF(I39:M39,"&lt;&gt;0"),"")</f>
        <v>12250</v>
      </c>
      <c r="Z39" s="13" t="n">
        <f aca="false">IFERROR(AVERAGEIF(N39:R39,"&lt;&gt;0"),"")</f>
        <v>12000</v>
      </c>
      <c r="AA39" s="13" t="n">
        <f aca="false">IFERROR(AVERAGEIF(S39:W39,"&lt;&gt;0"),"")</f>
        <v>12000</v>
      </c>
      <c r="AB39" s="13" t="n">
        <f aca="false">IFERROR(AVERAGEIF(D39:W39,"&lt;&gt;0"),"")</f>
        <v>12294.1176470588</v>
      </c>
    </row>
    <row r="40" customFormat="false" ht="15" hidden="false" customHeight="false" outlineLevel="0" collapsed="false">
      <c r="A40" s="3" t="n">
        <v>36</v>
      </c>
      <c r="B40" s="3" t="s">
        <v>479</v>
      </c>
      <c r="C40" s="3" t="s">
        <v>471</v>
      </c>
      <c r="D40" s="32" t="n">
        <v>4000</v>
      </c>
      <c r="E40" s="32" t="n">
        <v>4000</v>
      </c>
      <c r="F40" s="32" t="n">
        <v>4000</v>
      </c>
      <c r="G40" s="32" t="n">
        <v>4000</v>
      </c>
      <c r="H40" s="32" t="n">
        <v>0</v>
      </c>
      <c r="I40" s="32" t="n">
        <v>0</v>
      </c>
      <c r="J40" s="32" t="n">
        <v>4000</v>
      </c>
      <c r="K40" s="32" t="n">
        <v>4000</v>
      </c>
      <c r="L40" s="32" t="n">
        <v>4000</v>
      </c>
      <c r="M40" s="32" t="n">
        <v>4000</v>
      </c>
      <c r="N40" s="32" t="n">
        <v>4000</v>
      </c>
      <c r="O40" s="32" t="n">
        <v>4000</v>
      </c>
      <c r="P40" s="32" t="n">
        <v>4000</v>
      </c>
      <c r="Q40" s="32" t="n">
        <v>4000</v>
      </c>
      <c r="R40" s="32" t="n">
        <v>4000</v>
      </c>
      <c r="S40" s="32" t="n">
        <v>4000</v>
      </c>
      <c r="T40" s="32" t="n">
        <v>4000</v>
      </c>
      <c r="U40" s="32" t="n">
        <v>4000</v>
      </c>
      <c r="V40" s="32" t="n">
        <v>4000</v>
      </c>
      <c r="W40" s="32" t="n">
        <v>0</v>
      </c>
      <c r="X40" s="13" t="n">
        <f aca="false">IFERROR(AVERAGEIF(D40:H40,"&lt;&gt;0"),"")</f>
        <v>4000</v>
      </c>
      <c r="Y40" s="13" t="n">
        <f aca="false">IFERROR(AVERAGEIF(I40:M40,"&lt;&gt;0"),"")</f>
        <v>4000</v>
      </c>
      <c r="Z40" s="13" t="n">
        <f aca="false">IFERROR(AVERAGEIF(N40:R40,"&lt;&gt;0"),"")</f>
        <v>4000</v>
      </c>
      <c r="AA40" s="13" t="n">
        <f aca="false">IFERROR(AVERAGEIF(S40:W40,"&lt;&gt;0"),"")</f>
        <v>4000</v>
      </c>
      <c r="AB40" s="13" t="n">
        <f aca="false">IFERROR(AVERAGEIF(D40:W40,"&lt;&gt;0"),"")</f>
        <v>4000</v>
      </c>
    </row>
    <row r="41" customFormat="false" ht="15" hidden="false" customHeight="false" outlineLevel="0" collapsed="false">
      <c r="A41" s="3" t="n">
        <v>37</v>
      </c>
      <c r="B41" s="3" t="s">
        <v>480</v>
      </c>
      <c r="C41" s="3" t="s">
        <v>471</v>
      </c>
      <c r="D41" s="32" t="n">
        <v>2000</v>
      </c>
      <c r="E41" s="32" t="n">
        <v>2000</v>
      </c>
      <c r="F41" s="32" t="n">
        <v>2000</v>
      </c>
      <c r="G41" s="32" t="n">
        <v>2000</v>
      </c>
      <c r="H41" s="32" t="n">
        <v>0</v>
      </c>
      <c r="I41" s="32" t="n">
        <v>0</v>
      </c>
      <c r="J41" s="32" t="n">
        <v>2000</v>
      </c>
      <c r="K41" s="32" t="n">
        <v>2000</v>
      </c>
      <c r="L41" s="32" t="n">
        <v>2000</v>
      </c>
      <c r="M41" s="32" t="n">
        <v>2000</v>
      </c>
      <c r="N41" s="32" t="n">
        <v>2000</v>
      </c>
      <c r="O41" s="32" t="n">
        <v>2000</v>
      </c>
      <c r="P41" s="32" t="n">
        <v>2000</v>
      </c>
      <c r="Q41" s="32" t="n">
        <v>2000</v>
      </c>
      <c r="R41" s="32" t="n">
        <v>2000</v>
      </c>
      <c r="S41" s="32" t="n">
        <v>2000</v>
      </c>
      <c r="T41" s="32" t="n">
        <v>2000</v>
      </c>
      <c r="U41" s="32" t="n">
        <v>2000</v>
      </c>
      <c r="V41" s="32" t="n">
        <v>2000</v>
      </c>
      <c r="W41" s="32" t="n">
        <v>0</v>
      </c>
      <c r="X41" s="13" t="n">
        <f aca="false">IFERROR(AVERAGEIF(D41:H41,"&lt;&gt;0"),"")</f>
        <v>2000</v>
      </c>
      <c r="Y41" s="13" t="n">
        <f aca="false">IFERROR(AVERAGEIF(I41:M41,"&lt;&gt;0"),"")</f>
        <v>2000</v>
      </c>
      <c r="Z41" s="13" t="n">
        <f aca="false">IFERROR(AVERAGEIF(N41:R41,"&lt;&gt;0"),"")</f>
        <v>2000</v>
      </c>
      <c r="AA41" s="13" t="n">
        <f aca="false">IFERROR(AVERAGEIF(S41:W41,"&lt;&gt;0"),"")</f>
        <v>2000</v>
      </c>
      <c r="AB41" s="13" t="n">
        <f aca="false">IFERROR(AVERAGEIF(D41:W41,"&lt;&gt;0"),"")</f>
        <v>2000</v>
      </c>
    </row>
    <row r="42" customFormat="false" ht="15" hidden="false" customHeight="false" outlineLevel="0" collapsed="false">
      <c r="A42" s="3" t="n">
        <v>38</v>
      </c>
      <c r="B42" s="3" t="s">
        <v>481</v>
      </c>
      <c r="C42" s="3" t="s">
        <v>471</v>
      </c>
      <c r="D42" s="32" t="n">
        <v>5000</v>
      </c>
      <c r="E42" s="32" t="n">
        <v>5000</v>
      </c>
      <c r="F42" s="32" t="n">
        <v>5000</v>
      </c>
      <c r="G42" s="32" t="n">
        <v>5000</v>
      </c>
      <c r="H42" s="32" t="n">
        <v>0</v>
      </c>
      <c r="I42" s="32" t="n">
        <v>0</v>
      </c>
      <c r="J42" s="32" t="n">
        <v>5000</v>
      </c>
      <c r="K42" s="32" t="n">
        <v>5000</v>
      </c>
      <c r="L42" s="32" t="n">
        <v>5000</v>
      </c>
      <c r="M42" s="32" t="n">
        <v>5000</v>
      </c>
      <c r="N42" s="32" t="n">
        <v>5000</v>
      </c>
      <c r="O42" s="32" t="n">
        <v>5000</v>
      </c>
      <c r="P42" s="32" t="n">
        <v>5000</v>
      </c>
      <c r="Q42" s="32" t="n">
        <v>5000</v>
      </c>
      <c r="R42" s="32" t="n">
        <v>5000</v>
      </c>
      <c r="S42" s="32" t="n">
        <v>5000</v>
      </c>
      <c r="T42" s="32" t="n">
        <v>5000</v>
      </c>
      <c r="U42" s="32" t="n">
        <v>5000</v>
      </c>
      <c r="V42" s="32" t="n">
        <v>5000</v>
      </c>
      <c r="W42" s="32" t="n">
        <v>0</v>
      </c>
      <c r="X42" s="13" t="n">
        <f aca="false">IFERROR(AVERAGEIF(D42:H42,"&lt;&gt;0"),"")</f>
        <v>5000</v>
      </c>
      <c r="Y42" s="13" t="n">
        <f aca="false">IFERROR(AVERAGEIF(I42:M42,"&lt;&gt;0"),"")</f>
        <v>5000</v>
      </c>
      <c r="Z42" s="13" t="n">
        <f aca="false">IFERROR(AVERAGEIF(N42:R42,"&lt;&gt;0"),"")</f>
        <v>5000</v>
      </c>
      <c r="AA42" s="13" t="n">
        <f aca="false">IFERROR(AVERAGEIF(S42:W42,"&lt;&gt;0"),"")</f>
        <v>5000</v>
      </c>
      <c r="AB42" s="13" t="n">
        <f aca="false">IFERROR(AVERAGEIF(D42:W42,"&lt;&gt;0"),"")</f>
        <v>5000</v>
      </c>
    </row>
    <row r="43" customFormat="false" ht="15" hidden="false" customHeight="false" outlineLevel="0" collapsed="false">
      <c r="A43" s="3" t="n">
        <v>39</v>
      </c>
      <c r="B43" s="3" t="s">
        <v>482</v>
      </c>
      <c r="C43" s="3" t="s">
        <v>471</v>
      </c>
      <c r="D43" s="32" t="n">
        <v>5000</v>
      </c>
      <c r="E43" s="32" t="n">
        <v>5000</v>
      </c>
      <c r="F43" s="32" t="n">
        <v>5000</v>
      </c>
      <c r="G43" s="32" t="n">
        <v>5000</v>
      </c>
      <c r="H43" s="32" t="n">
        <v>0</v>
      </c>
      <c r="I43" s="32" t="n">
        <v>0</v>
      </c>
      <c r="J43" s="32" t="n">
        <v>5000</v>
      </c>
      <c r="K43" s="32" t="n">
        <v>5000</v>
      </c>
      <c r="L43" s="32" t="n">
        <v>5000</v>
      </c>
      <c r="M43" s="32" t="n">
        <v>5000</v>
      </c>
      <c r="N43" s="32" t="n">
        <v>5000</v>
      </c>
      <c r="O43" s="32" t="n">
        <v>5000</v>
      </c>
      <c r="P43" s="32" t="n">
        <v>5000</v>
      </c>
      <c r="Q43" s="32" t="n">
        <v>5000</v>
      </c>
      <c r="R43" s="32" t="n">
        <v>5000</v>
      </c>
      <c r="S43" s="32" t="n">
        <v>5000</v>
      </c>
      <c r="T43" s="32" t="n">
        <v>5000</v>
      </c>
      <c r="U43" s="32" t="n">
        <v>5000</v>
      </c>
      <c r="V43" s="32" t="n">
        <v>5000</v>
      </c>
      <c r="W43" s="32" t="n">
        <v>0</v>
      </c>
      <c r="X43" s="13" t="n">
        <f aca="false">IFERROR(AVERAGEIF(D43:H43,"&lt;&gt;0"),"")</f>
        <v>5000</v>
      </c>
      <c r="Y43" s="13" t="n">
        <f aca="false">IFERROR(AVERAGEIF(I43:M43,"&lt;&gt;0"),"")</f>
        <v>5000</v>
      </c>
      <c r="Z43" s="13" t="n">
        <f aca="false">IFERROR(AVERAGEIF(N43:R43,"&lt;&gt;0"),"")</f>
        <v>5000</v>
      </c>
      <c r="AA43" s="13" t="n">
        <f aca="false">IFERROR(AVERAGEIF(S43:W43,"&lt;&gt;0"),"")</f>
        <v>5000</v>
      </c>
      <c r="AB43" s="13" t="n">
        <f aca="false">IFERROR(AVERAGEIF(D43:W43,"&lt;&gt;0"),"")</f>
        <v>5000</v>
      </c>
    </row>
    <row r="44" customFormat="false" ht="15" hidden="false" customHeight="false" outlineLevel="0" collapsed="false">
      <c r="A44" s="3" t="n">
        <v>40</v>
      </c>
      <c r="B44" s="3" t="s">
        <v>483</v>
      </c>
      <c r="C44" s="3" t="s">
        <v>471</v>
      </c>
      <c r="D44" s="32" t="n">
        <v>4000</v>
      </c>
      <c r="E44" s="32" t="n">
        <v>4000</v>
      </c>
      <c r="F44" s="32" t="n">
        <v>4000</v>
      </c>
      <c r="G44" s="32" t="n">
        <v>4000</v>
      </c>
      <c r="H44" s="32" t="n">
        <v>0</v>
      </c>
      <c r="I44" s="32" t="n">
        <v>0</v>
      </c>
      <c r="J44" s="32" t="n">
        <v>4000</v>
      </c>
      <c r="K44" s="32" t="n">
        <v>4000</v>
      </c>
      <c r="L44" s="32" t="n">
        <v>4000</v>
      </c>
      <c r="M44" s="32" t="n">
        <v>4000</v>
      </c>
      <c r="N44" s="32" t="n">
        <v>4000</v>
      </c>
      <c r="O44" s="32" t="n">
        <v>4000</v>
      </c>
      <c r="P44" s="32" t="n">
        <v>4000</v>
      </c>
      <c r="Q44" s="32" t="n">
        <v>4000</v>
      </c>
      <c r="R44" s="32" t="n">
        <v>4000</v>
      </c>
      <c r="S44" s="32" t="n">
        <v>4000</v>
      </c>
      <c r="T44" s="32" t="n">
        <v>4000</v>
      </c>
      <c r="U44" s="32" t="n">
        <v>4000</v>
      </c>
      <c r="V44" s="32" t="n">
        <v>4000</v>
      </c>
      <c r="W44" s="32" t="n">
        <v>0</v>
      </c>
      <c r="X44" s="13" t="n">
        <f aca="false">IFERROR(AVERAGEIF(D44:H44,"&lt;&gt;0"),"")</f>
        <v>4000</v>
      </c>
      <c r="Y44" s="13" t="n">
        <f aca="false">IFERROR(AVERAGEIF(I44:M44,"&lt;&gt;0"),"")</f>
        <v>4000</v>
      </c>
      <c r="Z44" s="13" t="n">
        <f aca="false">IFERROR(AVERAGEIF(N44:R44,"&lt;&gt;0"),"")</f>
        <v>4000</v>
      </c>
      <c r="AA44" s="13" t="n">
        <f aca="false">IFERROR(AVERAGEIF(S44:W44,"&lt;&gt;0"),"")</f>
        <v>4000</v>
      </c>
      <c r="AB44" s="13" t="n">
        <f aca="false">IFERROR(AVERAGEIF(D44:W44,"&lt;&gt;0"),"")</f>
        <v>4000</v>
      </c>
    </row>
    <row r="45" customFormat="false" ht="15" hidden="false" customHeight="false" outlineLevel="0" collapsed="false">
      <c r="A45" s="3" t="n">
        <v>41</v>
      </c>
      <c r="B45" s="3" t="s">
        <v>484</v>
      </c>
      <c r="C45" s="3" t="s">
        <v>471</v>
      </c>
      <c r="D45" s="32" t="n">
        <v>70000</v>
      </c>
      <c r="E45" s="32" t="n">
        <v>70000</v>
      </c>
      <c r="F45" s="32" t="n">
        <v>70000</v>
      </c>
      <c r="G45" s="32" t="n">
        <v>70000</v>
      </c>
      <c r="H45" s="32" t="n">
        <v>0</v>
      </c>
      <c r="I45" s="32" t="n">
        <v>0</v>
      </c>
      <c r="J45" s="32" t="n">
        <v>70000</v>
      </c>
      <c r="K45" s="32" t="n">
        <v>70000</v>
      </c>
      <c r="L45" s="32" t="n">
        <v>70000</v>
      </c>
      <c r="M45" s="32" t="n">
        <v>70000</v>
      </c>
      <c r="N45" s="32" t="n">
        <v>70000</v>
      </c>
      <c r="O45" s="32" t="n">
        <v>70000</v>
      </c>
      <c r="P45" s="32" t="n">
        <v>70000</v>
      </c>
      <c r="Q45" s="32" t="n">
        <v>70000</v>
      </c>
      <c r="R45" s="32" t="n">
        <v>70000</v>
      </c>
      <c r="S45" s="32" t="n">
        <v>70000</v>
      </c>
      <c r="T45" s="32" t="n">
        <v>70000</v>
      </c>
      <c r="U45" s="32" t="n">
        <v>70000</v>
      </c>
      <c r="V45" s="32" t="n">
        <v>70000</v>
      </c>
      <c r="W45" s="32" t="n">
        <v>0</v>
      </c>
      <c r="X45" s="13" t="n">
        <f aca="false">IFERROR(AVERAGEIF(D45:H45,"&lt;&gt;0"),"")</f>
        <v>70000</v>
      </c>
      <c r="Y45" s="13" t="n">
        <f aca="false">IFERROR(AVERAGEIF(I45:M45,"&lt;&gt;0"),"")</f>
        <v>70000</v>
      </c>
      <c r="Z45" s="13" t="n">
        <f aca="false">IFERROR(AVERAGEIF(N45:R45,"&lt;&gt;0"),"")</f>
        <v>70000</v>
      </c>
      <c r="AA45" s="13" t="n">
        <f aca="false">IFERROR(AVERAGEIF(S45:W45,"&lt;&gt;0"),"")</f>
        <v>70000</v>
      </c>
      <c r="AB45" s="13" t="n">
        <f aca="false">IFERROR(AVERAGEIF(D45:W45,"&lt;&gt;0"),"")</f>
        <v>70000</v>
      </c>
    </row>
    <row r="46" customFormat="false" ht="15" hidden="false" customHeight="false" outlineLevel="0" collapsed="false">
      <c r="A46" s="3" t="n">
        <v>42</v>
      </c>
      <c r="B46" s="3" t="s">
        <v>485</v>
      </c>
      <c r="C46" s="3" t="s">
        <v>471</v>
      </c>
      <c r="D46" s="32" t="n">
        <v>40000</v>
      </c>
      <c r="E46" s="32" t="n">
        <v>40000</v>
      </c>
      <c r="F46" s="32" t="n">
        <v>40000</v>
      </c>
      <c r="G46" s="32" t="n">
        <v>40000</v>
      </c>
      <c r="H46" s="32" t="n">
        <v>0</v>
      </c>
      <c r="I46" s="32" t="n">
        <v>0</v>
      </c>
      <c r="J46" s="32" t="n">
        <v>40000</v>
      </c>
      <c r="K46" s="32" t="n">
        <v>40000</v>
      </c>
      <c r="L46" s="32" t="n">
        <v>40000</v>
      </c>
      <c r="M46" s="32" t="n">
        <v>40000</v>
      </c>
      <c r="N46" s="32" t="n">
        <v>40000</v>
      </c>
      <c r="O46" s="32" t="n">
        <v>40000</v>
      </c>
      <c r="P46" s="32" t="n">
        <v>40000</v>
      </c>
      <c r="Q46" s="32" t="n">
        <v>40000</v>
      </c>
      <c r="R46" s="32" t="n">
        <v>40000</v>
      </c>
      <c r="S46" s="32" t="n">
        <v>40000</v>
      </c>
      <c r="T46" s="32" t="n">
        <v>40000</v>
      </c>
      <c r="U46" s="32" t="n">
        <v>40000</v>
      </c>
      <c r="V46" s="32" t="n">
        <v>40000</v>
      </c>
      <c r="W46" s="32" t="n">
        <v>0</v>
      </c>
      <c r="X46" s="13" t="n">
        <f aca="false">IFERROR(AVERAGEIF(D46:H46,"&lt;&gt;0"),"")</f>
        <v>40000</v>
      </c>
      <c r="Y46" s="13" t="n">
        <f aca="false">IFERROR(AVERAGEIF(I46:M46,"&lt;&gt;0"),"")</f>
        <v>40000</v>
      </c>
      <c r="Z46" s="13" t="n">
        <f aca="false">IFERROR(AVERAGEIF(N46:R46,"&lt;&gt;0"),"")</f>
        <v>40000</v>
      </c>
      <c r="AA46" s="13" t="n">
        <f aca="false">IFERROR(AVERAGEIF(S46:W46,"&lt;&gt;0"),"")</f>
        <v>40000</v>
      </c>
      <c r="AB46" s="13" t="n">
        <f aca="false">IFERROR(AVERAGEIF(D46:W46,"&lt;&gt;0"),"")</f>
        <v>40000</v>
      </c>
    </row>
    <row r="47" customFormat="false" ht="15" hidden="false" customHeight="false" outlineLevel="0" collapsed="false">
      <c r="A47" s="3" t="n">
        <v>43</v>
      </c>
      <c r="B47" s="3" t="s">
        <v>486</v>
      </c>
      <c r="C47" s="3" t="s">
        <v>471</v>
      </c>
      <c r="D47" s="32" t="n">
        <v>27000</v>
      </c>
      <c r="E47" s="32" t="n">
        <v>27000</v>
      </c>
      <c r="F47" s="32" t="n">
        <v>27000</v>
      </c>
      <c r="G47" s="32" t="n">
        <v>27000</v>
      </c>
      <c r="H47" s="32" t="n">
        <v>0</v>
      </c>
      <c r="I47" s="32" t="n">
        <v>0</v>
      </c>
      <c r="J47" s="32" t="n">
        <v>27000</v>
      </c>
      <c r="K47" s="32" t="n">
        <v>27000</v>
      </c>
      <c r="L47" s="32" t="n">
        <v>27000</v>
      </c>
      <c r="M47" s="32" t="n">
        <v>27000</v>
      </c>
      <c r="N47" s="32" t="n">
        <v>27000</v>
      </c>
      <c r="O47" s="32" t="n">
        <v>27000</v>
      </c>
      <c r="P47" s="32" t="n">
        <v>27000</v>
      </c>
      <c r="Q47" s="32" t="n">
        <v>27000</v>
      </c>
      <c r="R47" s="32" t="n">
        <v>27000</v>
      </c>
      <c r="S47" s="32" t="n">
        <v>27000</v>
      </c>
      <c r="T47" s="32" t="n">
        <v>27000</v>
      </c>
      <c r="U47" s="32" t="n">
        <v>27000</v>
      </c>
      <c r="V47" s="32" t="n">
        <v>27000</v>
      </c>
      <c r="W47" s="32" t="n">
        <v>0</v>
      </c>
      <c r="X47" s="13" t="n">
        <f aca="false">IFERROR(AVERAGEIF(D47:H47,"&lt;&gt;0"),"")</f>
        <v>27000</v>
      </c>
      <c r="Y47" s="13" t="n">
        <f aca="false">IFERROR(AVERAGEIF(I47:M47,"&lt;&gt;0"),"")</f>
        <v>27000</v>
      </c>
      <c r="Z47" s="13" t="n">
        <f aca="false">IFERROR(AVERAGEIF(N47:R47,"&lt;&gt;0"),"")</f>
        <v>27000</v>
      </c>
      <c r="AA47" s="13" t="n">
        <f aca="false">IFERROR(AVERAGEIF(S47:W47,"&lt;&gt;0"),"")</f>
        <v>27000</v>
      </c>
      <c r="AB47" s="13" t="n">
        <f aca="false">IFERROR(AVERAGEIF(D47:W47,"&lt;&gt;0"),"")</f>
        <v>27000</v>
      </c>
    </row>
    <row r="48" customFormat="false" ht="15" hidden="false" customHeight="false" outlineLevel="0" collapsed="false">
      <c r="A48" s="3" t="n">
        <v>44</v>
      </c>
      <c r="B48" s="3" t="s">
        <v>487</v>
      </c>
      <c r="C48" s="3" t="s">
        <v>471</v>
      </c>
      <c r="D48" s="32" t="n">
        <v>14000</v>
      </c>
      <c r="E48" s="32" t="n">
        <v>14000</v>
      </c>
      <c r="F48" s="32" t="n">
        <v>14000</v>
      </c>
      <c r="G48" s="32" t="n">
        <v>14000</v>
      </c>
      <c r="H48" s="32" t="n">
        <v>0</v>
      </c>
      <c r="I48" s="32" t="n">
        <v>0</v>
      </c>
      <c r="J48" s="32" t="n">
        <v>14000</v>
      </c>
      <c r="K48" s="32" t="n">
        <v>14000</v>
      </c>
      <c r="L48" s="32" t="n">
        <v>14000</v>
      </c>
      <c r="M48" s="32" t="n">
        <v>14000</v>
      </c>
      <c r="N48" s="32" t="n">
        <v>14000</v>
      </c>
      <c r="O48" s="32" t="n">
        <v>14000</v>
      </c>
      <c r="P48" s="32" t="n">
        <v>14000</v>
      </c>
      <c r="Q48" s="32" t="n">
        <v>14000</v>
      </c>
      <c r="R48" s="32" t="n">
        <v>14000</v>
      </c>
      <c r="S48" s="32" t="n">
        <v>14000</v>
      </c>
      <c r="T48" s="32" t="n">
        <v>14000</v>
      </c>
      <c r="U48" s="32" t="n">
        <v>14000</v>
      </c>
      <c r="V48" s="32" t="n">
        <v>14000</v>
      </c>
      <c r="W48" s="32" t="n">
        <v>0</v>
      </c>
      <c r="X48" s="13" t="n">
        <f aca="false">IFERROR(AVERAGEIF(D48:H48,"&lt;&gt;0"),"")</f>
        <v>14000</v>
      </c>
      <c r="Y48" s="13" t="n">
        <f aca="false">IFERROR(AVERAGEIF(I48:M48,"&lt;&gt;0"),"")</f>
        <v>14000</v>
      </c>
      <c r="Z48" s="13" t="n">
        <f aca="false">IFERROR(AVERAGEIF(N48:R48,"&lt;&gt;0"),"")</f>
        <v>14000</v>
      </c>
      <c r="AA48" s="13" t="n">
        <f aca="false">IFERROR(AVERAGEIF(S48:W48,"&lt;&gt;0"),"")</f>
        <v>14000</v>
      </c>
      <c r="AB48" s="13" t="n">
        <f aca="false">IFERROR(AVERAGEIF(D48:W48,"&lt;&gt;0"),"")</f>
        <v>14000</v>
      </c>
    </row>
  </sheetData>
  <mergeCells count="1">
    <mergeCell ref="A1:A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4"/>
    <col collapsed="false" customWidth="true" hidden="false" outlineLevel="0" max="26" min="4" style="0" width="9"/>
    <col collapsed="false" customWidth="true" hidden="false" outlineLevel="0" max="32" min="27" style="0" width="14"/>
  </cols>
  <sheetData>
    <row r="1" customFormat="false" ht="16.15" hidden="false" customHeight="false" outlineLevel="0" collapsed="false">
      <c r="A1" s="1" t="s">
        <v>648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customFormat="false" ht="15" hidden="false" customHeight="false" outlineLevel="0" collapsed="false">
      <c r="A2" s="7" t="s">
        <v>443</v>
      </c>
    </row>
    <row r="4" customFormat="false" ht="19.4" hidden="false" customHeight="false" outlineLevel="0" collapsed="false">
      <c r="A4" s="10" t="s">
        <v>1</v>
      </c>
      <c r="B4" s="10" t="s">
        <v>444</v>
      </c>
      <c r="C4" s="10" t="s">
        <v>445</v>
      </c>
      <c r="D4" s="10" t="s">
        <v>649</v>
      </c>
      <c r="E4" s="10" t="s">
        <v>650</v>
      </c>
      <c r="F4" s="10" t="s">
        <v>651</v>
      </c>
      <c r="G4" s="10" t="s">
        <v>652</v>
      </c>
      <c r="H4" s="10" t="s">
        <v>653</v>
      </c>
      <c r="I4" s="10" t="s">
        <v>654</v>
      </c>
      <c r="J4" s="10" t="s">
        <v>655</v>
      </c>
      <c r="K4" s="10" t="s">
        <v>656</v>
      </c>
      <c r="L4" s="10" t="s">
        <v>657</v>
      </c>
      <c r="M4" s="10" t="s">
        <v>658</v>
      </c>
      <c r="N4" s="10" t="s">
        <v>659</v>
      </c>
      <c r="O4" s="10" t="s">
        <v>660</v>
      </c>
      <c r="P4" s="10" t="s">
        <v>661</v>
      </c>
      <c r="Q4" s="10" t="s">
        <v>662</v>
      </c>
      <c r="R4" s="10" t="s">
        <v>663</v>
      </c>
      <c r="S4" s="10" t="s">
        <v>664</v>
      </c>
      <c r="T4" s="10" t="s">
        <v>665</v>
      </c>
      <c r="U4" s="10" t="s">
        <v>666</v>
      </c>
      <c r="V4" s="10" t="s">
        <v>667</v>
      </c>
      <c r="W4" s="10" t="s">
        <v>668</v>
      </c>
      <c r="X4" s="10" t="s">
        <v>669</v>
      </c>
      <c r="Y4" s="10" t="s">
        <v>670</v>
      </c>
      <c r="Z4" s="10" t="s">
        <v>671</v>
      </c>
      <c r="AA4" s="10" t="s">
        <v>591</v>
      </c>
      <c r="AB4" s="10" t="s">
        <v>592</v>
      </c>
      <c r="AC4" s="10" t="s">
        <v>593</v>
      </c>
      <c r="AD4" s="10" t="s">
        <v>594</v>
      </c>
      <c r="AE4" s="10" t="s">
        <v>672</v>
      </c>
      <c r="AF4" s="10" t="s">
        <v>673</v>
      </c>
    </row>
    <row r="5" customFormat="false" ht="15" hidden="false" customHeight="false" outlineLevel="0" collapsed="false">
      <c r="A5" s="3" t="n">
        <v>1</v>
      </c>
      <c r="B5" s="3" t="s">
        <v>407</v>
      </c>
      <c r="C5" s="3" t="s">
        <v>471</v>
      </c>
      <c r="D5" s="32" t="n">
        <v>12000</v>
      </c>
      <c r="E5" s="32" t="n">
        <v>12000</v>
      </c>
      <c r="F5" s="32" t="n">
        <v>12000</v>
      </c>
      <c r="G5" s="32" t="n">
        <v>12000</v>
      </c>
      <c r="H5" s="32" t="n">
        <v>12000</v>
      </c>
      <c r="I5" s="32" t="n">
        <v>12000</v>
      </c>
      <c r="J5" s="32" t="n">
        <v>12000</v>
      </c>
      <c r="K5" s="32" t="n">
        <v>12000</v>
      </c>
      <c r="L5" s="32" t="n">
        <v>12000</v>
      </c>
      <c r="M5" s="32" t="n">
        <v>12000</v>
      </c>
      <c r="N5" s="32" t="n">
        <v>12000</v>
      </c>
      <c r="O5" s="32" t="n">
        <v>12000</v>
      </c>
      <c r="P5" s="32" t="n">
        <v>12000</v>
      </c>
      <c r="Q5" s="32" t="n">
        <v>12000</v>
      </c>
      <c r="R5" s="32" t="n">
        <v>13000</v>
      </c>
      <c r="S5" s="32" t="n">
        <v>13000</v>
      </c>
      <c r="T5" s="32" t="n">
        <v>13000</v>
      </c>
      <c r="U5" s="32" t="n">
        <v>13000</v>
      </c>
      <c r="V5" s="32" t="n">
        <v>13000</v>
      </c>
      <c r="W5" s="32" t="n">
        <v>13000</v>
      </c>
      <c r="X5" s="32" t="n">
        <v>13000</v>
      </c>
      <c r="Y5" s="32" t="n">
        <v>13000</v>
      </c>
      <c r="Z5" s="32" t="n">
        <v>13000</v>
      </c>
      <c r="AA5" s="13" t="n">
        <f aca="false">IFERROR(AVERAGEIF(D5:G5,"&lt;&gt;0"),"")</f>
        <v>12000</v>
      </c>
      <c r="AB5" s="13" t="n">
        <f aca="false">IFERROR(AVERAGEIF(H5:L5,"&lt;&gt;0"),"")</f>
        <v>12000</v>
      </c>
      <c r="AC5" s="13" t="n">
        <f aca="false">IFERROR(AVERAGEIF(M5:Q5,"&lt;&gt;0"),"")</f>
        <v>12000</v>
      </c>
      <c r="AD5" s="13" t="n">
        <f aca="false">IFERROR(AVERAGEIF(R5:V5,"&lt;&gt;0"),"")</f>
        <v>13000</v>
      </c>
      <c r="AE5" s="13" t="n">
        <f aca="false">IFERROR(AVERAGEIF(W5:Z5,"&lt;&gt;0"),"")</f>
        <v>13000</v>
      </c>
      <c r="AF5" s="13" t="n">
        <f aca="false">IFERROR(AVERAGEIF(D5:Z5,"&lt;&gt;0"),"")</f>
        <v>12391.3043478261</v>
      </c>
    </row>
    <row r="6" customFormat="false" ht="15" hidden="false" customHeight="false" outlineLevel="0" collapsed="false">
      <c r="A6" s="3" t="n">
        <v>2</v>
      </c>
      <c r="B6" s="3" t="s">
        <v>408</v>
      </c>
      <c r="C6" s="3" t="s">
        <v>471</v>
      </c>
      <c r="D6" s="32" t="n">
        <v>13000</v>
      </c>
      <c r="E6" s="32" t="n">
        <v>13000</v>
      </c>
      <c r="F6" s="32" t="n">
        <v>13000</v>
      </c>
      <c r="G6" s="32" t="n">
        <v>13000</v>
      </c>
      <c r="H6" s="32" t="n">
        <v>13000</v>
      </c>
      <c r="I6" s="32" t="n">
        <v>13000</v>
      </c>
      <c r="J6" s="32" t="n">
        <v>13000</v>
      </c>
      <c r="K6" s="32" t="n">
        <v>13000</v>
      </c>
      <c r="L6" s="32" t="n">
        <v>13000</v>
      </c>
      <c r="M6" s="32" t="n">
        <v>13000</v>
      </c>
      <c r="N6" s="32" t="n">
        <v>13000</v>
      </c>
      <c r="O6" s="32" t="n">
        <v>13000</v>
      </c>
      <c r="P6" s="32" t="n">
        <v>13000</v>
      </c>
      <c r="Q6" s="32" t="n">
        <v>13000</v>
      </c>
      <c r="R6" s="32" t="n">
        <v>14000</v>
      </c>
      <c r="S6" s="32" t="n">
        <v>14000</v>
      </c>
      <c r="T6" s="32" t="n">
        <v>14000</v>
      </c>
      <c r="U6" s="32" t="n">
        <v>14000</v>
      </c>
      <c r="V6" s="32" t="n">
        <v>14000</v>
      </c>
      <c r="W6" s="32" t="n">
        <v>14000</v>
      </c>
      <c r="X6" s="32" t="n">
        <v>14000</v>
      </c>
      <c r="Y6" s="32" t="n">
        <v>14000</v>
      </c>
      <c r="Z6" s="32" t="n">
        <v>14000</v>
      </c>
      <c r="AA6" s="13" t="n">
        <f aca="false">IFERROR(AVERAGEIF(D6:G6,"&lt;&gt;0"),"")</f>
        <v>13000</v>
      </c>
      <c r="AB6" s="13" t="n">
        <f aca="false">IFERROR(AVERAGEIF(H6:L6,"&lt;&gt;0"),"")</f>
        <v>13000</v>
      </c>
      <c r="AC6" s="13" t="n">
        <f aca="false">IFERROR(AVERAGEIF(M6:Q6,"&lt;&gt;0"),"")</f>
        <v>13000</v>
      </c>
      <c r="AD6" s="13" t="n">
        <f aca="false">IFERROR(AVERAGEIF(R6:V6,"&lt;&gt;0"),"")</f>
        <v>14000</v>
      </c>
      <c r="AE6" s="13" t="n">
        <f aca="false">IFERROR(AVERAGEIF(W6:Z6,"&lt;&gt;0"),"")</f>
        <v>14000</v>
      </c>
      <c r="AF6" s="13" t="n">
        <f aca="false">IFERROR(AVERAGEIF(D6:Z6,"&lt;&gt;0"),"")</f>
        <v>13391.3043478261</v>
      </c>
    </row>
    <row r="7" customFormat="false" ht="15" hidden="false" customHeight="false" outlineLevel="0" collapsed="false">
      <c r="A7" s="3" t="n">
        <v>3</v>
      </c>
      <c r="B7" s="3" t="s">
        <v>409</v>
      </c>
      <c r="C7" s="3" t="s">
        <v>471</v>
      </c>
      <c r="D7" s="32" t="n">
        <v>0</v>
      </c>
      <c r="E7" s="32" t="n">
        <v>0</v>
      </c>
      <c r="F7" s="32" t="n">
        <v>0</v>
      </c>
      <c r="G7" s="32" t="n">
        <v>0</v>
      </c>
      <c r="H7" s="32" t="n">
        <v>0</v>
      </c>
      <c r="I7" s="32" t="n">
        <v>0</v>
      </c>
      <c r="J7" s="32" t="n">
        <v>0</v>
      </c>
      <c r="K7" s="32" t="n">
        <v>0</v>
      </c>
      <c r="L7" s="32" t="n">
        <v>0</v>
      </c>
      <c r="M7" s="32" t="n">
        <v>0</v>
      </c>
      <c r="N7" s="32" t="n">
        <v>12500</v>
      </c>
      <c r="O7" s="32" t="n">
        <v>12500</v>
      </c>
      <c r="P7" s="32" t="n">
        <v>12500</v>
      </c>
      <c r="Q7" s="32" t="n">
        <v>12500</v>
      </c>
      <c r="R7" s="32" t="n">
        <v>12500</v>
      </c>
      <c r="S7" s="32" t="n">
        <v>12500</v>
      </c>
      <c r="T7" s="32" t="n">
        <v>12500</v>
      </c>
      <c r="U7" s="32" t="n">
        <v>12500</v>
      </c>
      <c r="V7" s="32" t="n">
        <v>12500</v>
      </c>
      <c r="W7" s="32" t="n">
        <v>12500</v>
      </c>
      <c r="X7" s="32" t="n">
        <v>12500</v>
      </c>
      <c r="Y7" s="32" t="n">
        <v>12500</v>
      </c>
      <c r="Z7" s="32" t="n">
        <v>12500</v>
      </c>
      <c r="AA7" s="13" t="str">
        <f aca="false">IFERROR(AVERAGEIF(D7:G7,"&lt;&gt;0"),"")</f>
        <v/>
      </c>
      <c r="AB7" s="13" t="str">
        <f aca="false">IFERROR(AVERAGEIF(H7:L7,"&lt;&gt;0"),"")</f>
        <v/>
      </c>
      <c r="AC7" s="13" t="n">
        <f aca="false">IFERROR(AVERAGEIF(M7:Q7,"&lt;&gt;0"),"")</f>
        <v>12500</v>
      </c>
      <c r="AD7" s="13" t="n">
        <f aca="false">IFERROR(AVERAGEIF(R7:V7,"&lt;&gt;0"),"")</f>
        <v>12500</v>
      </c>
      <c r="AE7" s="13" t="n">
        <f aca="false">IFERROR(AVERAGEIF(W7:Z7,"&lt;&gt;0"),"")</f>
        <v>12500</v>
      </c>
      <c r="AF7" s="13" t="n">
        <f aca="false">IFERROR(AVERAGEIF(D7:Z7,"&lt;&gt;0"),"")</f>
        <v>12500</v>
      </c>
    </row>
    <row r="8" customFormat="false" ht="15" hidden="false" customHeight="false" outlineLevel="0" collapsed="false">
      <c r="A8" s="3" t="n">
        <v>4</v>
      </c>
      <c r="B8" s="3" t="s">
        <v>472</v>
      </c>
      <c r="C8" s="3" t="s">
        <v>471</v>
      </c>
      <c r="D8" s="32" t="n">
        <v>11000</v>
      </c>
      <c r="E8" s="32" t="n">
        <v>11000</v>
      </c>
      <c r="F8" s="32" t="n">
        <v>11000</v>
      </c>
      <c r="G8" s="32" t="n">
        <v>11000</v>
      </c>
      <c r="H8" s="32" t="n">
        <v>11000</v>
      </c>
      <c r="I8" s="32" t="n">
        <v>11000</v>
      </c>
      <c r="J8" s="32" t="n">
        <v>11000</v>
      </c>
      <c r="K8" s="32" t="n">
        <v>11000</v>
      </c>
      <c r="L8" s="32" t="n">
        <v>11000</v>
      </c>
      <c r="M8" s="32" t="n">
        <v>11000</v>
      </c>
      <c r="N8" s="32" t="n">
        <v>11000</v>
      </c>
      <c r="O8" s="32" t="n">
        <v>11000</v>
      </c>
      <c r="P8" s="32" t="n">
        <v>11000</v>
      </c>
      <c r="Q8" s="32" t="n">
        <v>11000</v>
      </c>
      <c r="R8" s="32" t="n">
        <v>11000</v>
      </c>
      <c r="S8" s="32" t="n">
        <v>11000</v>
      </c>
      <c r="T8" s="32" t="n">
        <v>11000</v>
      </c>
      <c r="U8" s="32" t="n">
        <v>11000</v>
      </c>
      <c r="V8" s="32" t="n">
        <v>11000</v>
      </c>
      <c r="W8" s="32" t="n">
        <v>11000</v>
      </c>
      <c r="X8" s="32" t="n">
        <v>11000</v>
      </c>
      <c r="Y8" s="32" t="n">
        <v>11000</v>
      </c>
      <c r="Z8" s="32" t="n">
        <v>11000</v>
      </c>
      <c r="AA8" s="13" t="n">
        <f aca="false">IFERROR(AVERAGEIF(D8:G8,"&lt;&gt;0"),"")</f>
        <v>11000</v>
      </c>
      <c r="AB8" s="13" t="n">
        <f aca="false">IFERROR(AVERAGEIF(H8:L8,"&lt;&gt;0"),"")</f>
        <v>11000</v>
      </c>
      <c r="AC8" s="13" t="n">
        <f aca="false">IFERROR(AVERAGEIF(M8:Q8,"&lt;&gt;0"),"")</f>
        <v>11000</v>
      </c>
      <c r="AD8" s="13" t="n">
        <f aca="false">IFERROR(AVERAGEIF(R8:V8,"&lt;&gt;0"),"")</f>
        <v>11000</v>
      </c>
      <c r="AE8" s="13" t="n">
        <f aca="false">IFERROR(AVERAGEIF(W8:Z8,"&lt;&gt;0"),"")</f>
        <v>11000</v>
      </c>
      <c r="AF8" s="13" t="n">
        <f aca="false">IFERROR(AVERAGEIF(D8:Z8,"&lt;&gt;0"),"")</f>
        <v>11000</v>
      </c>
    </row>
    <row r="9" customFormat="false" ht="15" hidden="false" customHeight="false" outlineLevel="0" collapsed="false">
      <c r="A9" s="3" t="n">
        <v>5</v>
      </c>
      <c r="B9" s="3" t="s">
        <v>428</v>
      </c>
      <c r="C9" s="3" t="s">
        <v>471</v>
      </c>
      <c r="D9" s="32" t="n">
        <v>22000</v>
      </c>
      <c r="E9" s="32" t="n">
        <v>22000</v>
      </c>
      <c r="F9" s="32" t="n">
        <v>22000</v>
      </c>
      <c r="G9" s="32" t="n">
        <v>24000</v>
      </c>
      <c r="H9" s="32" t="n">
        <v>26000</v>
      </c>
      <c r="I9" s="32" t="n">
        <v>26000</v>
      </c>
      <c r="J9" s="32" t="n">
        <v>27000</v>
      </c>
      <c r="K9" s="32" t="n">
        <v>27000</v>
      </c>
      <c r="L9" s="32" t="n">
        <v>27000</v>
      </c>
      <c r="M9" s="32" t="n">
        <v>27000</v>
      </c>
      <c r="N9" s="32" t="n">
        <v>26000</v>
      </c>
      <c r="O9" s="32" t="n">
        <v>26000</v>
      </c>
      <c r="P9" s="32" t="n">
        <v>26000</v>
      </c>
      <c r="Q9" s="32" t="n">
        <v>26000</v>
      </c>
      <c r="R9" s="32" t="n">
        <v>27000</v>
      </c>
      <c r="S9" s="32" t="n">
        <v>27000</v>
      </c>
      <c r="T9" s="32" t="n">
        <v>27000</v>
      </c>
      <c r="U9" s="32" t="n">
        <v>27000</v>
      </c>
      <c r="V9" s="32" t="n">
        <v>27000</v>
      </c>
      <c r="W9" s="32" t="n">
        <v>27000</v>
      </c>
      <c r="X9" s="32" t="n">
        <v>27000</v>
      </c>
      <c r="Y9" s="32" t="n">
        <v>27000</v>
      </c>
      <c r="Z9" s="32" t="n">
        <v>27000</v>
      </c>
      <c r="AA9" s="13" t="n">
        <f aca="false">IFERROR(AVERAGEIF(D9:G9,"&lt;&gt;0"),"")</f>
        <v>22500</v>
      </c>
      <c r="AB9" s="13" t="n">
        <f aca="false">IFERROR(AVERAGEIF(H9:L9,"&lt;&gt;0"),"")</f>
        <v>26600</v>
      </c>
      <c r="AC9" s="13" t="n">
        <f aca="false">IFERROR(AVERAGEIF(M9:Q9,"&lt;&gt;0"),"")</f>
        <v>26200</v>
      </c>
      <c r="AD9" s="13" t="n">
        <f aca="false">IFERROR(AVERAGEIF(R9:V9,"&lt;&gt;0"),"")</f>
        <v>27000</v>
      </c>
      <c r="AE9" s="13" t="n">
        <f aca="false">IFERROR(AVERAGEIF(W9:Z9,"&lt;&gt;0"),"")</f>
        <v>27000</v>
      </c>
      <c r="AF9" s="13" t="n">
        <f aca="false">IFERROR(AVERAGEIF(D9:Z9,"&lt;&gt;0"),"")</f>
        <v>25956.5217391304</v>
      </c>
    </row>
    <row r="10" customFormat="false" ht="15" hidden="false" customHeight="false" outlineLevel="0" collapsed="false">
      <c r="A10" s="3" t="n">
        <v>6</v>
      </c>
      <c r="B10" s="3" t="s">
        <v>429</v>
      </c>
      <c r="C10" s="3" t="s">
        <v>471</v>
      </c>
      <c r="D10" s="32" t="n">
        <v>23000</v>
      </c>
      <c r="E10" s="32" t="n">
        <v>23000</v>
      </c>
      <c r="F10" s="32" t="n">
        <v>23000</v>
      </c>
      <c r="G10" s="32" t="n">
        <v>23000</v>
      </c>
      <c r="H10" s="32" t="n">
        <v>23000</v>
      </c>
      <c r="I10" s="32" t="n">
        <v>23000</v>
      </c>
      <c r="J10" s="32" t="n">
        <v>20000</v>
      </c>
      <c r="K10" s="32" t="n">
        <v>20000</v>
      </c>
      <c r="L10" s="32" t="n">
        <v>20000</v>
      </c>
      <c r="M10" s="32" t="n">
        <v>20000</v>
      </c>
      <c r="N10" s="32" t="n">
        <v>20000</v>
      </c>
      <c r="O10" s="32" t="n">
        <v>20000</v>
      </c>
      <c r="P10" s="32" t="n">
        <v>20000</v>
      </c>
      <c r="Q10" s="32" t="n">
        <v>20000</v>
      </c>
      <c r="R10" s="32" t="n">
        <v>22000</v>
      </c>
      <c r="S10" s="32" t="n">
        <v>22000</v>
      </c>
      <c r="T10" s="32" t="n">
        <v>22000</v>
      </c>
      <c r="U10" s="32" t="n">
        <v>22000</v>
      </c>
      <c r="V10" s="32" t="n">
        <v>22000</v>
      </c>
      <c r="W10" s="32" t="n">
        <v>22000</v>
      </c>
      <c r="X10" s="32" t="n">
        <v>22000</v>
      </c>
      <c r="Y10" s="32" t="n">
        <v>22000</v>
      </c>
      <c r="Z10" s="32" t="n">
        <v>22000</v>
      </c>
      <c r="AA10" s="13" t="n">
        <f aca="false">IFERROR(AVERAGEIF(D10:G10,"&lt;&gt;0"),"")</f>
        <v>23000</v>
      </c>
      <c r="AB10" s="13" t="n">
        <f aca="false">IFERROR(AVERAGEIF(H10:L10,"&lt;&gt;0"),"")</f>
        <v>21200</v>
      </c>
      <c r="AC10" s="13" t="n">
        <f aca="false">IFERROR(AVERAGEIF(M10:Q10,"&lt;&gt;0"),"")</f>
        <v>20000</v>
      </c>
      <c r="AD10" s="13" t="n">
        <f aca="false">IFERROR(AVERAGEIF(R10:V10,"&lt;&gt;0"),"")</f>
        <v>22000</v>
      </c>
      <c r="AE10" s="13" t="n">
        <f aca="false">IFERROR(AVERAGEIF(W10:Z10,"&lt;&gt;0"),"")</f>
        <v>22000</v>
      </c>
      <c r="AF10" s="13" t="n">
        <f aca="false">IFERROR(AVERAGEIF(D10:Z10,"&lt;&gt;0"),"")</f>
        <v>21565.2173913043</v>
      </c>
    </row>
    <row r="11" customFormat="false" ht="15" hidden="false" customHeight="false" outlineLevel="0" collapsed="false">
      <c r="A11" s="3" t="n">
        <v>7</v>
      </c>
      <c r="B11" s="3" t="s">
        <v>418</v>
      </c>
      <c r="C11" s="3" t="s">
        <v>471</v>
      </c>
      <c r="D11" s="32" t="n">
        <v>24000</v>
      </c>
      <c r="E11" s="32" t="n">
        <v>24000</v>
      </c>
      <c r="F11" s="32" t="n">
        <v>26000</v>
      </c>
      <c r="G11" s="32" t="n">
        <v>28000</v>
      </c>
      <c r="H11" s="32" t="n">
        <v>30000</v>
      </c>
      <c r="I11" s="32" t="n">
        <v>30000</v>
      </c>
      <c r="J11" s="32" t="n">
        <v>31000</v>
      </c>
      <c r="K11" s="32" t="n">
        <v>31000</v>
      </c>
      <c r="L11" s="32" t="n">
        <v>31000</v>
      </c>
      <c r="M11" s="32" t="n">
        <v>31000</v>
      </c>
      <c r="N11" s="32" t="n">
        <v>30000</v>
      </c>
      <c r="O11" s="32" t="n">
        <v>30000</v>
      </c>
      <c r="P11" s="32" t="n">
        <v>30000</v>
      </c>
      <c r="Q11" s="32" t="n">
        <v>30000</v>
      </c>
      <c r="R11" s="32" t="n">
        <v>30000</v>
      </c>
      <c r="S11" s="32" t="n">
        <v>30000</v>
      </c>
      <c r="T11" s="32" t="n">
        <v>30000</v>
      </c>
      <c r="U11" s="32" t="n">
        <v>30000</v>
      </c>
      <c r="V11" s="32" t="n">
        <v>30000</v>
      </c>
      <c r="W11" s="32" t="n">
        <v>30000</v>
      </c>
      <c r="X11" s="32" t="n">
        <v>28000</v>
      </c>
      <c r="Y11" s="32" t="n">
        <v>28000</v>
      </c>
      <c r="Z11" s="32" t="n">
        <v>28000</v>
      </c>
      <c r="AA11" s="13" t="n">
        <f aca="false">IFERROR(AVERAGEIF(D11:G11,"&lt;&gt;0"),"")</f>
        <v>25500</v>
      </c>
      <c r="AB11" s="13" t="n">
        <f aca="false">IFERROR(AVERAGEIF(H11:L11,"&lt;&gt;0"),"")</f>
        <v>30600</v>
      </c>
      <c r="AC11" s="13" t="n">
        <f aca="false">IFERROR(AVERAGEIF(M11:Q11,"&lt;&gt;0"),"")</f>
        <v>30200</v>
      </c>
      <c r="AD11" s="13" t="n">
        <f aca="false">IFERROR(AVERAGEIF(R11:V11,"&lt;&gt;0"),"")</f>
        <v>30000</v>
      </c>
      <c r="AE11" s="13" t="n">
        <f aca="false">IFERROR(AVERAGEIF(W11:Z11,"&lt;&gt;0"),"")</f>
        <v>28500</v>
      </c>
      <c r="AF11" s="13" t="n">
        <f aca="false">IFERROR(AVERAGEIF(D11:Z11,"&lt;&gt;0"),"")</f>
        <v>29130.4347826087</v>
      </c>
    </row>
    <row r="12" customFormat="false" ht="15" hidden="false" customHeight="false" outlineLevel="0" collapsed="false">
      <c r="A12" s="3" t="n">
        <v>8</v>
      </c>
      <c r="B12" s="3" t="s">
        <v>423</v>
      </c>
      <c r="C12" s="3" t="s">
        <v>471</v>
      </c>
      <c r="D12" s="32" t="n">
        <v>22000</v>
      </c>
      <c r="E12" s="32" t="n">
        <v>22000</v>
      </c>
      <c r="F12" s="32" t="n">
        <v>22000</v>
      </c>
      <c r="G12" s="32" t="n">
        <v>24000</v>
      </c>
      <c r="H12" s="32" t="n">
        <v>26000</v>
      </c>
      <c r="I12" s="32" t="n">
        <v>26000</v>
      </c>
      <c r="J12" s="32" t="n">
        <v>27000</v>
      </c>
      <c r="K12" s="32" t="n">
        <v>27000</v>
      </c>
      <c r="L12" s="32" t="n">
        <v>27000</v>
      </c>
      <c r="M12" s="32" t="n">
        <v>27000</v>
      </c>
      <c r="N12" s="32" t="n">
        <v>26000</v>
      </c>
      <c r="O12" s="32" t="n">
        <v>26000</v>
      </c>
      <c r="P12" s="32" t="n">
        <v>26000</v>
      </c>
      <c r="Q12" s="32" t="n">
        <v>26000</v>
      </c>
      <c r="R12" s="32" t="n">
        <v>28000</v>
      </c>
      <c r="S12" s="32" t="n">
        <v>28000</v>
      </c>
      <c r="T12" s="32" t="n">
        <v>28000</v>
      </c>
      <c r="U12" s="32" t="n">
        <v>28000</v>
      </c>
      <c r="V12" s="32" t="n">
        <v>28000</v>
      </c>
      <c r="W12" s="32" t="n">
        <v>28000</v>
      </c>
      <c r="X12" s="32" t="n">
        <v>28000</v>
      </c>
      <c r="Y12" s="32" t="n">
        <v>28000</v>
      </c>
      <c r="Z12" s="32" t="n">
        <v>28000</v>
      </c>
      <c r="AA12" s="13" t="n">
        <f aca="false">IFERROR(AVERAGEIF(D12:G12,"&lt;&gt;0"),"")</f>
        <v>22500</v>
      </c>
      <c r="AB12" s="13" t="n">
        <f aca="false">IFERROR(AVERAGEIF(H12:L12,"&lt;&gt;0"),"")</f>
        <v>26600</v>
      </c>
      <c r="AC12" s="13" t="n">
        <f aca="false">IFERROR(AVERAGEIF(M12:Q12,"&lt;&gt;0"),"")</f>
        <v>26200</v>
      </c>
      <c r="AD12" s="13" t="n">
        <f aca="false">IFERROR(AVERAGEIF(R12:V12,"&lt;&gt;0"),"")</f>
        <v>28000</v>
      </c>
      <c r="AE12" s="13" t="n">
        <f aca="false">IFERROR(AVERAGEIF(W12:Z12,"&lt;&gt;0"),"")</f>
        <v>28000</v>
      </c>
      <c r="AF12" s="13" t="n">
        <f aca="false">IFERROR(AVERAGEIF(D12:Z12,"&lt;&gt;0"),"")</f>
        <v>26347.8260869565</v>
      </c>
    </row>
    <row r="13" customFormat="false" ht="15" hidden="false" customHeight="false" outlineLevel="0" collapsed="false">
      <c r="A13" s="3" t="n">
        <v>9</v>
      </c>
      <c r="B13" s="3" t="s">
        <v>420</v>
      </c>
      <c r="C13" s="3" t="s">
        <v>471</v>
      </c>
      <c r="D13" s="32" t="n">
        <v>16000</v>
      </c>
      <c r="E13" s="32" t="n">
        <v>16000</v>
      </c>
      <c r="F13" s="32" t="n">
        <v>16000</v>
      </c>
      <c r="G13" s="32" t="n">
        <v>16000</v>
      </c>
      <c r="H13" s="32" t="n">
        <v>16000</v>
      </c>
      <c r="I13" s="32" t="n">
        <v>16000</v>
      </c>
      <c r="J13" s="32" t="n">
        <v>16000</v>
      </c>
      <c r="K13" s="32" t="n">
        <v>16000</v>
      </c>
      <c r="L13" s="32" t="n">
        <v>16000</v>
      </c>
      <c r="M13" s="32" t="n">
        <v>16000</v>
      </c>
      <c r="N13" s="32" t="n">
        <v>16000</v>
      </c>
      <c r="O13" s="32" t="n">
        <v>16000</v>
      </c>
      <c r="P13" s="32" t="n">
        <v>16000</v>
      </c>
      <c r="Q13" s="32" t="n">
        <v>16000</v>
      </c>
      <c r="R13" s="32" t="n">
        <v>16000</v>
      </c>
      <c r="S13" s="32" t="n">
        <v>16000</v>
      </c>
      <c r="T13" s="32" t="n">
        <v>16000</v>
      </c>
      <c r="U13" s="32" t="n">
        <v>16000</v>
      </c>
      <c r="V13" s="32" t="n">
        <v>16000</v>
      </c>
      <c r="W13" s="32" t="n">
        <v>16000</v>
      </c>
      <c r="X13" s="32" t="n">
        <v>16000</v>
      </c>
      <c r="Y13" s="32" t="n">
        <v>16000</v>
      </c>
      <c r="Z13" s="32" t="n">
        <v>16000</v>
      </c>
      <c r="AA13" s="13" t="n">
        <f aca="false">IFERROR(AVERAGEIF(D13:G13,"&lt;&gt;0"),"")</f>
        <v>16000</v>
      </c>
      <c r="AB13" s="13" t="n">
        <f aca="false">IFERROR(AVERAGEIF(H13:L13,"&lt;&gt;0"),"")</f>
        <v>16000</v>
      </c>
      <c r="AC13" s="13" t="n">
        <f aca="false">IFERROR(AVERAGEIF(M13:Q13,"&lt;&gt;0"),"")</f>
        <v>16000</v>
      </c>
      <c r="AD13" s="13" t="n">
        <f aca="false">IFERROR(AVERAGEIF(R13:V13,"&lt;&gt;0"),"")</f>
        <v>16000</v>
      </c>
      <c r="AE13" s="13" t="n">
        <f aca="false">IFERROR(AVERAGEIF(W13:Z13,"&lt;&gt;0"),"")</f>
        <v>16000</v>
      </c>
      <c r="AF13" s="13" t="n">
        <f aca="false">IFERROR(AVERAGEIF(D13:Z13,"&lt;&gt;0"),"")</f>
        <v>16000</v>
      </c>
    </row>
    <row r="14" customFormat="false" ht="15" hidden="false" customHeight="false" outlineLevel="0" collapsed="false">
      <c r="A14" s="3" t="n">
        <v>10</v>
      </c>
      <c r="B14" s="3" t="s">
        <v>413</v>
      </c>
      <c r="C14" s="3" t="s">
        <v>471</v>
      </c>
      <c r="D14" s="32" t="n">
        <v>15000</v>
      </c>
      <c r="E14" s="32" t="n">
        <v>15000</v>
      </c>
      <c r="F14" s="32" t="n">
        <v>15000</v>
      </c>
      <c r="G14" s="32" t="n">
        <v>15000</v>
      </c>
      <c r="H14" s="32" t="n">
        <v>15000</v>
      </c>
      <c r="I14" s="32" t="n">
        <v>15000</v>
      </c>
      <c r="J14" s="32" t="n">
        <v>15000</v>
      </c>
      <c r="K14" s="32" t="n">
        <v>15000</v>
      </c>
      <c r="L14" s="32" t="n">
        <v>15000</v>
      </c>
      <c r="M14" s="32" t="n">
        <v>15000</v>
      </c>
      <c r="N14" s="32" t="n">
        <v>15000</v>
      </c>
      <c r="O14" s="32" t="n">
        <v>15000</v>
      </c>
      <c r="P14" s="32" t="n">
        <v>15000</v>
      </c>
      <c r="Q14" s="32" t="n">
        <v>15000</v>
      </c>
      <c r="R14" s="32" t="n">
        <v>15000</v>
      </c>
      <c r="S14" s="32" t="n">
        <v>15000</v>
      </c>
      <c r="T14" s="32" t="n">
        <v>15000</v>
      </c>
      <c r="U14" s="32" t="n">
        <v>15000</v>
      </c>
      <c r="V14" s="32" t="n">
        <v>15000</v>
      </c>
      <c r="W14" s="32" t="n">
        <v>15000</v>
      </c>
      <c r="X14" s="32" t="n">
        <v>15000</v>
      </c>
      <c r="Y14" s="32" t="n">
        <v>15000</v>
      </c>
      <c r="Z14" s="32" t="n">
        <v>15000</v>
      </c>
      <c r="AA14" s="13" t="n">
        <f aca="false">IFERROR(AVERAGEIF(D14:G14,"&lt;&gt;0"),"")</f>
        <v>15000</v>
      </c>
      <c r="AB14" s="13" t="n">
        <f aca="false">IFERROR(AVERAGEIF(H14:L14,"&lt;&gt;0"),"")</f>
        <v>15000</v>
      </c>
      <c r="AC14" s="13" t="n">
        <f aca="false">IFERROR(AVERAGEIF(M14:Q14,"&lt;&gt;0"),"")</f>
        <v>15000</v>
      </c>
      <c r="AD14" s="13" t="n">
        <f aca="false">IFERROR(AVERAGEIF(R14:V14,"&lt;&gt;0"),"")</f>
        <v>15000</v>
      </c>
      <c r="AE14" s="13" t="n">
        <f aca="false">IFERROR(AVERAGEIF(W14:Z14,"&lt;&gt;0"),"")</f>
        <v>15000</v>
      </c>
      <c r="AF14" s="13" t="n">
        <f aca="false">IFERROR(AVERAGEIF(D14:Z14,"&lt;&gt;0"),"")</f>
        <v>15000</v>
      </c>
    </row>
    <row r="15" customFormat="false" ht="15" hidden="false" customHeight="false" outlineLevel="0" collapsed="false">
      <c r="A15" s="3" t="n">
        <v>11</v>
      </c>
      <c r="B15" s="3" t="s">
        <v>414</v>
      </c>
      <c r="C15" s="3" t="s">
        <v>471</v>
      </c>
      <c r="D15" s="32" t="n">
        <v>18000</v>
      </c>
      <c r="E15" s="32" t="n">
        <v>18000</v>
      </c>
      <c r="F15" s="32" t="n">
        <v>18000</v>
      </c>
      <c r="G15" s="32" t="n">
        <v>18000</v>
      </c>
      <c r="H15" s="32" t="n">
        <v>18000</v>
      </c>
      <c r="I15" s="32" t="n">
        <v>18000</v>
      </c>
      <c r="J15" s="32" t="n">
        <v>18000</v>
      </c>
      <c r="K15" s="32" t="n">
        <v>18000</v>
      </c>
      <c r="L15" s="32" t="n">
        <v>18000</v>
      </c>
      <c r="M15" s="32" t="n">
        <v>18000</v>
      </c>
      <c r="N15" s="32" t="n">
        <v>18000</v>
      </c>
      <c r="O15" s="32" t="n">
        <v>18000</v>
      </c>
      <c r="P15" s="32" t="n">
        <v>18000</v>
      </c>
      <c r="Q15" s="32" t="n">
        <v>18000</v>
      </c>
      <c r="R15" s="32" t="n">
        <v>18000</v>
      </c>
      <c r="S15" s="32" t="n">
        <v>18000</v>
      </c>
      <c r="T15" s="32" t="n">
        <v>18000</v>
      </c>
      <c r="U15" s="32" t="n">
        <v>18000</v>
      </c>
      <c r="V15" s="32" t="n">
        <v>18000</v>
      </c>
      <c r="W15" s="32" t="n">
        <v>18000</v>
      </c>
      <c r="X15" s="32" t="n">
        <v>18000</v>
      </c>
      <c r="Y15" s="32" t="n">
        <v>18000</v>
      </c>
      <c r="Z15" s="32" t="n">
        <v>18000</v>
      </c>
      <c r="AA15" s="13" t="n">
        <f aca="false">IFERROR(AVERAGEIF(D15:G15,"&lt;&gt;0"),"")</f>
        <v>18000</v>
      </c>
      <c r="AB15" s="13" t="n">
        <f aca="false">IFERROR(AVERAGEIF(H15:L15,"&lt;&gt;0"),"")</f>
        <v>18000</v>
      </c>
      <c r="AC15" s="13" t="n">
        <f aca="false">IFERROR(AVERAGEIF(M15:Q15,"&lt;&gt;0"),"")</f>
        <v>18000</v>
      </c>
      <c r="AD15" s="13" t="n">
        <f aca="false">IFERROR(AVERAGEIF(R15:V15,"&lt;&gt;0"),"")</f>
        <v>18000</v>
      </c>
      <c r="AE15" s="13" t="n">
        <f aca="false">IFERROR(AVERAGEIF(W15:Z15,"&lt;&gt;0"),"")</f>
        <v>18000</v>
      </c>
      <c r="AF15" s="13" t="n">
        <f aca="false">IFERROR(AVERAGEIF(D15:Z15,"&lt;&gt;0"),"")</f>
        <v>18000</v>
      </c>
    </row>
    <row r="16" customFormat="false" ht="15" hidden="false" customHeight="false" outlineLevel="0" collapsed="false">
      <c r="A16" s="3" t="n">
        <v>12</v>
      </c>
      <c r="B16" s="3" t="s">
        <v>415</v>
      </c>
      <c r="C16" s="3" t="s">
        <v>471</v>
      </c>
      <c r="D16" s="32" t="n">
        <v>15700</v>
      </c>
      <c r="E16" s="32" t="n">
        <v>15700</v>
      </c>
      <c r="F16" s="32" t="n">
        <v>15700</v>
      </c>
      <c r="G16" s="32" t="n">
        <v>15700</v>
      </c>
      <c r="H16" s="32" t="n">
        <v>15700</v>
      </c>
      <c r="I16" s="32" t="n">
        <v>15700</v>
      </c>
      <c r="J16" s="32" t="n">
        <v>15700</v>
      </c>
      <c r="K16" s="32" t="n">
        <v>15700</v>
      </c>
      <c r="L16" s="32" t="n">
        <v>15700</v>
      </c>
      <c r="M16" s="32" t="n">
        <v>15700</v>
      </c>
      <c r="N16" s="32" t="n">
        <v>15700</v>
      </c>
      <c r="O16" s="32" t="n">
        <v>15700</v>
      </c>
      <c r="P16" s="32" t="n">
        <v>15700</v>
      </c>
      <c r="Q16" s="32" t="n">
        <v>15700</v>
      </c>
      <c r="R16" s="32" t="n">
        <v>15700</v>
      </c>
      <c r="S16" s="32" t="n">
        <v>15700</v>
      </c>
      <c r="T16" s="32" t="n">
        <v>15700</v>
      </c>
      <c r="U16" s="32" t="n">
        <v>15700</v>
      </c>
      <c r="V16" s="32" t="n">
        <v>15700</v>
      </c>
      <c r="W16" s="32" t="n">
        <v>15700</v>
      </c>
      <c r="X16" s="32" t="n">
        <v>15700</v>
      </c>
      <c r="Y16" s="32" t="n">
        <v>15700</v>
      </c>
      <c r="Z16" s="32" t="n">
        <v>15700</v>
      </c>
      <c r="AA16" s="13" t="n">
        <f aca="false">IFERROR(AVERAGEIF(D16:G16,"&lt;&gt;0"),"")</f>
        <v>15700</v>
      </c>
      <c r="AB16" s="13" t="n">
        <f aca="false">IFERROR(AVERAGEIF(H16:L16,"&lt;&gt;0"),"")</f>
        <v>15700</v>
      </c>
      <c r="AC16" s="13" t="n">
        <f aca="false">IFERROR(AVERAGEIF(M16:Q16,"&lt;&gt;0"),"")</f>
        <v>15700</v>
      </c>
      <c r="AD16" s="13" t="n">
        <f aca="false">IFERROR(AVERAGEIF(R16:V16,"&lt;&gt;0"),"")</f>
        <v>15700</v>
      </c>
      <c r="AE16" s="13" t="n">
        <f aca="false">IFERROR(AVERAGEIF(W16:Z16,"&lt;&gt;0"),"")</f>
        <v>15700</v>
      </c>
      <c r="AF16" s="13" t="n">
        <f aca="false">IFERROR(AVERAGEIF(D16:Z16,"&lt;&gt;0"),"")</f>
        <v>15700</v>
      </c>
    </row>
    <row r="17" customFormat="false" ht="15" hidden="false" customHeight="false" outlineLevel="0" collapsed="false">
      <c r="A17" s="3" t="n">
        <v>13</v>
      </c>
      <c r="B17" s="3" t="s">
        <v>410</v>
      </c>
      <c r="C17" s="3" t="s">
        <v>471</v>
      </c>
      <c r="D17" s="32" t="n">
        <v>11500</v>
      </c>
      <c r="E17" s="32" t="n">
        <v>11500</v>
      </c>
      <c r="F17" s="32" t="n">
        <v>11500</v>
      </c>
      <c r="G17" s="32" t="n">
        <v>11500</v>
      </c>
      <c r="H17" s="32" t="n">
        <v>11500</v>
      </c>
      <c r="I17" s="32" t="n">
        <v>11500</v>
      </c>
      <c r="J17" s="32" t="n">
        <v>11500</v>
      </c>
      <c r="K17" s="32" t="n">
        <v>11500</v>
      </c>
      <c r="L17" s="32" t="n">
        <v>11500</v>
      </c>
      <c r="M17" s="32" t="n">
        <v>11500</v>
      </c>
      <c r="N17" s="32" t="n">
        <v>11500</v>
      </c>
      <c r="O17" s="32" t="n">
        <v>11500</v>
      </c>
      <c r="P17" s="32" t="n">
        <v>11500</v>
      </c>
      <c r="Q17" s="32" t="n">
        <v>11500</v>
      </c>
      <c r="R17" s="32" t="n">
        <v>11500</v>
      </c>
      <c r="S17" s="32" t="n">
        <v>11500</v>
      </c>
      <c r="T17" s="32" t="n">
        <v>11500</v>
      </c>
      <c r="U17" s="32" t="n">
        <v>11500</v>
      </c>
      <c r="V17" s="32" t="n">
        <v>11500</v>
      </c>
      <c r="W17" s="32" t="n">
        <v>11500</v>
      </c>
      <c r="X17" s="32" t="n">
        <v>11500</v>
      </c>
      <c r="Y17" s="32" t="n">
        <v>11500</v>
      </c>
      <c r="Z17" s="32" t="n">
        <v>11500</v>
      </c>
      <c r="AA17" s="13" t="n">
        <f aca="false">IFERROR(AVERAGEIF(D17:G17,"&lt;&gt;0"),"")</f>
        <v>11500</v>
      </c>
      <c r="AB17" s="13" t="n">
        <f aca="false">IFERROR(AVERAGEIF(H17:L17,"&lt;&gt;0"),"")</f>
        <v>11500</v>
      </c>
      <c r="AC17" s="13" t="n">
        <f aca="false">IFERROR(AVERAGEIF(M17:Q17,"&lt;&gt;0"),"")</f>
        <v>11500</v>
      </c>
      <c r="AD17" s="13" t="n">
        <f aca="false">IFERROR(AVERAGEIF(R17:V17,"&lt;&gt;0"),"")</f>
        <v>11500</v>
      </c>
      <c r="AE17" s="13" t="n">
        <f aca="false">IFERROR(AVERAGEIF(W17:Z17,"&lt;&gt;0"),"")</f>
        <v>11500</v>
      </c>
      <c r="AF17" s="13" t="n">
        <f aca="false">IFERROR(AVERAGEIF(D17:Z17,"&lt;&gt;0"),"")</f>
        <v>11500</v>
      </c>
    </row>
    <row r="18" customFormat="false" ht="15" hidden="false" customHeight="false" outlineLevel="0" collapsed="false">
      <c r="A18" s="3" t="n">
        <v>14</v>
      </c>
      <c r="B18" s="3" t="s">
        <v>412</v>
      </c>
      <c r="C18" s="3" t="s">
        <v>471</v>
      </c>
      <c r="D18" s="32" t="n">
        <v>23000</v>
      </c>
      <c r="E18" s="32" t="n">
        <v>23000</v>
      </c>
      <c r="F18" s="32" t="n">
        <v>28000</v>
      </c>
      <c r="G18" s="32" t="n">
        <v>30000</v>
      </c>
      <c r="H18" s="32" t="n">
        <v>30000</v>
      </c>
      <c r="I18" s="32" t="n">
        <v>30000</v>
      </c>
      <c r="J18" s="32" t="n">
        <v>30000</v>
      </c>
      <c r="K18" s="32" t="n">
        <v>30000</v>
      </c>
      <c r="L18" s="32" t="n">
        <v>30000</v>
      </c>
      <c r="M18" s="32" t="n">
        <v>30000</v>
      </c>
      <c r="N18" s="32" t="n">
        <v>29000</v>
      </c>
      <c r="O18" s="32" t="n">
        <v>29000</v>
      </c>
      <c r="P18" s="32" t="n">
        <v>29000</v>
      </c>
      <c r="Q18" s="32" t="n">
        <v>29000</v>
      </c>
      <c r="R18" s="32" t="n">
        <v>30000</v>
      </c>
      <c r="S18" s="32" t="n">
        <v>30000</v>
      </c>
      <c r="T18" s="32" t="n">
        <v>30000</v>
      </c>
      <c r="U18" s="32" t="n">
        <v>30000</v>
      </c>
      <c r="V18" s="32" t="n">
        <v>30000</v>
      </c>
      <c r="W18" s="32" t="n">
        <v>30000</v>
      </c>
      <c r="X18" s="32" t="n">
        <v>29000</v>
      </c>
      <c r="Y18" s="32" t="n">
        <v>29000</v>
      </c>
      <c r="Z18" s="32" t="n">
        <v>29000</v>
      </c>
      <c r="AA18" s="13" t="n">
        <f aca="false">IFERROR(AVERAGEIF(D18:G18,"&lt;&gt;0"),"")</f>
        <v>26000</v>
      </c>
      <c r="AB18" s="13" t="n">
        <f aca="false">IFERROR(AVERAGEIF(H18:L18,"&lt;&gt;0"),"")</f>
        <v>30000</v>
      </c>
      <c r="AC18" s="13" t="n">
        <f aca="false">IFERROR(AVERAGEIF(M18:Q18,"&lt;&gt;0"),"")</f>
        <v>29200</v>
      </c>
      <c r="AD18" s="13" t="n">
        <f aca="false">IFERROR(AVERAGEIF(R18:V18,"&lt;&gt;0"),"")</f>
        <v>30000</v>
      </c>
      <c r="AE18" s="13" t="n">
        <f aca="false">IFERROR(AVERAGEIF(W18:Z18,"&lt;&gt;0"),"")</f>
        <v>29250</v>
      </c>
      <c r="AF18" s="13" t="n">
        <f aca="false">IFERROR(AVERAGEIF(D18:Z18,"&lt;&gt;0"),"")</f>
        <v>29000</v>
      </c>
    </row>
    <row r="19" customFormat="false" ht="15" hidden="false" customHeight="false" outlineLevel="0" collapsed="false">
      <c r="A19" s="3" t="n">
        <v>15</v>
      </c>
      <c r="B19" s="3" t="s">
        <v>419</v>
      </c>
      <c r="C19" s="3" t="s">
        <v>471</v>
      </c>
      <c r="D19" s="32" t="n">
        <v>23000</v>
      </c>
      <c r="E19" s="32" t="n">
        <v>23000</v>
      </c>
      <c r="F19" s="32" t="n">
        <v>23000</v>
      </c>
      <c r="G19" s="32" t="n">
        <v>24000</v>
      </c>
      <c r="H19" s="32" t="n">
        <v>24000</v>
      </c>
      <c r="I19" s="32" t="n">
        <v>24000</v>
      </c>
      <c r="J19" s="32" t="n">
        <v>24000</v>
      </c>
      <c r="K19" s="32" t="n">
        <v>25000</v>
      </c>
      <c r="L19" s="32" t="n">
        <v>25000</v>
      </c>
      <c r="M19" s="32" t="n">
        <v>25000</v>
      </c>
      <c r="N19" s="32" t="n">
        <v>24000</v>
      </c>
      <c r="O19" s="32" t="n">
        <v>24000</v>
      </c>
      <c r="P19" s="32" t="n">
        <v>24000</v>
      </c>
      <c r="Q19" s="32" t="n">
        <v>24000</v>
      </c>
      <c r="R19" s="32" t="n">
        <v>25000</v>
      </c>
      <c r="S19" s="32" t="n">
        <v>25000</v>
      </c>
      <c r="T19" s="32" t="n">
        <v>25000</v>
      </c>
      <c r="U19" s="32" t="n">
        <v>25000</v>
      </c>
      <c r="V19" s="32" t="n">
        <v>25000</v>
      </c>
      <c r="W19" s="32" t="n">
        <v>25000</v>
      </c>
      <c r="X19" s="32" t="n">
        <v>23500</v>
      </c>
      <c r="Y19" s="32" t="n">
        <v>23500</v>
      </c>
      <c r="Z19" s="32" t="n">
        <v>23500</v>
      </c>
      <c r="AA19" s="13" t="n">
        <f aca="false">IFERROR(AVERAGEIF(D19:G19,"&lt;&gt;0"),"")</f>
        <v>23250</v>
      </c>
      <c r="AB19" s="13" t="n">
        <f aca="false">IFERROR(AVERAGEIF(H19:L19,"&lt;&gt;0"),"")</f>
        <v>24400</v>
      </c>
      <c r="AC19" s="13" t="n">
        <f aca="false">IFERROR(AVERAGEIF(M19:Q19,"&lt;&gt;0"),"")</f>
        <v>24200</v>
      </c>
      <c r="AD19" s="13" t="n">
        <f aca="false">IFERROR(AVERAGEIF(R19:V19,"&lt;&gt;0"),"")</f>
        <v>25000</v>
      </c>
      <c r="AE19" s="13" t="n">
        <f aca="false">IFERROR(AVERAGEIF(W19:Z19,"&lt;&gt;0"),"")</f>
        <v>23875</v>
      </c>
      <c r="AF19" s="13" t="n">
        <f aca="false">IFERROR(AVERAGEIF(D19:Z19,"&lt;&gt;0"),"")</f>
        <v>24195.652173913</v>
      </c>
    </row>
    <row r="20" customFormat="false" ht="15" hidden="false" customHeight="false" outlineLevel="0" collapsed="false">
      <c r="A20" s="3" t="n">
        <v>16</v>
      </c>
      <c r="B20" s="3" t="s">
        <v>430</v>
      </c>
      <c r="C20" s="3" t="s">
        <v>471</v>
      </c>
      <c r="D20" s="32" t="n">
        <v>90000</v>
      </c>
      <c r="E20" s="32" t="n">
        <v>90000</v>
      </c>
      <c r="F20" s="32" t="n">
        <v>95000</v>
      </c>
      <c r="G20" s="32" t="n">
        <v>95000</v>
      </c>
      <c r="H20" s="32" t="n">
        <v>100000</v>
      </c>
      <c r="I20" s="32" t="n">
        <v>100000</v>
      </c>
      <c r="J20" s="32" t="n">
        <v>100000</v>
      </c>
      <c r="K20" s="32" t="n">
        <v>100000</v>
      </c>
      <c r="L20" s="32" t="n">
        <v>100000</v>
      </c>
      <c r="M20" s="32" t="n">
        <v>100000</v>
      </c>
      <c r="N20" s="32" t="n">
        <v>95000</v>
      </c>
      <c r="O20" s="32" t="n">
        <v>95000</v>
      </c>
      <c r="P20" s="32" t="n">
        <v>95000</v>
      </c>
      <c r="Q20" s="32" t="n">
        <v>95000</v>
      </c>
      <c r="R20" s="32" t="n">
        <v>95000</v>
      </c>
      <c r="S20" s="32" t="n">
        <v>95000</v>
      </c>
      <c r="T20" s="32" t="n">
        <v>95000</v>
      </c>
      <c r="U20" s="32" t="n">
        <v>95000</v>
      </c>
      <c r="V20" s="32" t="n">
        <v>95000</v>
      </c>
      <c r="W20" s="32" t="n">
        <v>95000</v>
      </c>
      <c r="X20" s="32" t="n">
        <v>95000</v>
      </c>
      <c r="Y20" s="32" t="n">
        <v>93000</v>
      </c>
      <c r="Z20" s="32" t="n">
        <v>93000</v>
      </c>
      <c r="AA20" s="13" t="n">
        <f aca="false">IFERROR(AVERAGEIF(D20:G20,"&lt;&gt;0"),"")</f>
        <v>92500</v>
      </c>
      <c r="AB20" s="13" t="n">
        <f aca="false">IFERROR(AVERAGEIF(H20:L20,"&lt;&gt;0"),"")</f>
        <v>100000</v>
      </c>
      <c r="AC20" s="13" t="n">
        <f aca="false">IFERROR(AVERAGEIF(M20:Q20,"&lt;&gt;0"),"")</f>
        <v>96000</v>
      </c>
      <c r="AD20" s="13" t="n">
        <f aca="false">IFERROR(AVERAGEIF(R20:V20,"&lt;&gt;0"),"")</f>
        <v>95000</v>
      </c>
      <c r="AE20" s="13" t="n">
        <f aca="false">IFERROR(AVERAGEIF(W20:Z20,"&lt;&gt;0"),"")</f>
        <v>94000</v>
      </c>
      <c r="AF20" s="13" t="n">
        <f aca="false">IFERROR(AVERAGEIF(D20:Z20,"&lt;&gt;0"),"")</f>
        <v>95695.652173913</v>
      </c>
    </row>
    <row r="21" customFormat="false" ht="15" hidden="false" customHeight="false" outlineLevel="0" collapsed="false">
      <c r="A21" s="3" t="n">
        <v>17</v>
      </c>
      <c r="B21" s="3" t="s">
        <v>431</v>
      </c>
      <c r="C21" s="3" t="s">
        <v>471</v>
      </c>
      <c r="D21" s="32" t="n">
        <v>60000</v>
      </c>
      <c r="E21" s="32" t="n">
        <v>60000</v>
      </c>
      <c r="F21" s="32" t="n">
        <v>60000</v>
      </c>
      <c r="G21" s="32" t="n">
        <v>60000</v>
      </c>
      <c r="H21" s="32" t="n">
        <v>60000</v>
      </c>
      <c r="I21" s="32" t="n">
        <v>60000</v>
      </c>
      <c r="J21" s="32" t="n">
        <v>60000</v>
      </c>
      <c r="K21" s="32" t="n">
        <v>60000</v>
      </c>
      <c r="L21" s="32" t="n">
        <v>60000</v>
      </c>
      <c r="M21" s="32" t="n">
        <v>60000</v>
      </c>
      <c r="N21" s="32" t="n">
        <v>60000</v>
      </c>
      <c r="O21" s="32" t="n">
        <v>60000</v>
      </c>
      <c r="P21" s="32" t="n">
        <v>60000</v>
      </c>
      <c r="Q21" s="32" t="n">
        <v>60000</v>
      </c>
      <c r="R21" s="32" t="n">
        <v>60000</v>
      </c>
      <c r="S21" s="32" t="n">
        <v>60000</v>
      </c>
      <c r="T21" s="32" t="n">
        <v>60000</v>
      </c>
      <c r="U21" s="32" t="n">
        <v>60000</v>
      </c>
      <c r="V21" s="32" t="n">
        <v>60000</v>
      </c>
      <c r="W21" s="32" t="n">
        <v>60000</v>
      </c>
      <c r="X21" s="32" t="n">
        <v>60000</v>
      </c>
      <c r="Y21" s="32" t="n">
        <v>60000</v>
      </c>
      <c r="Z21" s="32" t="n">
        <v>60000</v>
      </c>
      <c r="AA21" s="13" t="n">
        <f aca="false">IFERROR(AVERAGEIF(D21:G21,"&lt;&gt;0"),"")</f>
        <v>60000</v>
      </c>
      <c r="AB21" s="13" t="n">
        <f aca="false">IFERROR(AVERAGEIF(H21:L21,"&lt;&gt;0"),"")</f>
        <v>60000</v>
      </c>
      <c r="AC21" s="13" t="n">
        <f aca="false">IFERROR(AVERAGEIF(M21:Q21,"&lt;&gt;0"),"")</f>
        <v>60000</v>
      </c>
      <c r="AD21" s="13" t="n">
        <f aca="false">IFERROR(AVERAGEIF(R21:V21,"&lt;&gt;0"),"")</f>
        <v>60000</v>
      </c>
      <c r="AE21" s="13" t="n">
        <f aca="false">IFERROR(AVERAGEIF(W21:Z21,"&lt;&gt;0"),"")</f>
        <v>60000</v>
      </c>
      <c r="AF21" s="13" t="n">
        <f aca="false">IFERROR(AVERAGEIF(D21:Z21,"&lt;&gt;0"),"")</f>
        <v>60000</v>
      </c>
    </row>
    <row r="22" customFormat="false" ht="15" hidden="false" customHeight="false" outlineLevel="0" collapsed="false">
      <c r="A22" s="3" t="n">
        <v>18</v>
      </c>
      <c r="B22" s="3" t="s">
        <v>432</v>
      </c>
      <c r="C22" s="3" t="s">
        <v>471</v>
      </c>
      <c r="D22" s="32" t="n">
        <v>55000</v>
      </c>
      <c r="E22" s="32" t="n">
        <v>55000</v>
      </c>
      <c r="F22" s="32" t="n">
        <v>55000</v>
      </c>
      <c r="G22" s="32" t="n">
        <v>55000</v>
      </c>
      <c r="H22" s="32" t="n">
        <v>55000</v>
      </c>
      <c r="I22" s="32" t="n">
        <v>55000</v>
      </c>
      <c r="J22" s="32" t="n">
        <v>55000</v>
      </c>
      <c r="K22" s="32" t="n">
        <v>55000</v>
      </c>
      <c r="L22" s="32" t="n">
        <v>55000</v>
      </c>
      <c r="M22" s="32" t="n">
        <v>55000</v>
      </c>
      <c r="N22" s="32" t="n">
        <v>55000</v>
      </c>
      <c r="O22" s="32" t="n">
        <v>55000</v>
      </c>
      <c r="P22" s="32" t="n">
        <v>55000</v>
      </c>
      <c r="Q22" s="32" t="n">
        <v>55000</v>
      </c>
      <c r="R22" s="32" t="n">
        <v>55000</v>
      </c>
      <c r="S22" s="32" t="n">
        <v>55000</v>
      </c>
      <c r="T22" s="32" t="n">
        <v>55000</v>
      </c>
      <c r="U22" s="32" t="n">
        <v>55000</v>
      </c>
      <c r="V22" s="32" t="n">
        <v>55000</v>
      </c>
      <c r="W22" s="32" t="n">
        <v>55000</v>
      </c>
      <c r="X22" s="32" t="n">
        <v>55000</v>
      </c>
      <c r="Y22" s="32" t="n">
        <v>55000</v>
      </c>
      <c r="Z22" s="32" t="n">
        <v>55000</v>
      </c>
      <c r="AA22" s="13" t="n">
        <f aca="false">IFERROR(AVERAGEIF(D22:G22,"&lt;&gt;0"),"")</f>
        <v>55000</v>
      </c>
      <c r="AB22" s="13" t="n">
        <f aca="false">IFERROR(AVERAGEIF(H22:L22,"&lt;&gt;0"),"")</f>
        <v>55000</v>
      </c>
      <c r="AC22" s="13" t="n">
        <f aca="false">IFERROR(AVERAGEIF(M22:Q22,"&lt;&gt;0"),"")</f>
        <v>55000</v>
      </c>
      <c r="AD22" s="13" t="n">
        <f aca="false">IFERROR(AVERAGEIF(R22:V22,"&lt;&gt;0"),"")</f>
        <v>55000</v>
      </c>
      <c r="AE22" s="13" t="n">
        <f aca="false">IFERROR(AVERAGEIF(W22:Z22,"&lt;&gt;0"),"")</f>
        <v>55000</v>
      </c>
      <c r="AF22" s="13" t="n">
        <f aca="false">IFERROR(AVERAGEIF(D22:Z22,"&lt;&gt;0"),"")</f>
        <v>55000</v>
      </c>
    </row>
    <row r="23" customFormat="false" ht="15" hidden="false" customHeight="false" outlineLevel="0" collapsed="false">
      <c r="A23" s="3" t="n">
        <v>19</v>
      </c>
      <c r="B23" s="3" t="s">
        <v>473</v>
      </c>
      <c r="C23" s="3" t="s">
        <v>471</v>
      </c>
      <c r="D23" s="32" t="n">
        <v>30000</v>
      </c>
      <c r="E23" s="32" t="n">
        <v>30000</v>
      </c>
      <c r="F23" s="32" t="n">
        <v>30000</v>
      </c>
      <c r="G23" s="32" t="n">
        <v>30000</v>
      </c>
      <c r="H23" s="32" t="n">
        <v>30000</v>
      </c>
      <c r="I23" s="32" t="n">
        <v>30000</v>
      </c>
      <c r="J23" s="32" t="n">
        <v>30000</v>
      </c>
      <c r="K23" s="32" t="n">
        <v>30000</v>
      </c>
      <c r="L23" s="32" t="n">
        <v>30000</v>
      </c>
      <c r="M23" s="32" t="n">
        <v>30000</v>
      </c>
      <c r="N23" s="32" t="n">
        <v>30000</v>
      </c>
      <c r="O23" s="32" t="n">
        <v>30000</v>
      </c>
      <c r="P23" s="32" t="n">
        <v>30000</v>
      </c>
      <c r="Q23" s="32" t="n">
        <v>30000</v>
      </c>
      <c r="R23" s="32" t="n">
        <v>30000</v>
      </c>
      <c r="S23" s="32" t="n">
        <v>30000</v>
      </c>
      <c r="T23" s="32" t="n">
        <v>30000</v>
      </c>
      <c r="U23" s="32" t="n">
        <v>30000</v>
      </c>
      <c r="V23" s="32" t="n">
        <v>30000</v>
      </c>
      <c r="W23" s="32" t="n">
        <v>30000</v>
      </c>
      <c r="X23" s="32" t="n">
        <v>30000</v>
      </c>
      <c r="Y23" s="32" t="n">
        <v>28000</v>
      </c>
      <c r="Z23" s="32" t="n">
        <v>28000</v>
      </c>
      <c r="AA23" s="13" t="n">
        <f aca="false">IFERROR(AVERAGEIF(D23:G23,"&lt;&gt;0"),"")</f>
        <v>30000</v>
      </c>
      <c r="AB23" s="13" t="n">
        <f aca="false">IFERROR(AVERAGEIF(H23:L23,"&lt;&gt;0"),"")</f>
        <v>30000</v>
      </c>
      <c r="AC23" s="13" t="n">
        <f aca="false">IFERROR(AVERAGEIF(M23:Q23,"&lt;&gt;0"),"")</f>
        <v>30000</v>
      </c>
      <c r="AD23" s="13" t="n">
        <f aca="false">IFERROR(AVERAGEIF(R23:V23,"&lt;&gt;0"),"")</f>
        <v>30000</v>
      </c>
      <c r="AE23" s="13" t="n">
        <f aca="false">IFERROR(AVERAGEIF(W23:Z23,"&lt;&gt;0"),"")</f>
        <v>29000</v>
      </c>
      <c r="AF23" s="13" t="n">
        <f aca="false">IFERROR(AVERAGEIF(D23:Z23,"&lt;&gt;0"),"")</f>
        <v>29826.0869565217</v>
      </c>
    </row>
    <row r="24" customFormat="false" ht="15" hidden="false" customHeight="false" outlineLevel="0" collapsed="false">
      <c r="A24" s="3" t="n">
        <v>20</v>
      </c>
      <c r="B24" s="3" t="s">
        <v>421</v>
      </c>
      <c r="C24" s="3" t="s">
        <v>471</v>
      </c>
      <c r="D24" s="32" t="n">
        <v>28000</v>
      </c>
      <c r="E24" s="32" t="n">
        <v>28000</v>
      </c>
      <c r="F24" s="32" t="n">
        <v>28000</v>
      </c>
      <c r="G24" s="32" t="n">
        <v>28000</v>
      </c>
      <c r="H24" s="32" t="n">
        <v>28000</v>
      </c>
      <c r="I24" s="32" t="n">
        <v>28000</v>
      </c>
      <c r="J24" s="32" t="n">
        <v>28000</v>
      </c>
      <c r="K24" s="32" t="n">
        <v>28000</v>
      </c>
      <c r="L24" s="32" t="n">
        <v>28000</v>
      </c>
      <c r="M24" s="32" t="n">
        <v>28000</v>
      </c>
      <c r="N24" s="32" t="n">
        <v>28000</v>
      </c>
      <c r="O24" s="32" t="n">
        <v>28000</v>
      </c>
      <c r="P24" s="32" t="n">
        <v>28000</v>
      </c>
      <c r="Q24" s="32" t="n">
        <v>28000</v>
      </c>
      <c r="R24" s="32" t="n">
        <v>28000</v>
      </c>
      <c r="S24" s="32" t="n">
        <v>28000</v>
      </c>
      <c r="T24" s="32" t="n">
        <v>28000</v>
      </c>
      <c r="U24" s="32" t="n">
        <v>28000</v>
      </c>
      <c r="V24" s="32" t="n">
        <v>28000</v>
      </c>
      <c r="W24" s="32" t="n">
        <v>28000</v>
      </c>
      <c r="X24" s="32" t="n">
        <v>28000</v>
      </c>
      <c r="Y24" s="32" t="n">
        <v>28000</v>
      </c>
      <c r="Z24" s="32" t="n">
        <v>28000</v>
      </c>
      <c r="AA24" s="13" t="n">
        <f aca="false">IFERROR(AVERAGEIF(D24:G24,"&lt;&gt;0"),"")</f>
        <v>28000</v>
      </c>
      <c r="AB24" s="13" t="n">
        <f aca="false">IFERROR(AVERAGEIF(H24:L24,"&lt;&gt;0"),"")</f>
        <v>28000</v>
      </c>
      <c r="AC24" s="13" t="n">
        <f aca="false">IFERROR(AVERAGEIF(M24:Q24,"&lt;&gt;0"),"")</f>
        <v>28000</v>
      </c>
      <c r="AD24" s="13" t="n">
        <f aca="false">IFERROR(AVERAGEIF(R24:V24,"&lt;&gt;0"),"")</f>
        <v>28000</v>
      </c>
      <c r="AE24" s="13" t="n">
        <f aca="false">IFERROR(AVERAGEIF(W24:Z24,"&lt;&gt;0"),"")</f>
        <v>28000</v>
      </c>
      <c r="AF24" s="13" t="n">
        <f aca="false">IFERROR(AVERAGEIF(D24:Z24,"&lt;&gt;0"),"")</f>
        <v>28000</v>
      </c>
    </row>
    <row r="25" customFormat="false" ht="15" hidden="false" customHeight="false" outlineLevel="0" collapsed="false">
      <c r="A25" s="3" t="n">
        <v>21</v>
      </c>
      <c r="B25" s="3" t="s">
        <v>474</v>
      </c>
      <c r="C25" s="3" t="s">
        <v>471</v>
      </c>
      <c r="D25" s="32" t="n">
        <v>60000</v>
      </c>
      <c r="E25" s="32" t="n">
        <v>60000</v>
      </c>
      <c r="F25" s="32" t="n">
        <v>60000</v>
      </c>
      <c r="G25" s="32" t="n">
        <v>60000</v>
      </c>
      <c r="H25" s="32" t="n">
        <v>60000</v>
      </c>
      <c r="I25" s="32" t="n">
        <v>60000</v>
      </c>
      <c r="J25" s="32" t="n">
        <v>60000</v>
      </c>
      <c r="K25" s="32" t="n">
        <v>60000</v>
      </c>
      <c r="L25" s="32" t="n">
        <v>60000</v>
      </c>
      <c r="M25" s="32" t="n">
        <v>60000</v>
      </c>
      <c r="N25" s="32" t="n">
        <v>60000</v>
      </c>
      <c r="O25" s="32" t="n">
        <v>60000</v>
      </c>
      <c r="P25" s="32" t="n">
        <v>60000</v>
      </c>
      <c r="Q25" s="32" t="n">
        <v>60000</v>
      </c>
      <c r="R25" s="32" t="n">
        <v>60000</v>
      </c>
      <c r="S25" s="32" t="n">
        <v>60000</v>
      </c>
      <c r="T25" s="32" t="n">
        <v>60000</v>
      </c>
      <c r="U25" s="32" t="n">
        <v>60000</v>
      </c>
      <c r="V25" s="32" t="n">
        <v>60000</v>
      </c>
      <c r="W25" s="32" t="n">
        <v>60000</v>
      </c>
      <c r="X25" s="32" t="n">
        <v>60000</v>
      </c>
      <c r="Y25" s="32" t="n">
        <v>60000</v>
      </c>
      <c r="Z25" s="32" t="n">
        <v>60000</v>
      </c>
      <c r="AA25" s="13" t="n">
        <f aca="false">IFERROR(AVERAGEIF(D25:G25,"&lt;&gt;0"),"")</f>
        <v>60000</v>
      </c>
      <c r="AB25" s="13" t="n">
        <f aca="false">IFERROR(AVERAGEIF(H25:L25,"&lt;&gt;0"),"")</f>
        <v>60000</v>
      </c>
      <c r="AC25" s="13" t="n">
        <f aca="false">IFERROR(AVERAGEIF(M25:Q25,"&lt;&gt;0"),"")</f>
        <v>60000</v>
      </c>
      <c r="AD25" s="13" t="n">
        <f aca="false">IFERROR(AVERAGEIF(R25:V25,"&lt;&gt;0"),"")</f>
        <v>60000</v>
      </c>
      <c r="AE25" s="13" t="n">
        <f aca="false">IFERROR(AVERAGEIF(W25:Z25,"&lt;&gt;0"),"")</f>
        <v>60000</v>
      </c>
      <c r="AF25" s="13" t="n">
        <f aca="false">IFERROR(AVERAGEIF(D25:Z25,"&lt;&gt;0"),"")</f>
        <v>60000</v>
      </c>
    </row>
    <row r="26" customFormat="false" ht="15" hidden="false" customHeight="false" outlineLevel="0" collapsed="false">
      <c r="A26" s="3" t="n">
        <v>22</v>
      </c>
      <c r="B26" s="3" t="s">
        <v>426</v>
      </c>
      <c r="C26" s="3" t="s">
        <v>471</v>
      </c>
      <c r="D26" s="32" t="n">
        <v>2800</v>
      </c>
      <c r="E26" s="32" t="n">
        <v>2800</v>
      </c>
      <c r="F26" s="32" t="n">
        <v>2800</v>
      </c>
      <c r="G26" s="32" t="n">
        <v>2800</v>
      </c>
      <c r="H26" s="32" t="n">
        <v>2800</v>
      </c>
      <c r="I26" s="32" t="n">
        <v>2800</v>
      </c>
      <c r="J26" s="32" t="n">
        <v>2800</v>
      </c>
      <c r="K26" s="32" t="n">
        <v>2800</v>
      </c>
      <c r="L26" s="32" t="n">
        <v>2800</v>
      </c>
      <c r="M26" s="32" t="n">
        <v>2800</v>
      </c>
      <c r="N26" s="32" t="n">
        <v>2800</v>
      </c>
      <c r="O26" s="32" t="n">
        <v>2800</v>
      </c>
      <c r="P26" s="32" t="n">
        <v>2800</v>
      </c>
      <c r="Q26" s="32" t="n">
        <v>2800</v>
      </c>
      <c r="R26" s="32" t="n">
        <v>2800</v>
      </c>
      <c r="S26" s="32" t="n">
        <v>2800</v>
      </c>
      <c r="T26" s="32" t="n">
        <v>2800</v>
      </c>
      <c r="U26" s="32" t="n">
        <v>2800</v>
      </c>
      <c r="V26" s="32" t="n">
        <v>2800</v>
      </c>
      <c r="W26" s="32" t="n">
        <v>2800</v>
      </c>
      <c r="X26" s="32" t="n">
        <v>2800</v>
      </c>
      <c r="Y26" s="32" t="n">
        <v>2800</v>
      </c>
      <c r="Z26" s="32" t="n">
        <v>2800</v>
      </c>
      <c r="AA26" s="13" t="n">
        <f aca="false">IFERROR(AVERAGEIF(D26:G26,"&lt;&gt;0"),"")</f>
        <v>2800</v>
      </c>
      <c r="AB26" s="13" t="n">
        <f aca="false">IFERROR(AVERAGEIF(H26:L26,"&lt;&gt;0"),"")</f>
        <v>2800</v>
      </c>
      <c r="AC26" s="13" t="n">
        <f aca="false">IFERROR(AVERAGEIF(M26:Q26,"&lt;&gt;0"),"")</f>
        <v>2800</v>
      </c>
      <c r="AD26" s="13" t="n">
        <f aca="false">IFERROR(AVERAGEIF(R26:V26,"&lt;&gt;0"),"")</f>
        <v>2800</v>
      </c>
      <c r="AE26" s="13" t="n">
        <f aca="false">IFERROR(AVERAGEIF(W26:Z26,"&lt;&gt;0"),"")</f>
        <v>2800</v>
      </c>
      <c r="AF26" s="13" t="n">
        <f aca="false">IFERROR(AVERAGEIF(D26:Z26,"&lt;&gt;0"),"")</f>
        <v>2800</v>
      </c>
    </row>
    <row r="27" customFormat="false" ht="15" hidden="false" customHeight="false" outlineLevel="0" collapsed="false">
      <c r="A27" s="3" t="n">
        <v>23</v>
      </c>
      <c r="B27" s="3" t="s">
        <v>424</v>
      </c>
      <c r="C27" s="3" t="s">
        <v>471</v>
      </c>
      <c r="D27" s="32" t="n">
        <v>25000</v>
      </c>
      <c r="E27" s="32" t="n">
        <v>25000</v>
      </c>
      <c r="F27" s="32" t="n">
        <v>25000</v>
      </c>
      <c r="G27" s="32" t="n">
        <v>25000</v>
      </c>
      <c r="H27" s="32" t="n">
        <v>27000</v>
      </c>
      <c r="I27" s="32" t="n">
        <v>27000</v>
      </c>
      <c r="J27" s="32" t="n">
        <v>27000</v>
      </c>
      <c r="K27" s="32" t="n">
        <v>27000</v>
      </c>
      <c r="L27" s="32" t="n">
        <v>27000</v>
      </c>
      <c r="M27" s="32" t="n">
        <v>27000</v>
      </c>
      <c r="N27" s="32" t="n">
        <v>25000</v>
      </c>
      <c r="O27" s="32" t="n">
        <v>25000</v>
      </c>
      <c r="P27" s="32" t="n">
        <v>25000</v>
      </c>
      <c r="Q27" s="32" t="n">
        <v>25000</v>
      </c>
      <c r="R27" s="32" t="n">
        <v>25000</v>
      </c>
      <c r="S27" s="32" t="n">
        <v>25000</v>
      </c>
      <c r="T27" s="32" t="n">
        <v>25000</v>
      </c>
      <c r="U27" s="32" t="n">
        <v>25000</v>
      </c>
      <c r="V27" s="32" t="n">
        <v>25000</v>
      </c>
      <c r="W27" s="32" t="n">
        <v>25000</v>
      </c>
      <c r="X27" s="32" t="n">
        <v>24000</v>
      </c>
      <c r="Y27" s="32" t="n">
        <v>24000</v>
      </c>
      <c r="Z27" s="32" t="n">
        <v>24000</v>
      </c>
      <c r="AA27" s="13" t="n">
        <f aca="false">IFERROR(AVERAGEIF(D27:G27,"&lt;&gt;0"),"")</f>
        <v>25000</v>
      </c>
      <c r="AB27" s="13" t="n">
        <f aca="false">IFERROR(AVERAGEIF(H27:L27,"&lt;&gt;0"),"")</f>
        <v>27000</v>
      </c>
      <c r="AC27" s="13" t="n">
        <f aca="false">IFERROR(AVERAGEIF(M27:Q27,"&lt;&gt;0"),"")</f>
        <v>25400</v>
      </c>
      <c r="AD27" s="13" t="n">
        <f aca="false">IFERROR(AVERAGEIF(R27:V27,"&lt;&gt;0"),"")</f>
        <v>25000</v>
      </c>
      <c r="AE27" s="13" t="n">
        <f aca="false">IFERROR(AVERAGEIF(W27:Z27,"&lt;&gt;0"),"")</f>
        <v>24250</v>
      </c>
      <c r="AF27" s="13" t="n">
        <f aca="false">IFERROR(AVERAGEIF(D27:Z27,"&lt;&gt;0"),"")</f>
        <v>25391.3043478261</v>
      </c>
    </row>
    <row r="28" customFormat="false" ht="15" hidden="false" customHeight="false" outlineLevel="0" collapsed="false">
      <c r="A28" s="3" t="n">
        <v>24</v>
      </c>
      <c r="B28" s="3" t="s">
        <v>425</v>
      </c>
      <c r="C28" s="3" t="s">
        <v>471</v>
      </c>
      <c r="D28" s="32" t="n">
        <v>30000</v>
      </c>
      <c r="E28" s="32" t="n">
        <v>30000</v>
      </c>
      <c r="F28" s="32" t="n">
        <v>30000</v>
      </c>
      <c r="G28" s="32" t="n">
        <v>30000</v>
      </c>
      <c r="H28" s="32" t="n">
        <v>30000</v>
      </c>
      <c r="I28" s="32" t="n">
        <v>30000</v>
      </c>
      <c r="J28" s="32" t="n">
        <v>30000</v>
      </c>
      <c r="K28" s="32" t="n">
        <v>30000</v>
      </c>
      <c r="L28" s="32" t="n">
        <v>30000</v>
      </c>
      <c r="M28" s="32" t="n">
        <v>30000</v>
      </c>
      <c r="N28" s="32" t="n">
        <v>30000</v>
      </c>
      <c r="O28" s="32" t="n">
        <v>30000</v>
      </c>
      <c r="P28" s="32" t="n">
        <v>30000</v>
      </c>
      <c r="Q28" s="32" t="n">
        <v>30000</v>
      </c>
      <c r="R28" s="32" t="n">
        <v>30000</v>
      </c>
      <c r="S28" s="32" t="n">
        <v>30000</v>
      </c>
      <c r="T28" s="32" t="n">
        <v>30000</v>
      </c>
      <c r="U28" s="32" t="n">
        <v>30000</v>
      </c>
      <c r="V28" s="32" t="n">
        <v>30000</v>
      </c>
      <c r="W28" s="32" t="n">
        <v>30000</v>
      </c>
      <c r="X28" s="32" t="n">
        <v>30000</v>
      </c>
      <c r="Y28" s="32" t="n">
        <v>30000</v>
      </c>
      <c r="Z28" s="32" t="n">
        <v>30000</v>
      </c>
      <c r="AA28" s="13" t="n">
        <f aca="false">IFERROR(AVERAGEIF(D28:G28,"&lt;&gt;0"),"")</f>
        <v>30000</v>
      </c>
      <c r="AB28" s="13" t="n">
        <f aca="false">IFERROR(AVERAGEIF(H28:L28,"&lt;&gt;0"),"")</f>
        <v>30000</v>
      </c>
      <c r="AC28" s="13" t="n">
        <f aca="false">IFERROR(AVERAGEIF(M28:Q28,"&lt;&gt;0"),"")</f>
        <v>30000</v>
      </c>
      <c r="AD28" s="13" t="n">
        <f aca="false">IFERROR(AVERAGEIF(R28:V28,"&lt;&gt;0"),"")</f>
        <v>30000</v>
      </c>
      <c r="AE28" s="13" t="n">
        <f aca="false">IFERROR(AVERAGEIF(W28:Z28,"&lt;&gt;0"),"")</f>
        <v>30000</v>
      </c>
      <c r="AF28" s="13" t="n">
        <f aca="false">IFERROR(AVERAGEIF(D28:Z28,"&lt;&gt;0"),"")</f>
        <v>30000</v>
      </c>
    </row>
    <row r="29" customFormat="false" ht="15" hidden="false" customHeight="false" outlineLevel="0" collapsed="false">
      <c r="A29" s="3" t="n">
        <v>25</v>
      </c>
      <c r="B29" s="3" t="s">
        <v>475</v>
      </c>
      <c r="C29" s="3" t="s">
        <v>471</v>
      </c>
      <c r="D29" s="32" t="n">
        <v>25000</v>
      </c>
      <c r="E29" s="32" t="n">
        <v>25000</v>
      </c>
      <c r="F29" s="32" t="n">
        <v>25000</v>
      </c>
      <c r="G29" s="32" t="n">
        <v>25000</v>
      </c>
      <c r="H29" s="32" t="n">
        <v>25000</v>
      </c>
      <c r="I29" s="32" t="n">
        <v>25000</v>
      </c>
      <c r="J29" s="32" t="n">
        <v>25000</v>
      </c>
      <c r="K29" s="32" t="n">
        <v>25000</v>
      </c>
      <c r="L29" s="32" t="n">
        <v>25000</v>
      </c>
      <c r="M29" s="32" t="n">
        <v>25000</v>
      </c>
      <c r="N29" s="32" t="n">
        <v>25000</v>
      </c>
      <c r="O29" s="32" t="n">
        <v>25000</v>
      </c>
      <c r="P29" s="32" t="n">
        <v>25000</v>
      </c>
      <c r="Q29" s="32" t="n">
        <v>25000</v>
      </c>
      <c r="R29" s="32" t="n">
        <v>25000</v>
      </c>
      <c r="S29" s="32" t="n">
        <v>25000</v>
      </c>
      <c r="T29" s="32" t="n">
        <v>25000</v>
      </c>
      <c r="U29" s="32" t="n">
        <v>25000</v>
      </c>
      <c r="V29" s="32" t="n">
        <v>25000</v>
      </c>
      <c r="W29" s="32" t="n">
        <v>25000</v>
      </c>
      <c r="X29" s="32" t="n">
        <v>25000</v>
      </c>
      <c r="Y29" s="32" t="n">
        <v>25000</v>
      </c>
      <c r="Z29" s="32" t="n">
        <v>25000</v>
      </c>
      <c r="AA29" s="13" t="n">
        <f aca="false">IFERROR(AVERAGEIF(D29:G29,"&lt;&gt;0"),"")</f>
        <v>25000</v>
      </c>
      <c r="AB29" s="13" t="n">
        <f aca="false">IFERROR(AVERAGEIF(H29:L29,"&lt;&gt;0"),"")</f>
        <v>25000</v>
      </c>
      <c r="AC29" s="13" t="n">
        <f aca="false">IFERROR(AVERAGEIF(M29:Q29,"&lt;&gt;0"),"")</f>
        <v>25000</v>
      </c>
      <c r="AD29" s="13" t="n">
        <f aca="false">IFERROR(AVERAGEIF(R29:V29,"&lt;&gt;0"),"")</f>
        <v>25000</v>
      </c>
      <c r="AE29" s="13" t="n">
        <f aca="false">IFERROR(AVERAGEIF(W29:Z29,"&lt;&gt;0"),"")</f>
        <v>25000</v>
      </c>
      <c r="AF29" s="13" t="n">
        <f aca="false">IFERROR(AVERAGEIF(D29:Z29,"&lt;&gt;0"),"")</f>
        <v>25000</v>
      </c>
    </row>
    <row r="30" customFormat="false" ht="15" hidden="false" customHeight="false" outlineLevel="0" collapsed="false">
      <c r="A30" s="3" t="n">
        <v>26</v>
      </c>
      <c r="B30" s="3" t="s">
        <v>476</v>
      </c>
      <c r="C30" s="3" t="s">
        <v>471</v>
      </c>
      <c r="D30" s="32" t="n">
        <v>8000</v>
      </c>
      <c r="E30" s="32" t="n">
        <v>8000</v>
      </c>
      <c r="F30" s="32" t="n">
        <v>8000</v>
      </c>
      <c r="G30" s="32" t="n">
        <v>8000</v>
      </c>
      <c r="H30" s="32" t="n">
        <v>8000</v>
      </c>
      <c r="I30" s="32" t="n">
        <v>8000</v>
      </c>
      <c r="J30" s="32" t="n">
        <v>8000</v>
      </c>
      <c r="K30" s="32" t="n">
        <v>8000</v>
      </c>
      <c r="L30" s="32" t="n">
        <v>8000</v>
      </c>
      <c r="M30" s="32" t="n">
        <v>8000</v>
      </c>
      <c r="N30" s="32" t="n">
        <v>8000</v>
      </c>
      <c r="O30" s="32" t="n">
        <v>8000</v>
      </c>
      <c r="P30" s="32" t="n">
        <v>8000</v>
      </c>
      <c r="Q30" s="32" t="n">
        <v>8000</v>
      </c>
      <c r="R30" s="32" t="n">
        <v>8000</v>
      </c>
      <c r="S30" s="32" t="n">
        <v>8000</v>
      </c>
      <c r="T30" s="32" t="n">
        <v>8000</v>
      </c>
      <c r="U30" s="32" t="n">
        <v>8000</v>
      </c>
      <c r="V30" s="32" t="n">
        <v>8000</v>
      </c>
      <c r="W30" s="32" t="n">
        <v>8000</v>
      </c>
      <c r="X30" s="32" t="n">
        <v>8000</v>
      </c>
      <c r="Y30" s="32" t="n">
        <v>8000</v>
      </c>
      <c r="Z30" s="32" t="n">
        <v>8000</v>
      </c>
      <c r="AA30" s="13" t="n">
        <f aca="false">IFERROR(AVERAGEIF(D30:G30,"&lt;&gt;0"),"")</f>
        <v>8000</v>
      </c>
      <c r="AB30" s="13" t="n">
        <f aca="false">IFERROR(AVERAGEIF(H30:L30,"&lt;&gt;0"),"")</f>
        <v>8000</v>
      </c>
      <c r="AC30" s="13" t="n">
        <f aca="false">IFERROR(AVERAGEIF(M30:Q30,"&lt;&gt;0"),"")</f>
        <v>8000</v>
      </c>
      <c r="AD30" s="13" t="n">
        <f aca="false">IFERROR(AVERAGEIF(R30:V30,"&lt;&gt;0"),"")</f>
        <v>8000</v>
      </c>
      <c r="AE30" s="13" t="n">
        <f aca="false">IFERROR(AVERAGEIF(W30:Z30,"&lt;&gt;0"),"")</f>
        <v>8000</v>
      </c>
      <c r="AF30" s="13" t="n">
        <f aca="false">IFERROR(AVERAGEIF(D30:Z30,"&lt;&gt;0"),"")</f>
        <v>8000</v>
      </c>
    </row>
    <row r="31" customFormat="false" ht="15" hidden="false" customHeight="false" outlineLevel="0" collapsed="false">
      <c r="A31" s="3" t="n">
        <v>27</v>
      </c>
      <c r="B31" s="3" t="s">
        <v>427</v>
      </c>
      <c r="C31" s="3" t="s">
        <v>471</v>
      </c>
      <c r="D31" s="32" t="n">
        <v>10500</v>
      </c>
      <c r="E31" s="32" t="n">
        <v>10500</v>
      </c>
      <c r="F31" s="32" t="n">
        <v>10500</v>
      </c>
      <c r="G31" s="32" t="n">
        <v>10500</v>
      </c>
      <c r="H31" s="32" t="n">
        <v>10500</v>
      </c>
      <c r="I31" s="32" t="n">
        <v>10500</v>
      </c>
      <c r="J31" s="32" t="n">
        <v>10500</v>
      </c>
      <c r="K31" s="32" t="n">
        <v>10500</v>
      </c>
      <c r="L31" s="32" t="n">
        <v>10500</v>
      </c>
      <c r="M31" s="32" t="n">
        <v>10500</v>
      </c>
      <c r="N31" s="32" t="n">
        <v>10500</v>
      </c>
      <c r="O31" s="32" t="n">
        <v>10500</v>
      </c>
      <c r="P31" s="32" t="n">
        <v>10500</v>
      </c>
      <c r="Q31" s="32" t="n">
        <v>10500</v>
      </c>
      <c r="R31" s="32" t="n">
        <v>10500</v>
      </c>
      <c r="S31" s="32" t="n">
        <v>10500</v>
      </c>
      <c r="T31" s="32" t="n">
        <v>10500</v>
      </c>
      <c r="U31" s="32" t="n">
        <v>10500</v>
      </c>
      <c r="V31" s="32" t="n">
        <v>10500</v>
      </c>
      <c r="W31" s="32" t="n">
        <v>10500</v>
      </c>
      <c r="X31" s="32" t="n">
        <v>10500</v>
      </c>
      <c r="Y31" s="32" t="n">
        <v>10500</v>
      </c>
      <c r="Z31" s="32" t="n">
        <v>10500</v>
      </c>
      <c r="AA31" s="13" t="n">
        <f aca="false">IFERROR(AVERAGEIF(D31:G31,"&lt;&gt;0"),"")</f>
        <v>10500</v>
      </c>
      <c r="AB31" s="13" t="n">
        <f aca="false">IFERROR(AVERAGEIF(H31:L31,"&lt;&gt;0"),"")</f>
        <v>10500</v>
      </c>
      <c r="AC31" s="13" t="n">
        <f aca="false">IFERROR(AVERAGEIF(M31:Q31,"&lt;&gt;0"),"")</f>
        <v>10500</v>
      </c>
      <c r="AD31" s="13" t="n">
        <f aca="false">IFERROR(AVERAGEIF(R31:V31,"&lt;&gt;0"),"")</f>
        <v>10500</v>
      </c>
      <c r="AE31" s="13" t="n">
        <f aca="false">IFERROR(AVERAGEIF(W31:Z31,"&lt;&gt;0"),"")</f>
        <v>10500</v>
      </c>
      <c r="AF31" s="13" t="n">
        <f aca="false">IFERROR(AVERAGEIF(D31:Z31,"&lt;&gt;0"),"")</f>
        <v>10500</v>
      </c>
    </row>
    <row r="32" customFormat="false" ht="15" hidden="false" customHeight="false" outlineLevel="0" collapsed="false">
      <c r="A32" s="3" t="n">
        <v>28</v>
      </c>
      <c r="B32" s="3" t="s">
        <v>422</v>
      </c>
      <c r="C32" s="3" t="s">
        <v>471</v>
      </c>
      <c r="D32" s="32" t="n">
        <v>42000</v>
      </c>
      <c r="E32" s="32" t="n">
        <v>42000</v>
      </c>
      <c r="F32" s="32" t="n">
        <v>42000</v>
      </c>
      <c r="G32" s="32" t="n">
        <v>42000</v>
      </c>
      <c r="H32" s="32" t="n">
        <v>42000</v>
      </c>
      <c r="I32" s="32" t="n">
        <v>42000</v>
      </c>
      <c r="J32" s="32" t="n">
        <v>42000</v>
      </c>
      <c r="K32" s="32" t="n">
        <v>42000</v>
      </c>
      <c r="L32" s="32" t="n">
        <v>42000</v>
      </c>
      <c r="M32" s="32" t="n">
        <v>42000</v>
      </c>
      <c r="N32" s="32" t="n">
        <v>42000</v>
      </c>
      <c r="O32" s="32" t="n">
        <v>42000</v>
      </c>
      <c r="P32" s="32" t="n">
        <v>42000</v>
      </c>
      <c r="Q32" s="32" t="n">
        <v>42000</v>
      </c>
      <c r="R32" s="32" t="n">
        <v>42000</v>
      </c>
      <c r="S32" s="32" t="n">
        <v>42000</v>
      </c>
      <c r="T32" s="32" t="n">
        <v>42000</v>
      </c>
      <c r="U32" s="32" t="n">
        <v>42000</v>
      </c>
      <c r="V32" s="32" t="n">
        <v>42000</v>
      </c>
      <c r="W32" s="32" t="n">
        <v>42000</v>
      </c>
      <c r="X32" s="32" t="n">
        <v>42000</v>
      </c>
      <c r="Y32" s="32" t="n">
        <v>42000</v>
      </c>
      <c r="Z32" s="32" t="n">
        <v>42000</v>
      </c>
      <c r="AA32" s="13" t="n">
        <f aca="false">IFERROR(AVERAGEIF(D32:G32,"&lt;&gt;0"),"")</f>
        <v>42000</v>
      </c>
      <c r="AB32" s="13" t="n">
        <f aca="false">IFERROR(AVERAGEIF(H32:L32,"&lt;&gt;0"),"")</f>
        <v>42000</v>
      </c>
      <c r="AC32" s="13" t="n">
        <f aca="false">IFERROR(AVERAGEIF(M32:Q32,"&lt;&gt;0"),"")</f>
        <v>42000</v>
      </c>
      <c r="AD32" s="13" t="n">
        <f aca="false">IFERROR(AVERAGEIF(R32:V32,"&lt;&gt;0"),"")</f>
        <v>42000</v>
      </c>
      <c r="AE32" s="13" t="n">
        <f aca="false">IFERROR(AVERAGEIF(W32:Z32,"&lt;&gt;0"),"")</f>
        <v>42000</v>
      </c>
      <c r="AF32" s="13" t="n">
        <f aca="false">IFERROR(AVERAGEIF(D32:Z32,"&lt;&gt;0"),"")</f>
        <v>42000</v>
      </c>
    </row>
    <row r="33" customFormat="false" ht="15" hidden="false" customHeight="false" outlineLevel="0" collapsed="false">
      <c r="A33" s="3" t="n">
        <v>29</v>
      </c>
      <c r="B33" s="3" t="s">
        <v>433</v>
      </c>
      <c r="C33" s="3" t="s">
        <v>471</v>
      </c>
      <c r="D33" s="32" t="n">
        <v>8000</v>
      </c>
      <c r="E33" s="32" t="n">
        <v>8000</v>
      </c>
      <c r="F33" s="32" t="n">
        <v>8000</v>
      </c>
      <c r="G33" s="32" t="n">
        <v>8000</v>
      </c>
      <c r="H33" s="32" t="n">
        <v>8000</v>
      </c>
      <c r="I33" s="32" t="n">
        <v>8000</v>
      </c>
      <c r="J33" s="32" t="n">
        <v>8000</v>
      </c>
      <c r="K33" s="32" t="n">
        <v>8000</v>
      </c>
      <c r="L33" s="32" t="n">
        <v>8000</v>
      </c>
      <c r="M33" s="32" t="n">
        <v>8000</v>
      </c>
      <c r="N33" s="32" t="n">
        <v>8000</v>
      </c>
      <c r="O33" s="32" t="n">
        <v>8000</v>
      </c>
      <c r="P33" s="32" t="n">
        <v>8000</v>
      </c>
      <c r="Q33" s="32" t="n">
        <v>8000</v>
      </c>
      <c r="R33" s="32" t="n">
        <v>8000</v>
      </c>
      <c r="S33" s="32" t="n">
        <v>8000</v>
      </c>
      <c r="T33" s="32" t="n">
        <v>8000</v>
      </c>
      <c r="U33" s="32" t="n">
        <v>8000</v>
      </c>
      <c r="V33" s="32" t="n">
        <v>8000</v>
      </c>
      <c r="W33" s="32" t="n">
        <v>8000</v>
      </c>
      <c r="X33" s="32" t="n">
        <v>8000</v>
      </c>
      <c r="Y33" s="32" t="n">
        <v>8000</v>
      </c>
      <c r="Z33" s="32" t="n">
        <v>8000</v>
      </c>
      <c r="AA33" s="13" t="n">
        <f aca="false">IFERROR(AVERAGEIF(D33:G33,"&lt;&gt;0"),"")</f>
        <v>8000</v>
      </c>
      <c r="AB33" s="13" t="n">
        <f aca="false">IFERROR(AVERAGEIF(H33:L33,"&lt;&gt;0"),"")</f>
        <v>8000</v>
      </c>
      <c r="AC33" s="13" t="n">
        <f aca="false">IFERROR(AVERAGEIF(M33:Q33,"&lt;&gt;0"),"")</f>
        <v>8000</v>
      </c>
      <c r="AD33" s="13" t="n">
        <f aca="false">IFERROR(AVERAGEIF(R33:V33,"&lt;&gt;0"),"")</f>
        <v>8000</v>
      </c>
      <c r="AE33" s="13" t="n">
        <f aca="false">IFERROR(AVERAGEIF(W33:Z33,"&lt;&gt;0"),"")</f>
        <v>8000</v>
      </c>
      <c r="AF33" s="13" t="n">
        <f aca="false">IFERROR(AVERAGEIF(D33:Z33,"&lt;&gt;0"),"")</f>
        <v>8000</v>
      </c>
    </row>
    <row r="34" customFormat="false" ht="15" hidden="false" customHeight="false" outlineLevel="0" collapsed="false">
      <c r="A34" s="3" t="n">
        <v>30</v>
      </c>
      <c r="B34" s="3" t="s">
        <v>411</v>
      </c>
      <c r="C34" s="3" t="s">
        <v>471</v>
      </c>
      <c r="D34" s="32" t="n">
        <v>4750</v>
      </c>
      <c r="E34" s="32" t="n">
        <v>4750</v>
      </c>
      <c r="F34" s="32" t="n">
        <v>4750</v>
      </c>
      <c r="G34" s="32" t="n">
        <v>4750</v>
      </c>
      <c r="H34" s="32" t="n">
        <v>4750</v>
      </c>
      <c r="I34" s="32" t="n">
        <v>4750</v>
      </c>
      <c r="J34" s="32" t="n">
        <v>4750</v>
      </c>
      <c r="K34" s="32" t="n">
        <v>4750</v>
      </c>
      <c r="L34" s="32" t="n">
        <v>4750</v>
      </c>
      <c r="M34" s="32" t="n">
        <v>4750</v>
      </c>
      <c r="N34" s="32" t="n">
        <v>4750</v>
      </c>
      <c r="O34" s="32" t="n">
        <v>4750</v>
      </c>
      <c r="P34" s="32" t="n">
        <v>4750</v>
      </c>
      <c r="Q34" s="32" t="n">
        <v>4750</v>
      </c>
      <c r="R34" s="32" t="n">
        <v>4750</v>
      </c>
      <c r="S34" s="32" t="n">
        <v>4750</v>
      </c>
      <c r="T34" s="32" t="n">
        <v>4750</v>
      </c>
      <c r="U34" s="32" t="n">
        <v>4750</v>
      </c>
      <c r="V34" s="32" t="n">
        <v>4750</v>
      </c>
      <c r="W34" s="32" t="n">
        <v>4750</v>
      </c>
      <c r="X34" s="32" t="n">
        <v>4750</v>
      </c>
      <c r="Y34" s="32" t="n">
        <v>4750</v>
      </c>
      <c r="Z34" s="32" t="n">
        <v>4750</v>
      </c>
      <c r="AA34" s="13" t="n">
        <f aca="false">IFERROR(AVERAGEIF(D34:G34,"&lt;&gt;0"),"")</f>
        <v>4750</v>
      </c>
      <c r="AB34" s="13" t="n">
        <f aca="false">IFERROR(AVERAGEIF(H34:L34,"&lt;&gt;0"),"")</f>
        <v>4750</v>
      </c>
      <c r="AC34" s="13" t="n">
        <f aca="false">IFERROR(AVERAGEIF(M34:Q34,"&lt;&gt;0"),"")</f>
        <v>4750</v>
      </c>
      <c r="AD34" s="13" t="n">
        <f aca="false">IFERROR(AVERAGEIF(R34:V34,"&lt;&gt;0"),"")</f>
        <v>4750</v>
      </c>
      <c r="AE34" s="13" t="n">
        <f aca="false">IFERROR(AVERAGEIF(W34:Z34,"&lt;&gt;0"),"")</f>
        <v>4750</v>
      </c>
      <c r="AF34" s="13" t="n">
        <f aca="false">IFERROR(AVERAGEIF(D34:Z34,"&lt;&gt;0"),"")</f>
        <v>4750</v>
      </c>
    </row>
    <row r="35" customFormat="false" ht="15" hidden="false" customHeight="false" outlineLevel="0" collapsed="false">
      <c r="A35" s="3" t="n">
        <v>31</v>
      </c>
      <c r="B35" s="3" t="s">
        <v>416</v>
      </c>
      <c r="C35" s="3" t="s">
        <v>471</v>
      </c>
      <c r="D35" s="32" t="n">
        <v>58000</v>
      </c>
      <c r="E35" s="32" t="n">
        <v>58000</v>
      </c>
      <c r="F35" s="32" t="n">
        <v>58000</v>
      </c>
      <c r="G35" s="32" t="n">
        <v>58000</v>
      </c>
      <c r="H35" s="32" t="n">
        <v>58000</v>
      </c>
      <c r="I35" s="32" t="n">
        <v>58000</v>
      </c>
      <c r="J35" s="32" t="n">
        <v>58000</v>
      </c>
      <c r="K35" s="32" t="n">
        <v>58000</v>
      </c>
      <c r="L35" s="32" t="n">
        <v>58000</v>
      </c>
      <c r="M35" s="32" t="n">
        <v>58000</v>
      </c>
      <c r="N35" s="32" t="n">
        <v>58000</v>
      </c>
      <c r="O35" s="32" t="n">
        <v>58000</v>
      </c>
      <c r="P35" s="32" t="n">
        <v>58000</v>
      </c>
      <c r="Q35" s="32" t="n">
        <v>58000</v>
      </c>
      <c r="R35" s="32" t="n">
        <v>58000</v>
      </c>
      <c r="S35" s="32" t="n">
        <v>58000</v>
      </c>
      <c r="T35" s="32" t="n">
        <v>58000</v>
      </c>
      <c r="U35" s="32" t="n">
        <v>58000</v>
      </c>
      <c r="V35" s="32" t="n">
        <v>58000</v>
      </c>
      <c r="W35" s="32" t="n">
        <v>58000</v>
      </c>
      <c r="X35" s="32" t="n">
        <v>58000</v>
      </c>
      <c r="Y35" s="32" t="n">
        <v>58000</v>
      </c>
      <c r="Z35" s="32" t="n">
        <v>58000</v>
      </c>
      <c r="AA35" s="13" t="n">
        <f aca="false">IFERROR(AVERAGEIF(D35:G35,"&lt;&gt;0"),"")</f>
        <v>58000</v>
      </c>
      <c r="AB35" s="13" t="n">
        <f aca="false">IFERROR(AVERAGEIF(H35:L35,"&lt;&gt;0"),"")</f>
        <v>58000</v>
      </c>
      <c r="AC35" s="13" t="n">
        <f aca="false">IFERROR(AVERAGEIF(M35:Q35,"&lt;&gt;0"),"")</f>
        <v>58000</v>
      </c>
      <c r="AD35" s="13" t="n">
        <f aca="false">IFERROR(AVERAGEIF(R35:V35,"&lt;&gt;0"),"")</f>
        <v>58000</v>
      </c>
      <c r="AE35" s="13" t="n">
        <f aca="false">IFERROR(AVERAGEIF(W35:Z35,"&lt;&gt;0"),"")</f>
        <v>58000</v>
      </c>
      <c r="AF35" s="13" t="n">
        <f aca="false">IFERROR(AVERAGEIF(D35:Z35,"&lt;&gt;0"),"")</f>
        <v>58000</v>
      </c>
    </row>
    <row r="36" customFormat="false" ht="15" hidden="false" customHeight="false" outlineLevel="0" collapsed="false">
      <c r="A36" s="3" t="n">
        <v>32</v>
      </c>
      <c r="B36" s="3" t="s">
        <v>417</v>
      </c>
      <c r="C36" s="3" t="s">
        <v>471</v>
      </c>
      <c r="D36" s="32" t="n">
        <v>12000</v>
      </c>
      <c r="E36" s="32" t="n">
        <v>12000</v>
      </c>
      <c r="F36" s="32" t="n">
        <v>12000</v>
      </c>
      <c r="G36" s="32" t="n">
        <v>12000</v>
      </c>
      <c r="H36" s="32" t="n">
        <v>12000</v>
      </c>
      <c r="I36" s="32" t="n">
        <v>12000</v>
      </c>
      <c r="J36" s="32" t="n">
        <v>12000</v>
      </c>
      <c r="K36" s="32" t="n">
        <v>12000</v>
      </c>
      <c r="L36" s="32" t="n">
        <v>12000</v>
      </c>
      <c r="M36" s="32" t="n">
        <v>12000</v>
      </c>
      <c r="N36" s="32" t="n">
        <v>12000</v>
      </c>
      <c r="O36" s="32" t="n">
        <v>12000</v>
      </c>
      <c r="P36" s="32" t="n">
        <v>12000</v>
      </c>
      <c r="Q36" s="32" t="n">
        <v>12000</v>
      </c>
      <c r="R36" s="32" t="n">
        <v>12000</v>
      </c>
      <c r="S36" s="32" t="n">
        <v>12000</v>
      </c>
      <c r="T36" s="32" t="n">
        <v>12000</v>
      </c>
      <c r="U36" s="32" t="n">
        <v>12000</v>
      </c>
      <c r="V36" s="32" t="n">
        <v>12000</v>
      </c>
      <c r="W36" s="32" t="n">
        <v>12000</v>
      </c>
      <c r="X36" s="32" t="n">
        <v>12000</v>
      </c>
      <c r="Y36" s="32" t="n">
        <v>12000</v>
      </c>
      <c r="Z36" s="32" t="n">
        <v>12000</v>
      </c>
      <c r="AA36" s="13" t="n">
        <f aca="false">IFERROR(AVERAGEIF(D36:G36,"&lt;&gt;0"),"")</f>
        <v>12000</v>
      </c>
      <c r="AB36" s="13" t="n">
        <f aca="false">IFERROR(AVERAGEIF(H36:L36,"&lt;&gt;0"),"")</f>
        <v>12000</v>
      </c>
      <c r="AC36" s="13" t="n">
        <f aca="false">IFERROR(AVERAGEIF(M36:Q36,"&lt;&gt;0"),"")</f>
        <v>12000</v>
      </c>
      <c r="AD36" s="13" t="n">
        <f aca="false">IFERROR(AVERAGEIF(R36:V36,"&lt;&gt;0"),"")</f>
        <v>12000</v>
      </c>
      <c r="AE36" s="13" t="n">
        <f aca="false">IFERROR(AVERAGEIF(W36:Z36,"&lt;&gt;0"),"")</f>
        <v>12000</v>
      </c>
      <c r="AF36" s="13" t="n">
        <f aca="false">IFERROR(AVERAGEIF(D36:Z36,"&lt;&gt;0"),"")</f>
        <v>12000</v>
      </c>
    </row>
    <row r="37" customFormat="false" ht="15" hidden="false" customHeight="false" outlineLevel="0" collapsed="false">
      <c r="A37" s="3" t="n">
        <v>33</v>
      </c>
      <c r="B37" s="3" t="s">
        <v>434</v>
      </c>
      <c r="C37" s="3" t="s">
        <v>471</v>
      </c>
      <c r="D37" s="32" t="n">
        <v>9000</v>
      </c>
      <c r="E37" s="32" t="n">
        <v>9000</v>
      </c>
      <c r="F37" s="32" t="n">
        <v>9000</v>
      </c>
      <c r="G37" s="32" t="n">
        <v>9000</v>
      </c>
      <c r="H37" s="32" t="n">
        <v>9000</v>
      </c>
      <c r="I37" s="32" t="n">
        <v>9000</v>
      </c>
      <c r="J37" s="32" t="n">
        <v>9000</v>
      </c>
      <c r="K37" s="32" t="n">
        <v>9000</v>
      </c>
      <c r="L37" s="32" t="n">
        <v>9000</v>
      </c>
      <c r="M37" s="32" t="n">
        <v>9000</v>
      </c>
      <c r="N37" s="32" t="n">
        <v>9000</v>
      </c>
      <c r="O37" s="32" t="n">
        <v>9000</v>
      </c>
      <c r="P37" s="32" t="n">
        <v>9000</v>
      </c>
      <c r="Q37" s="32" t="n">
        <v>9000</v>
      </c>
      <c r="R37" s="32" t="n">
        <v>9000</v>
      </c>
      <c r="S37" s="32" t="n">
        <v>9000</v>
      </c>
      <c r="T37" s="32" t="n">
        <v>9000</v>
      </c>
      <c r="U37" s="32" t="n">
        <v>9000</v>
      </c>
      <c r="V37" s="32" t="n">
        <v>9000</v>
      </c>
      <c r="W37" s="32" t="n">
        <v>9000</v>
      </c>
      <c r="X37" s="32" t="n">
        <v>9000</v>
      </c>
      <c r="Y37" s="32" t="n">
        <v>9000</v>
      </c>
      <c r="Z37" s="32" t="n">
        <v>9000</v>
      </c>
      <c r="AA37" s="13" t="n">
        <f aca="false">IFERROR(AVERAGEIF(D37:G37,"&lt;&gt;0"),"")</f>
        <v>9000</v>
      </c>
      <c r="AB37" s="13" t="n">
        <f aca="false">IFERROR(AVERAGEIF(H37:L37,"&lt;&gt;0"),"")</f>
        <v>9000</v>
      </c>
      <c r="AC37" s="13" t="n">
        <f aca="false">IFERROR(AVERAGEIF(M37:Q37,"&lt;&gt;0"),"")</f>
        <v>9000</v>
      </c>
      <c r="AD37" s="13" t="n">
        <f aca="false">IFERROR(AVERAGEIF(R37:V37,"&lt;&gt;0"),"")</f>
        <v>9000</v>
      </c>
      <c r="AE37" s="13" t="n">
        <f aca="false">IFERROR(AVERAGEIF(W37:Z37,"&lt;&gt;0"),"")</f>
        <v>9000</v>
      </c>
      <c r="AF37" s="13" t="n">
        <f aca="false">IFERROR(AVERAGEIF(D37:Z37,"&lt;&gt;0"),"")</f>
        <v>9000</v>
      </c>
    </row>
    <row r="38" customFormat="false" ht="15" hidden="false" customHeight="false" outlineLevel="0" collapsed="false">
      <c r="A38" s="3" t="n">
        <v>34</v>
      </c>
      <c r="B38" s="3" t="s">
        <v>477</v>
      </c>
      <c r="C38" s="3" t="s">
        <v>471</v>
      </c>
      <c r="D38" s="32" t="n">
        <v>5500</v>
      </c>
      <c r="E38" s="32" t="n">
        <v>5500</v>
      </c>
      <c r="F38" s="32" t="n">
        <v>5500</v>
      </c>
      <c r="G38" s="32" t="n">
        <v>5500</v>
      </c>
      <c r="H38" s="32" t="n">
        <v>7500</v>
      </c>
      <c r="I38" s="32" t="n">
        <v>7500</v>
      </c>
      <c r="J38" s="32" t="n">
        <v>7500</v>
      </c>
      <c r="K38" s="32" t="n">
        <v>9000</v>
      </c>
      <c r="L38" s="32" t="n">
        <v>9000</v>
      </c>
      <c r="M38" s="32" t="n">
        <v>9000</v>
      </c>
      <c r="N38" s="32" t="n">
        <v>9000</v>
      </c>
      <c r="O38" s="32" t="n">
        <v>9000</v>
      </c>
      <c r="P38" s="32" t="n">
        <v>9000</v>
      </c>
      <c r="Q38" s="32" t="n">
        <v>9000</v>
      </c>
      <c r="R38" s="32" t="n">
        <v>9000</v>
      </c>
      <c r="S38" s="32" t="n">
        <v>9000</v>
      </c>
      <c r="T38" s="32" t="n">
        <v>9000</v>
      </c>
      <c r="U38" s="32" t="n">
        <v>9000</v>
      </c>
      <c r="V38" s="32" t="n">
        <v>9000</v>
      </c>
      <c r="W38" s="32" t="n">
        <v>9000</v>
      </c>
      <c r="X38" s="32" t="n">
        <v>9000</v>
      </c>
      <c r="Y38" s="32" t="n">
        <v>9000</v>
      </c>
      <c r="Z38" s="32" t="n">
        <v>9000</v>
      </c>
      <c r="AA38" s="13" t="n">
        <f aca="false">IFERROR(AVERAGEIF(D38:G38,"&lt;&gt;0"),"")</f>
        <v>5500</v>
      </c>
      <c r="AB38" s="13" t="n">
        <f aca="false">IFERROR(AVERAGEIF(H38:L38,"&lt;&gt;0"),"")</f>
        <v>8100</v>
      </c>
      <c r="AC38" s="13" t="n">
        <f aca="false">IFERROR(AVERAGEIF(M38:Q38,"&lt;&gt;0"),"")</f>
        <v>9000</v>
      </c>
      <c r="AD38" s="13" t="n">
        <f aca="false">IFERROR(AVERAGEIF(R38:V38,"&lt;&gt;0"),"")</f>
        <v>9000</v>
      </c>
      <c r="AE38" s="13" t="n">
        <f aca="false">IFERROR(AVERAGEIF(W38:Z38,"&lt;&gt;0"),"")</f>
        <v>9000</v>
      </c>
      <c r="AF38" s="13" t="n">
        <f aca="false">IFERROR(AVERAGEIF(D38:Z38,"&lt;&gt;0"),"")</f>
        <v>8195.65217391304</v>
      </c>
    </row>
    <row r="39" customFormat="false" ht="15" hidden="false" customHeight="false" outlineLevel="0" collapsed="false">
      <c r="A39" s="3" t="n">
        <v>35</v>
      </c>
      <c r="B39" s="3" t="s">
        <v>478</v>
      </c>
      <c r="C39" s="3" t="s">
        <v>471</v>
      </c>
      <c r="D39" s="32" t="n">
        <v>12000</v>
      </c>
      <c r="E39" s="32" t="n">
        <v>12000</v>
      </c>
      <c r="F39" s="32" t="n">
        <v>12000</v>
      </c>
      <c r="G39" s="32" t="n">
        <v>12000</v>
      </c>
      <c r="H39" s="32" t="n">
        <v>12000</v>
      </c>
      <c r="I39" s="32" t="n">
        <v>12000</v>
      </c>
      <c r="J39" s="32" t="n">
        <v>12000</v>
      </c>
      <c r="K39" s="32" t="n">
        <v>12000</v>
      </c>
      <c r="L39" s="32" t="n">
        <v>12000</v>
      </c>
      <c r="M39" s="32" t="n">
        <v>12000</v>
      </c>
      <c r="N39" s="32" t="n">
        <v>12000</v>
      </c>
      <c r="O39" s="32" t="n">
        <v>12000</v>
      </c>
      <c r="P39" s="32" t="n">
        <v>12000</v>
      </c>
      <c r="Q39" s="32" t="n">
        <v>12000</v>
      </c>
      <c r="R39" s="32" t="n">
        <v>12000</v>
      </c>
      <c r="S39" s="32" t="n">
        <v>12000</v>
      </c>
      <c r="T39" s="32" t="n">
        <v>12000</v>
      </c>
      <c r="U39" s="32" t="n">
        <v>12000</v>
      </c>
      <c r="V39" s="32" t="n">
        <v>12000</v>
      </c>
      <c r="W39" s="32" t="n">
        <v>12000</v>
      </c>
      <c r="X39" s="32" t="n">
        <v>12000</v>
      </c>
      <c r="Y39" s="32" t="n">
        <v>12000</v>
      </c>
      <c r="Z39" s="32" t="n">
        <v>12000</v>
      </c>
      <c r="AA39" s="13" t="n">
        <f aca="false">IFERROR(AVERAGEIF(D39:G39,"&lt;&gt;0"),"")</f>
        <v>12000</v>
      </c>
      <c r="AB39" s="13" t="n">
        <f aca="false">IFERROR(AVERAGEIF(H39:L39,"&lt;&gt;0"),"")</f>
        <v>12000</v>
      </c>
      <c r="AC39" s="13" t="n">
        <f aca="false">IFERROR(AVERAGEIF(M39:Q39,"&lt;&gt;0"),"")</f>
        <v>12000</v>
      </c>
      <c r="AD39" s="13" t="n">
        <f aca="false">IFERROR(AVERAGEIF(R39:V39,"&lt;&gt;0"),"")</f>
        <v>12000</v>
      </c>
      <c r="AE39" s="13" t="n">
        <f aca="false">IFERROR(AVERAGEIF(W39:Z39,"&lt;&gt;0"),"")</f>
        <v>12000</v>
      </c>
      <c r="AF39" s="13" t="n">
        <f aca="false">IFERROR(AVERAGEIF(D39:Z39,"&lt;&gt;0"),"")</f>
        <v>12000</v>
      </c>
    </row>
    <row r="40" customFormat="false" ht="15" hidden="false" customHeight="false" outlineLevel="0" collapsed="false">
      <c r="A40" s="3" t="n">
        <v>36</v>
      </c>
      <c r="B40" s="3" t="s">
        <v>479</v>
      </c>
      <c r="C40" s="3" t="s">
        <v>471</v>
      </c>
      <c r="D40" s="32" t="n">
        <v>4000</v>
      </c>
      <c r="E40" s="32" t="n">
        <v>4000</v>
      </c>
      <c r="F40" s="32" t="n">
        <v>4000</v>
      </c>
      <c r="G40" s="32" t="n">
        <v>4000</v>
      </c>
      <c r="H40" s="32" t="n">
        <v>4000</v>
      </c>
      <c r="I40" s="32" t="n">
        <v>4000</v>
      </c>
      <c r="J40" s="32" t="n">
        <v>4000</v>
      </c>
      <c r="K40" s="32" t="n">
        <v>4000</v>
      </c>
      <c r="L40" s="32" t="n">
        <v>4000</v>
      </c>
      <c r="M40" s="32" t="n">
        <v>4000</v>
      </c>
      <c r="N40" s="32" t="n">
        <v>4000</v>
      </c>
      <c r="O40" s="32" t="n">
        <v>4000</v>
      </c>
      <c r="P40" s="32" t="n">
        <v>4000</v>
      </c>
      <c r="Q40" s="32" t="n">
        <v>4000</v>
      </c>
      <c r="R40" s="32" t="n">
        <v>4000</v>
      </c>
      <c r="S40" s="32" t="n">
        <v>4000</v>
      </c>
      <c r="T40" s="32" t="n">
        <v>4000</v>
      </c>
      <c r="U40" s="32" t="n">
        <v>4000</v>
      </c>
      <c r="V40" s="32" t="n">
        <v>4000</v>
      </c>
      <c r="W40" s="32" t="n">
        <v>4000</v>
      </c>
      <c r="X40" s="32" t="n">
        <v>4000</v>
      </c>
      <c r="Y40" s="32" t="n">
        <v>4000</v>
      </c>
      <c r="Z40" s="32" t="n">
        <v>4000</v>
      </c>
      <c r="AA40" s="13" t="n">
        <f aca="false">IFERROR(AVERAGEIF(D40:G40,"&lt;&gt;0"),"")</f>
        <v>4000</v>
      </c>
      <c r="AB40" s="13" t="n">
        <f aca="false">IFERROR(AVERAGEIF(H40:L40,"&lt;&gt;0"),"")</f>
        <v>4000</v>
      </c>
      <c r="AC40" s="13" t="n">
        <f aca="false">IFERROR(AVERAGEIF(M40:Q40,"&lt;&gt;0"),"")</f>
        <v>4000</v>
      </c>
      <c r="AD40" s="13" t="n">
        <f aca="false">IFERROR(AVERAGEIF(R40:V40,"&lt;&gt;0"),"")</f>
        <v>4000</v>
      </c>
      <c r="AE40" s="13" t="n">
        <f aca="false">IFERROR(AVERAGEIF(W40:Z40,"&lt;&gt;0"),"")</f>
        <v>4000</v>
      </c>
      <c r="AF40" s="13" t="n">
        <f aca="false">IFERROR(AVERAGEIF(D40:Z40,"&lt;&gt;0"),"")</f>
        <v>4000</v>
      </c>
    </row>
    <row r="41" customFormat="false" ht="15" hidden="false" customHeight="false" outlineLevel="0" collapsed="false">
      <c r="A41" s="3" t="n">
        <v>37</v>
      </c>
      <c r="B41" s="3" t="s">
        <v>480</v>
      </c>
      <c r="C41" s="3" t="s">
        <v>471</v>
      </c>
      <c r="D41" s="32" t="n">
        <v>2000</v>
      </c>
      <c r="E41" s="32" t="n">
        <v>2000</v>
      </c>
      <c r="F41" s="32" t="n">
        <v>2000</v>
      </c>
      <c r="G41" s="32" t="n">
        <v>2000</v>
      </c>
      <c r="H41" s="32" t="n">
        <v>2000</v>
      </c>
      <c r="I41" s="32" t="n">
        <v>2000</v>
      </c>
      <c r="J41" s="32" t="n">
        <v>2000</v>
      </c>
      <c r="K41" s="32" t="n">
        <v>2000</v>
      </c>
      <c r="L41" s="32" t="n">
        <v>2000</v>
      </c>
      <c r="M41" s="32" t="n">
        <v>2000</v>
      </c>
      <c r="N41" s="32" t="n">
        <v>2000</v>
      </c>
      <c r="O41" s="32" t="n">
        <v>2000</v>
      </c>
      <c r="P41" s="32" t="n">
        <v>2000</v>
      </c>
      <c r="Q41" s="32" t="n">
        <v>2000</v>
      </c>
      <c r="R41" s="32" t="n">
        <v>2000</v>
      </c>
      <c r="S41" s="32" t="n">
        <v>2000</v>
      </c>
      <c r="T41" s="32" t="n">
        <v>2000</v>
      </c>
      <c r="U41" s="32" t="n">
        <v>2000</v>
      </c>
      <c r="V41" s="32" t="n">
        <v>2000</v>
      </c>
      <c r="W41" s="32" t="n">
        <v>2000</v>
      </c>
      <c r="X41" s="32" t="n">
        <v>2000</v>
      </c>
      <c r="Y41" s="32" t="n">
        <v>2000</v>
      </c>
      <c r="Z41" s="32" t="n">
        <v>2000</v>
      </c>
      <c r="AA41" s="13" t="n">
        <f aca="false">IFERROR(AVERAGEIF(D41:G41,"&lt;&gt;0"),"")</f>
        <v>2000</v>
      </c>
      <c r="AB41" s="13" t="n">
        <f aca="false">IFERROR(AVERAGEIF(H41:L41,"&lt;&gt;0"),"")</f>
        <v>2000</v>
      </c>
      <c r="AC41" s="13" t="n">
        <f aca="false">IFERROR(AVERAGEIF(M41:Q41,"&lt;&gt;0"),"")</f>
        <v>2000</v>
      </c>
      <c r="AD41" s="13" t="n">
        <f aca="false">IFERROR(AVERAGEIF(R41:V41,"&lt;&gt;0"),"")</f>
        <v>2000</v>
      </c>
      <c r="AE41" s="13" t="n">
        <f aca="false">IFERROR(AVERAGEIF(W41:Z41,"&lt;&gt;0"),"")</f>
        <v>2000</v>
      </c>
      <c r="AF41" s="13" t="n">
        <f aca="false">IFERROR(AVERAGEIF(D41:Z41,"&lt;&gt;0"),"")</f>
        <v>2000</v>
      </c>
    </row>
    <row r="42" customFormat="false" ht="15" hidden="false" customHeight="false" outlineLevel="0" collapsed="false">
      <c r="A42" s="3" t="n">
        <v>38</v>
      </c>
      <c r="B42" s="3" t="s">
        <v>481</v>
      </c>
      <c r="C42" s="3" t="s">
        <v>471</v>
      </c>
      <c r="D42" s="32" t="n">
        <v>5000</v>
      </c>
      <c r="E42" s="32" t="n">
        <v>5000</v>
      </c>
      <c r="F42" s="32" t="n">
        <v>5000</v>
      </c>
      <c r="G42" s="32" t="n">
        <v>5000</v>
      </c>
      <c r="H42" s="32" t="n">
        <v>5000</v>
      </c>
      <c r="I42" s="32" t="n">
        <v>5000</v>
      </c>
      <c r="J42" s="32" t="n">
        <v>5000</v>
      </c>
      <c r="K42" s="32" t="n">
        <v>6000</v>
      </c>
      <c r="L42" s="32" t="n">
        <v>6000</v>
      </c>
      <c r="M42" s="32" t="n">
        <v>6000</v>
      </c>
      <c r="N42" s="32" t="n">
        <v>6000</v>
      </c>
      <c r="O42" s="32" t="n">
        <v>6000</v>
      </c>
      <c r="P42" s="32" t="n">
        <v>6000</v>
      </c>
      <c r="Q42" s="32" t="n">
        <v>6000</v>
      </c>
      <c r="R42" s="32" t="n">
        <v>6000</v>
      </c>
      <c r="S42" s="32" t="n">
        <v>6000</v>
      </c>
      <c r="T42" s="32" t="n">
        <v>6000</v>
      </c>
      <c r="U42" s="32" t="n">
        <v>6000</v>
      </c>
      <c r="V42" s="32" t="n">
        <v>6000</v>
      </c>
      <c r="W42" s="32" t="n">
        <v>6000</v>
      </c>
      <c r="X42" s="32" t="n">
        <v>6000</v>
      </c>
      <c r="Y42" s="32" t="n">
        <v>6000</v>
      </c>
      <c r="Z42" s="32" t="n">
        <v>6000</v>
      </c>
      <c r="AA42" s="13" t="n">
        <f aca="false">IFERROR(AVERAGEIF(D42:G42,"&lt;&gt;0"),"")</f>
        <v>5000</v>
      </c>
      <c r="AB42" s="13" t="n">
        <f aca="false">IFERROR(AVERAGEIF(H42:L42,"&lt;&gt;0"),"")</f>
        <v>5400</v>
      </c>
      <c r="AC42" s="13" t="n">
        <f aca="false">IFERROR(AVERAGEIF(M42:Q42,"&lt;&gt;0"),"")</f>
        <v>6000</v>
      </c>
      <c r="AD42" s="13" t="n">
        <f aca="false">IFERROR(AVERAGEIF(R42:V42,"&lt;&gt;0"),"")</f>
        <v>6000</v>
      </c>
      <c r="AE42" s="13" t="n">
        <f aca="false">IFERROR(AVERAGEIF(W42:Z42,"&lt;&gt;0"),"")</f>
        <v>6000</v>
      </c>
      <c r="AF42" s="13" t="n">
        <f aca="false">IFERROR(AVERAGEIF(D42:Z42,"&lt;&gt;0"),"")</f>
        <v>5695.65217391304</v>
      </c>
    </row>
    <row r="43" customFormat="false" ht="15" hidden="false" customHeight="false" outlineLevel="0" collapsed="false">
      <c r="A43" s="3" t="n">
        <v>39</v>
      </c>
      <c r="B43" s="3" t="s">
        <v>482</v>
      </c>
      <c r="C43" s="3" t="s">
        <v>471</v>
      </c>
      <c r="D43" s="32" t="n">
        <v>5000</v>
      </c>
      <c r="E43" s="32" t="n">
        <v>5000</v>
      </c>
      <c r="F43" s="32" t="n">
        <v>5000</v>
      </c>
      <c r="G43" s="32" t="n">
        <v>5000</v>
      </c>
      <c r="H43" s="32" t="n">
        <v>5000</v>
      </c>
      <c r="I43" s="32" t="n">
        <v>5000</v>
      </c>
      <c r="J43" s="32" t="n">
        <v>5000</v>
      </c>
      <c r="K43" s="32" t="n">
        <v>5000</v>
      </c>
      <c r="L43" s="32" t="n">
        <v>5000</v>
      </c>
      <c r="M43" s="32" t="n">
        <v>5000</v>
      </c>
      <c r="N43" s="32" t="n">
        <v>5000</v>
      </c>
      <c r="O43" s="32" t="n">
        <v>5000</v>
      </c>
      <c r="P43" s="32" t="n">
        <v>5000</v>
      </c>
      <c r="Q43" s="32" t="n">
        <v>5000</v>
      </c>
      <c r="R43" s="32" t="n">
        <v>5000</v>
      </c>
      <c r="S43" s="32" t="n">
        <v>5000</v>
      </c>
      <c r="T43" s="32" t="n">
        <v>5000</v>
      </c>
      <c r="U43" s="32" t="n">
        <v>5000</v>
      </c>
      <c r="V43" s="32" t="n">
        <v>5000</v>
      </c>
      <c r="W43" s="32" t="n">
        <v>5000</v>
      </c>
      <c r="X43" s="32" t="n">
        <v>5000</v>
      </c>
      <c r="Y43" s="32" t="n">
        <v>5000</v>
      </c>
      <c r="Z43" s="32" t="n">
        <v>5000</v>
      </c>
      <c r="AA43" s="13" t="n">
        <f aca="false">IFERROR(AVERAGEIF(D43:G43,"&lt;&gt;0"),"")</f>
        <v>5000</v>
      </c>
      <c r="AB43" s="13" t="n">
        <f aca="false">IFERROR(AVERAGEIF(H43:L43,"&lt;&gt;0"),"")</f>
        <v>5000</v>
      </c>
      <c r="AC43" s="13" t="n">
        <f aca="false">IFERROR(AVERAGEIF(M43:Q43,"&lt;&gt;0"),"")</f>
        <v>5000</v>
      </c>
      <c r="AD43" s="13" t="n">
        <f aca="false">IFERROR(AVERAGEIF(R43:V43,"&lt;&gt;0"),"")</f>
        <v>5000</v>
      </c>
      <c r="AE43" s="13" t="n">
        <f aca="false">IFERROR(AVERAGEIF(W43:Z43,"&lt;&gt;0"),"")</f>
        <v>5000</v>
      </c>
      <c r="AF43" s="13" t="n">
        <f aca="false">IFERROR(AVERAGEIF(D43:Z43,"&lt;&gt;0"),"")</f>
        <v>5000</v>
      </c>
    </row>
    <row r="44" customFormat="false" ht="15" hidden="false" customHeight="false" outlineLevel="0" collapsed="false">
      <c r="A44" s="3" t="n">
        <v>40</v>
      </c>
      <c r="B44" s="3" t="s">
        <v>483</v>
      </c>
      <c r="C44" s="3" t="s">
        <v>471</v>
      </c>
      <c r="D44" s="32" t="n">
        <v>4000</v>
      </c>
      <c r="E44" s="32" t="n">
        <v>4000</v>
      </c>
      <c r="F44" s="32" t="n">
        <v>4000</v>
      </c>
      <c r="G44" s="32" t="n">
        <v>4000</v>
      </c>
      <c r="H44" s="32" t="n">
        <v>4000</v>
      </c>
      <c r="I44" s="32" t="n">
        <v>4000</v>
      </c>
      <c r="J44" s="32" t="n">
        <v>4000</v>
      </c>
      <c r="K44" s="32" t="n">
        <v>4000</v>
      </c>
      <c r="L44" s="32" t="n">
        <v>4000</v>
      </c>
      <c r="M44" s="32" t="n">
        <v>4000</v>
      </c>
      <c r="N44" s="32" t="n">
        <v>4000</v>
      </c>
      <c r="O44" s="32" t="n">
        <v>4000</v>
      </c>
      <c r="P44" s="32" t="n">
        <v>4000</v>
      </c>
      <c r="Q44" s="32" t="n">
        <v>4000</v>
      </c>
      <c r="R44" s="32" t="n">
        <v>4000</v>
      </c>
      <c r="S44" s="32" t="n">
        <v>4000</v>
      </c>
      <c r="T44" s="32" t="n">
        <v>4000</v>
      </c>
      <c r="U44" s="32" t="n">
        <v>4000</v>
      </c>
      <c r="V44" s="32" t="n">
        <v>4000</v>
      </c>
      <c r="W44" s="32" t="n">
        <v>4000</v>
      </c>
      <c r="X44" s="32" t="n">
        <v>4000</v>
      </c>
      <c r="Y44" s="32" t="n">
        <v>4000</v>
      </c>
      <c r="Z44" s="32" t="n">
        <v>4000</v>
      </c>
      <c r="AA44" s="13" t="n">
        <f aca="false">IFERROR(AVERAGEIF(D44:G44,"&lt;&gt;0"),"")</f>
        <v>4000</v>
      </c>
      <c r="AB44" s="13" t="n">
        <f aca="false">IFERROR(AVERAGEIF(H44:L44,"&lt;&gt;0"),"")</f>
        <v>4000</v>
      </c>
      <c r="AC44" s="13" t="n">
        <f aca="false">IFERROR(AVERAGEIF(M44:Q44,"&lt;&gt;0"),"")</f>
        <v>4000</v>
      </c>
      <c r="AD44" s="13" t="n">
        <f aca="false">IFERROR(AVERAGEIF(R44:V44,"&lt;&gt;0"),"")</f>
        <v>4000</v>
      </c>
      <c r="AE44" s="13" t="n">
        <f aca="false">IFERROR(AVERAGEIF(W44:Z44,"&lt;&gt;0"),"")</f>
        <v>4000</v>
      </c>
      <c r="AF44" s="13" t="n">
        <f aca="false">IFERROR(AVERAGEIF(D44:Z44,"&lt;&gt;0"),"")</f>
        <v>4000</v>
      </c>
    </row>
    <row r="45" customFormat="false" ht="15" hidden="false" customHeight="false" outlineLevel="0" collapsed="false">
      <c r="A45" s="3" t="n">
        <v>41</v>
      </c>
      <c r="B45" s="3" t="s">
        <v>484</v>
      </c>
      <c r="C45" s="3" t="s">
        <v>471</v>
      </c>
      <c r="D45" s="32" t="n">
        <v>70000</v>
      </c>
      <c r="E45" s="32" t="n">
        <v>70000</v>
      </c>
      <c r="F45" s="32" t="n">
        <v>70000</v>
      </c>
      <c r="G45" s="32" t="n">
        <v>70000</v>
      </c>
      <c r="H45" s="32" t="n">
        <v>70000</v>
      </c>
      <c r="I45" s="32" t="n">
        <v>70000</v>
      </c>
      <c r="J45" s="32" t="n">
        <v>70000</v>
      </c>
      <c r="K45" s="32" t="n">
        <v>70000</v>
      </c>
      <c r="L45" s="32" t="n">
        <v>70000</v>
      </c>
      <c r="M45" s="32" t="n">
        <v>70000</v>
      </c>
      <c r="N45" s="32" t="n">
        <v>60000</v>
      </c>
      <c r="O45" s="32" t="n">
        <v>60000</v>
      </c>
      <c r="P45" s="32" t="n">
        <v>60000</v>
      </c>
      <c r="Q45" s="32" t="n">
        <v>60000</v>
      </c>
      <c r="R45" s="32" t="n">
        <v>60000</v>
      </c>
      <c r="S45" s="32" t="n">
        <v>60000</v>
      </c>
      <c r="T45" s="32" t="n">
        <v>60000</v>
      </c>
      <c r="U45" s="32" t="n">
        <v>60000</v>
      </c>
      <c r="V45" s="32" t="n">
        <v>60000</v>
      </c>
      <c r="W45" s="32" t="n">
        <v>60000</v>
      </c>
      <c r="X45" s="32" t="n">
        <v>60000</v>
      </c>
      <c r="Y45" s="32" t="n">
        <v>60000</v>
      </c>
      <c r="Z45" s="32" t="n">
        <v>60000</v>
      </c>
      <c r="AA45" s="13" t="n">
        <f aca="false">IFERROR(AVERAGEIF(D45:G45,"&lt;&gt;0"),"")</f>
        <v>70000</v>
      </c>
      <c r="AB45" s="13" t="n">
        <f aca="false">IFERROR(AVERAGEIF(H45:L45,"&lt;&gt;0"),"")</f>
        <v>70000</v>
      </c>
      <c r="AC45" s="13" t="n">
        <f aca="false">IFERROR(AVERAGEIF(M45:Q45,"&lt;&gt;0"),"")</f>
        <v>62000</v>
      </c>
      <c r="AD45" s="13" t="n">
        <f aca="false">IFERROR(AVERAGEIF(R45:V45,"&lt;&gt;0"),"")</f>
        <v>60000</v>
      </c>
      <c r="AE45" s="13" t="n">
        <f aca="false">IFERROR(AVERAGEIF(W45:Z45,"&lt;&gt;0"),"")</f>
        <v>60000</v>
      </c>
      <c r="AF45" s="13" t="n">
        <f aca="false">IFERROR(AVERAGEIF(D45:Z45,"&lt;&gt;0"),"")</f>
        <v>64347.8260869565</v>
      </c>
    </row>
    <row r="46" customFormat="false" ht="15" hidden="false" customHeight="false" outlineLevel="0" collapsed="false">
      <c r="A46" s="3" t="n">
        <v>42</v>
      </c>
      <c r="B46" s="3" t="s">
        <v>485</v>
      </c>
      <c r="C46" s="3" t="s">
        <v>471</v>
      </c>
      <c r="D46" s="32" t="n">
        <v>40000</v>
      </c>
      <c r="E46" s="32" t="n">
        <v>40000</v>
      </c>
      <c r="F46" s="32" t="n">
        <v>40000</v>
      </c>
      <c r="G46" s="32" t="n">
        <v>40000</v>
      </c>
      <c r="H46" s="32" t="n">
        <v>40000</v>
      </c>
      <c r="I46" s="32" t="n">
        <v>40000</v>
      </c>
      <c r="J46" s="32" t="n">
        <v>40000</v>
      </c>
      <c r="K46" s="32" t="n">
        <v>40000</v>
      </c>
      <c r="L46" s="32" t="n">
        <v>40000</v>
      </c>
      <c r="M46" s="32" t="n">
        <v>40000</v>
      </c>
      <c r="N46" s="32" t="n">
        <v>35000</v>
      </c>
      <c r="O46" s="32" t="n">
        <v>35000</v>
      </c>
      <c r="P46" s="32" t="n">
        <v>35000</v>
      </c>
      <c r="Q46" s="32" t="n">
        <v>35000</v>
      </c>
      <c r="R46" s="32" t="n">
        <v>35000</v>
      </c>
      <c r="S46" s="32" t="n">
        <v>35000</v>
      </c>
      <c r="T46" s="32" t="n">
        <v>35000</v>
      </c>
      <c r="U46" s="32" t="n">
        <v>35000</v>
      </c>
      <c r="V46" s="32" t="n">
        <v>35000</v>
      </c>
      <c r="W46" s="32" t="n">
        <v>35000</v>
      </c>
      <c r="X46" s="32" t="n">
        <v>35000</v>
      </c>
      <c r="Y46" s="32" t="n">
        <v>35000</v>
      </c>
      <c r="Z46" s="32" t="n">
        <v>35000</v>
      </c>
      <c r="AA46" s="13" t="n">
        <f aca="false">IFERROR(AVERAGEIF(D46:G46,"&lt;&gt;0"),"")</f>
        <v>40000</v>
      </c>
      <c r="AB46" s="13" t="n">
        <f aca="false">IFERROR(AVERAGEIF(H46:L46,"&lt;&gt;0"),"")</f>
        <v>40000</v>
      </c>
      <c r="AC46" s="13" t="n">
        <f aca="false">IFERROR(AVERAGEIF(M46:Q46,"&lt;&gt;0"),"")</f>
        <v>36000</v>
      </c>
      <c r="AD46" s="13" t="n">
        <f aca="false">IFERROR(AVERAGEIF(R46:V46,"&lt;&gt;0"),"")</f>
        <v>35000</v>
      </c>
      <c r="AE46" s="13" t="n">
        <f aca="false">IFERROR(AVERAGEIF(W46:Z46,"&lt;&gt;0"),"")</f>
        <v>35000</v>
      </c>
      <c r="AF46" s="13" t="n">
        <f aca="false">IFERROR(AVERAGEIF(D46:Z46,"&lt;&gt;0"),"")</f>
        <v>37173.9130434783</v>
      </c>
    </row>
    <row r="47" customFormat="false" ht="15" hidden="false" customHeight="false" outlineLevel="0" collapsed="false">
      <c r="A47" s="3" t="n">
        <v>43</v>
      </c>
      <c r="B47" s="3" t="s">
        <v>486</v>
      </c>
      <c r="C47" s="3" t="s">
        <v>471</v>
      </c>
      <c r="D47" s="32" t="n">
        <v>27000</v>
      </c>
      <c r="E47" s="32" t="n">
        <v>27000</v>
      </c>
      <c r="F47" s="32" t="n">
        <v>27000</v>
      </c>
      <c r="G47" s="32" t="n">
        <v>27000</v>
      </c>
      <c r="H47" s="32" t="n">
        <v>27000</v>
      </c>
      <c r="I47" s="32" t="n">
        <v>27000</v>
      </c>
      <c r="J47" s="32" t="n">
        <v>27000</v>
      </c>
      <c r="K47" s="32" t="n">
        <v>27000</v>
      </c>
      <c r="L47" s="32" t="n">
        <v>27000</v>
      </c>
      <c r="M47" s="32" t="n">
        <v>27000</v>
      </c>
      <c r="N47" s="32" t="n">
        <v>27000</v>
      </c>
      <c r="O47" s="32" t="n">
        <v>27000</v>
      </c>
      <c r="P47" s="32" t="n">
        <v>27000</v>
      </c>
      <c r="Q47" s="32" t="n">
        <v>27000</v>
      </c>
      <c r="R47" s="32" t="n">
        <v>27000</v>
      </c>
      <c r="S47" s="32" t="n">
        <v>27000</v>
      </c>
      <c r="T47" s="32" t="n">
        <v>27000</v>
      </c>
      <c r="U47" s="32" t="n">
        <v>27000</v>
      </c>
      <c r="V47" s="32" t="n">
        <v>27000</v>
      </c>
      <c r="W47" s="32" t="n">
        <v>27000</v>
      </c>
      <c r="X47" s="32" t="n">
        <v>27000</v>
      </c>
      <c r="Y47" s="32" t="n">
        <v>27000</v>
      </c>
      <c r="Z47" s="32" t="n">
        <v>27000</v>
      </c>
      <c r="AA47" s="13" t="n">
        <f aca="false">IFERROR(AVERAGEIF(D47:G47,"&lt;&gt;0"),"")</f>
        <v>27000</v>
      </c>
      <c r="AB47" s="13" t="n">
        <f aca="false">IFERROR(AVERAGEIF(H47:L47,"&lt;&gt;0"),"")</f>
        <v>27000</v>
      </c>
      <c r="AC47" s="13" t="n">
        <f aca="false">IFERROR(AVERAGEIF(M47:Q47,"&lt;&gt;0"),"")</f>
        <v>27000</v>
      </c>
      <c r="AD47" s="13" t="n">
        <f aca="false">IFERROR(AVERAGEIF(R47:V47,"&lt;&gt;0"),"")</f>
        <v>27000</v>
      </c>
      <c r="AE47" s="13" t="n">
        <f aca="false">IFERROR(AVERAGEIF(W47:Z47,"&lt;&gt;0"),"")</f>
        <v>27000</v>
      </c>
      <c r="AF47" s="13" t="n">
        <f aca="false">IFERROR(AVERAGEIF(D47:Z47,"&lt;&gt;0"),"")</f>
        <v>27000</v>
      </c>
    </row>
    <row r="48" customFormat="false" ht="15" hidden="false" customHeight="false" outlineLevel="0" collapsed="false">
      <c r="A48" s="3" t="n">
        <v>44</v>
      </c>
      <c r="B48" s="3" t="s">
        <v>487</v>
      </c>
      <c r="C48" s="3" t="s">
        <v>471</v>
      </c>
      <c r="D48" s="32" t="n">
        <v>14000</v>
      </c>
      <c r="E48" s="32" t="n">
        <v>14000</v>
      </c>
      <c r="F48" s="32" t="n">
        <v>14000</v>
      </c>
      <c r="G48" s="32" t="n">
        <v>14000</v>
      </c>
      <c r="H48" s="32" t="n">
        <v>14000</v>
      </c>
      <c r="I48" s="32" t="n">
        <v>14000</v>
      </c>
      <c r="J48" s="32" t="n">
        <v>14000</v>
      </c>
      <c r="K48" s="32" t="n">
        <v>14000</v>
      </c>
      <c r="L48" s="32" t="n">
        <v>14000</v>
      </c>
      <c r="M48" s="32" t="n">
        <v>14000</v>
      </c>
      <c r="N48" s="32" t="n">
        <v>14000</v>
      </c>
      <c r="O48" s="32" t="n">
        <v>14000</v>
      </c>
      <c r="P48" s="32" t="n">
        <v>14000</v>
      </c>
      <c r="Q48" s="32" t="n">
        <v>14000</v>
      </c>
      <c r="R48" s="32" t="n">
        <v>14000</v>
      </c>
      <c r="S48" s="32" t="n">
        <v>14000</v>
      </c>
      <c r="T48" s="32" t="n">
        <v>14000</v>
      </c>
      <c r="U48" s="32" t="n">
        <v>14000</v>
      </c>
      <c r="V48" s="32" t="n">
        <v>14000</v>
      </c>
      <c r="W48" s="32" t="n">
        <v>14000</v>
      </c>
      <c r="X48" s="32" t="n">
        <v>14000</v>
      </c>
      <c r="Y48" s="32" t="n">
        <v>14000</v>
      </c>
      <c r="Z48" s="32" t="n">
        <v>14000</v>
      </c>
      <c r="AA48" s="13" t="n">
        <f aca="false">IFERROR(AVERAGEIF(D48:G48,"&lt;&gt;0"),"")</f>
        <v>14000</v>
      </c>
      <c r="AB48" s="13" t="n">
        <f aca="false">IFERROR(AVERAGEIF(H48:L48,"&lt;&gt;0"),"")</f>
        <v>14000</v>
      </c>
      <c r="AC48" s="13" t="n">
        <f aca="false">IFERROR(AVERAGEIF(M48:Q48,"&lt;&gt;0"),"")</f>
        <v>14000</v>
      </c>
      <c r="AD48" s="13" t="n">
        <f aca="false">IFERROR(AVERAGEIF(R48:V48,"&lt;&gt;0"),"")</f>
        <v>14000</v>
      </c>
      <c r="AE48" s="13" t="n">
        <f aca="false">IFERROR(AVERAGEIF(W48:Z48,"&lt;&gt;0"),"")</f>
        <v>14000</v>
      </c>
      <c r="AF48" s="13" t="n">
        <f aca="false">IFERROR(AVERAGEIF(D48:Z48,"&lt;&gt;0"),"")</f>
        <v>14000</v>
      </c>
    </row>
  </sheetData>
  <mergeCells count="1">
    <mergeCell ref="A1:A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4"/>
    <col collapsed="false" customWidth="true" hidden="false" outlineLevel="0" max="23" min="4" style="0" width="9"/>
    <col collapsed="false" customWidth="true" hidden="false" outlineLevel="0" max="28" min="24" style="0" width="14"/>
  </cols>
  <sheetData>
    <row r="1" customFormat="false" ht="16.15" hidden="false" customHeight="false" outlineLevel="0" collapsed="false">
      <c r="A1" s="1" t="s">
        <v>674</v>
      </c>
      <c r="B1" s="1"/>
      <c r="C1" s="1"/>
      <c r="D1" s="1"/>
      <c r="E1" s="1"/>
      <c r="F1" s="1"/>
      <c r="G1" s="1"/>
      <c r="H1" s="1"/>
      <c r="I1" s="1"/>
      <c r="J1" s="1"/>
      <c r="K1" s="1"/>
      <c r="L1" s="1"/>
      <c r="M1" s="1"/>
      <c r="N1" s="1"/>
      <c r="O1" s="1"/>
      <c r="P1" s="1"/>
      <c r="Q1" s="1"/>
      <c r="R1" s="1"/>
      <c r="S1" s="1"/>
      <c r="T1" s="1"/>
      <c r="U1" s="1"/>
      <c r="V1" s="1"/>
      <c r="W1" s="1"/>
      <c r="X1" s="1"/>
      <c r="Y1" s="1"/>
      <c r="Z1" s="1"/>
      <c r="AA1" s="1"/>
      <c r="AB1" s="1"/>
    </row>
    <row r="2" customFormat="false" ht="15" hidden="false" customHeight="false" outlineLevel="0" collapsed="false">
      <c r="A2" s="7" t="s">
        <v>443</v>
      </c>
    </row>
    <row r="4" customFormat="false" ht="19.4" hidden="false" customHeight="false" outlineLevel="0" collapsed="false">
      <c r="A4" s="10" t="s">
        <v>1</v>
      </c>
      <c r="B4" s="10" t="s">
        <v>444</v>
      </c>
      <c r="C4" s="10" t="s">
        <v>445</v>
      </c>
      <c r="D4" s="10" t="s">
        <v>675</v>
      </c>
      <c r="E4" s="10" t="s">
        <v>676</v>
      </c>
      <c r="F4" s="10" t="s">
        <v>677</v>
      </c>
      <c r="G4" s="10" t="s">
        <v>678</v>
      </c>
      <c r="H4" s="10" t="s">
        <v>679</v>
      </c>
      <c r="I4" s="10" t="s">
        <v>680</v>
      </c>
      <c r="J4" s="10" t="s">
        <v>681</v>
      </c>
      <c r="K4" s="10" t="s">
        <v>682</v>
      </c>
      <c r="L4" s="10" t="s">
        <v>683</v>
      </c>
      <c r="M4" s="10" t="s">
        <v>684</v>
      </c>
      <c r="N4" s="10" t="s">
        <v>685</v>
      </c>
      <c r="O4" s="10" t="s">
        <v>686</v>
      </c>
      <c r="P4" s="10" t="s">
        <v>687</v>
      </c>
      <c r="Q4" s="10" t="s">
        <v>688</v>
      </c>
      <c r="R4" s="10" t="s">
        <v>689</v>
      </c>
      <c r="S4" s="10" t="s">
        <v>690</v>
      </c>
      <c r="T4" s="10" t="s">
        <v>691</v>
      </c>
      <c r="U4" s="10" t="s">
        <v>692</v>
      </c>
      <c r="V4" s="10" t="s">
        <v>693</v>
      </c>
      <c r="W4" s="10" t="s">
        <v>694</v>
      </c>
      <c r="X4" s="10" t="s">
        <v>695</v>
      </c>
      <c r="Y4" s="10" t="s">
        <v>696</v>
      </c>
      <c r="Z4" s="10" t="s">
        <v>697</v>
      </c>
      <c r="AA4" s="10" t="s">
        <v>698</v>
      </c>
      <c r="AB4" s="10" t="s">
        <v>699</v>
      </c>
    </row>
    <row r="5" customFormat="false" ht="15" hidden="false" customHeight="false" outlineLevel="0" collapsed="false">
      <c r="A5" s="3" t="n">
        <v>1</v>
      </c>
      <c r="B5" s="3" t="s">
        <v>407</v>
      </c>
      <c r="C5" s="3" t="s">
        <v>471</v>
      </c>
      <c r="D5" s="32" t="n">
        <v>12500</v>
      </c>
      <c r="E5" s="32" t="n">
        <v>12500</v>
      </c>
      <c r="F5" s="32" t="n">
        <v>12500</v>
      </c>
      <c r="G5" s="32" t="n">
        <v>12500</v>
      </c>
      <c r="H5" s="32" t="n">
        <v>12500</v>
      </c>
      <c r="I5" s="32" t="n">
        <v>12500</v>
      </c>
      <c r="J5" s="32" t="n">
        <v>12500</v>
      </c>
      <c r="K5" s="32" t="n">
        <v>12500</v>
      </c>
      <c r="L5" s="32" t="n">
        <v>12500</v>
      </c>
      <c r="M5" s="32" t="n">
        <v>12500</v>
      </c>
      <c r="N5" s="32" t="n">
        <v>0</v>
      </c>
      <c r="O5" s="32" t="n">
        <v>12500</v>
      </c>
      <c r="P5" s="32" t="n">
        <v>12500</v>
      </c>
      <c r="Q5" s="32" t="n">
        <v>12500</v>
      </c>
      <c r="R5" s="32" t="n">
        <v>12500</v>
      </c>
      <c r="S5" s="32" t="n">
        <v>12500</v>
      </c>
      <c r="T5" s="32" t="n">
        <v>12500</v>
      </c>
      <c r="U5" s="32" t="n">
        <v>12500</v>
      </c>
      <c r="V5" s="32" t="n">
        <v>12500</v>
      </c>
      <c r="W5" s="32" t="n">
        <v>12500</v>
      </c>
      <c r="X5" s="13" t="n">
        <f aca="false">IFERROR(AVERAGEIF(D5:H5,"&lt;&gt;0"),"")</f>
        <v>12500</v>
      </c>
      <c r="Y5" s="13" t="n">
        <f aca="false">IFERROR(AVERAGEIF(I5:M5,"&lt;&gt;0"),"")</f>
        <v>12500</v>
      </c>
      <c r="Z5" s="13" t="n">
        <f aca="false">IFERROR(AVERAGEIF(N5:R5,"&lt;&gt;0"),"")</f>
        <v>12500</v>
      </c>
      <c r="AA5" s="13" t="n">
        <f aca="false">IFERROR(AVERAGEIF(S5:W5,"&lt;&gt;0"),"")</f>
        <v>12500</v>
      </c>
      <c r="AB5" s="13" t="n">
        <f aca="false">IFERROR(AVERAGEIF(D5:W5,"&lt;&gt;0"),"")</f>
        <v>12500</v>
      </c>
    </row>
    <row r="6" customFormat="false" ht="15" hidden="false" customHeight="false" outlineLevel="0" collapsed="false">
      <c r="A6" s="3" t="n">
        <v>2</v>
      </c>
      <c r="B6" s="3" t="s">
        <v>408</v>
      </c>
      <c r="C6" s="3" t="s">
        <v>471</v>
      </c>
      <c r="D6" s="32" t="n">
        <v>14000</v>
      </c>
      <c r="E6" s="32" t="n">
        <v>14000</v>
      </c>
      <c r="F6" s="32" t="n">
        <v>14000</v>
      </c>
      <c r="G6" s="32" t="n">
        <v>14000</v>
      </c>
      <c r="H6" s="32" t="n">
        <v>14000</v>
      </c>
      <c r="I6" s="32" t="n">
        <v>14000</v>
      </c>
      <c r="J6" s="32" t="n">
        <v>14000</v>
      </c>
      <c r="K6" s="32" t="n">
        <v>14000</v>
      </c>
      <c r="L6" s="32" t="n">
        <v>14000</v>
      </c>
      <c r="M6" s="32" t="n">
        <v>14000</v>
      </c>
      <c r="N6" s="32" t="n">
        <v>0</v>
      </c>
      <c r="O6" s="32" t="n">
        <v>14000</v>
      </c>
      <c r="P6" s="32" t="n">
        <v>14000</v>
      </c>
      <c r="Q6" s="32" t="n">
        <v>14000</v>
      </c>
      <c r="R6" s="32" t="n">
        <v>14000</v>
      </c>
      <c r="S6" s="32" t="n">
        <v>14000</v>
      </c>
      <c r="T6" s="32" t="n">
        <v>14000</v>
      </c>
      <c r="U6" s="32" t="n">
        <v>14000</v>
      </c>
      <c r="V6" s="32" t="n">
        <v>14000</v>
      </c>
      <c r="W6" s="32" t="n">
        <v>14000</v>
      </c>
      <c r="X6" s="13" t="n">
        <f aca="false">IFERROR(AVERAGEIF(D6:H6,"&lt;&gt;0"),"")</f>
        <v>14000</v>
      </c>
      <c r="Y6" s="13" t="n">
        <f aca="false">IFERROR(AVERAGEIF(I6:M6,"&lt;&gt;0"),"")</f>
        <v>14000</v>
      </c>
      <c r="Z6" s="13" t="n">
        <f aca="false">IFERROR(AVERAGEIF(N6:R6,"&lt;&gt;0"),"")</f>
        <v>14000</v>
      </c>
      <c r="AA6" s="13" t="n">
        <f aca="false">IFERROR(AVERAGEIF(S6:W6,"&lt;&gt;0"),"")</f>
        <v>14000</v>
      </c>
      <c r="AB6" s="13" t="n">
        <f aca="false">IFERROR(AVERAGEIF(D6:W6,"&lt;&gt;0"),"")</f>
        <v>14000</v>
      </c>
    </row>
    <row r="7" customFormat="false" ht="15" hidden="false" customHeight="false" outlineLevel="0" collapsed="false">
      <c r="A7" s="3" t="n">
        <v>3</v>
      </c>
      <c r="B7" s="3" t="s">
        <v>409</v>
      </c>
      <c r="C7" s="3" t="s">
        <v>471</v>
      </c>
      <c r="D7" s="32" t="n">
        <v>12500</v>
      </c>
      <c r="E7" s="32" t="n">
        <v>12500</v>
      </c>
      <c r="F7" s="32" t="n">
        <v>12500</v>
      </c>
      <c r="G7" s="32" t="n">
        <v>12500</v>
      </c>
      <c r="H7" s="32" t="n">
        <v>12500</v>
      </c>
      <c r="I7" s="32" t="n">
        <v>12500</v>
      </c>
      <c r="J7" s="32" t="n">
        <v>12500</v>
      </c>
      <c r="K7" s="32" t="n">
        <v>12500</v>
      </c>
      <c r="L7" s="32" t="n">
        <v>12500</v>
      </c>
      <c r="M7" s="32" t="n">
        <v>12500</v>
      </c>
      <c r="N7" s="32" t="n">
        <v>0</v>
      </c>
      <c r="O7" s="32" t="n">
        <v>12500</v>
      </c>
      <c r="P7" s="32" t="n">
        <v>12500</v>
      </c>
      <c r="Q7" s="32" t="n">
        <v>12500</v>
      </c>
      <c r="R7" s="32" t="n">
        <v>12500</v>
      </c>
      <c r="S7" s="32" t="n">
        <v>12500</v>
      </c>
      <c r="T7" s="32" t="n">
        <v>12500</v>
      </c>
      <c r="U7" s="32" t="n">
        <v>12500</v>
      </c>
      <c r="V7" s="32" t="n">
        <v>12500</v>
      </c>
      <c r="W7" s="32" t="n">
        <v>12500</v>
      </c>
      <c r="X7" s="13" t="n">
        <f aca="false">IFERROR(AVERAGEIF(D7:H7,"&lt;&gt;0"),"")</f>
        <v>12500</v>
      </c>
      <c r="Y7" s="13" t="n">
        <f aca="false">IFERROR(AVERAGEIF(I7:M7,"&lt;&gt;0"),"")</f>
        <v>12500</v>
      </c>
      <c r="Z7" s="13" t="n">
        <f aca="false">IFERROR(AVERAGEIF(N7:R7,"&lt;&gt;0"),"")</f>
        <v>12500</v>
      </c>
      <c r="AA7" s="13" t="n">
        <f aca="false">IFERROR(AVERAGEIF(S7:W7,"&lt;&gt;0"),"")</f>
        <v>12500</v>
      </c>
      <c r="AB7" s="13" t="n">
        <f aca="false">IFERROR(AVERAGEIF(D7:W7,"&lt;&gt;0"),"")</f>
        <v>12500</v>
      </c>
    </row>
    <row r="8" customFormat="false" ht="15" hidden="false" customHeight="false" outlineLevel="0" collapsed="false">
      <c r="A8" s="3" t="n">
        <v>4</v>
      </c>
      <c r="B8" s="3" t="s">
        <v>472</v>
      </c>
      <c r="C8" s="3" t="s">
        <v>471</v>
      </c>
      <c r="D8" s="32" t="n">
        <v>11000</v>
      </c>
      <c r="E8" s="32" t="n">
        <v>11000</v>
      </c>
      <c r="F8" s="32" t="n">
        <v>11000</v>
      </c>
      <c r="G8" s="32" t="n">
        <v>11000</v>
      </c>
      <c r="H8" s="32" t="n">
        <v>11000</v>
      </c>
      <c r="I8" s="32" t="n">
        <v>11000</v>
      </c>
      <c r="J8" s="32" t="n">
        <v>11000</v>
      </c>
      <c r="K8" s="32" t="n">
        <v>11000</v>
      </c>
      <c r="L8" s="32" t="n">
        <v>11000</v>
      </c>
      <c r="M8" s="32" t="n">
        <v>11000</v>
      </c>
      <c r="N8" s="32" t="n">
        <v>0</v>
      </c>
      <c r="O8" s="32" t="n">
        <v>11000</v>
      </c>
      <c r="P8" s="32" t="n">
        <v>11000</v>
      </c>
      <c r="Q8" s="32" t="n">
        <v>11000</v>
      </c>
      <c r="R8" s="32" t="n">
        <v>11000</v>
      </c>
      <c r="S8" s="32" t="n">
        <v>11000</v>
      </c>
      <c r="T8" s="32" t="n">
        <v>11000</v>
      </c>
      <c r="U8" s="32" t="n">
        <v>11000</v>
      </c>
      <c r="V8" s="32" t="n">
        <v>11000</v>
      </c>
      <c r="W8" s="32" t="n">
        <v>11000</v>
      </c>
      <c r="X8" s="13" t="n">
        <f aca="false">IFERROR(AVERAGEIF(D8:H8,"&lt;&gt;0"),"")</f>
        <v>11000</v>
      </c>
      <c r="Y8" s="13" t="n">
        <f aca="false">IFERROR(AVERAGEIF(I8:M8,"&lt;&gt;0"),"")</f>
        <v>11000</v>
      </c>
      <c r="Z8" s="13" t="n">
        <f aca="false">IFERROR(AVERAGEIF(N8:R8,"&lt;&gt;0"),"")</f>
        <v>11000</v>
      </c>
      <c r="AA8" s="13" t="n">
        <f aca="false">IFERROR(AVERAGEIF(S8:W8,"&lt;&gt;0"),"")</f>
        <v>11000</v>
      </c>
      <c r="AB8" s="13" t="n">
        <f aca="false">IFERROR(AVERAGEIF(D8:W8,"&lt;&gt;0"),"")</f>
        <v>11000</v>
      </c>
    </row>
    <row r="9" customFormat="false" ht="15" hidden="false" customHeight="false" outlineLevel="0" collapsed="false">
      <c r="A9" s="3" t="n">
        <v>5</v>
      </c>
      <c r="B9" s="3" t="s">
        <v>428</v>
      </c>
      <c r="C9" s="3" t="s">
        <v>471</v>
      </c>
      <c r="D9" s="32" t="n">
        <v>26000</v>
      </c>
      <c r="E9" s="32" t="n">
        <v>26000</v>
      </c>
      <c r="F9" s="32" t="n">
        <v>26000</v>
      </c>
      <c r="G9" s="32" t="n">
        <v>26000</v>
      </c>
      <c r="H9" s="32" t="n">
        <v>26000</v>
      </c>
      <c r="I9" s="32" t="n">
        <v>26000</v>
      </c>
      <c r="J9" s="32" t="n">
        <v>26000</v>
      </c>
      <c r="K9" s="32" t="n">
        <v>26000</v>
      </c>
      <c r="L9" s="32" t="n">
        <v>26000</v>
      </c>
      <c r="M9" s="32" t="n">
        <v>26000</v>
      </c>
      <c r="N9" s="32" t="n">
        <v>0</v>
      </c>
      <c r="O9" s="32" t="n">
        <v>26000</v>
      </c>
      <c r="P9" s="32" t="n">
        <v>26000</v>
      </c>
      <c r="Q9" s="32" t="n">
        <v>26000</v>
      </c>
      <c r="R9" s="32" t="n">
        <v>26000</v>
      </c>
      <c r="S9" s="32" t="n">
        <v>26000</v>
      </c>
      <c r="T9" s="32" t="n">
        <v>26000</v>
      </c>
      <c r="U9" s="32" t="n">
        <v>26000</v>
      </c>
      <c r="V9" s="32" t="n">
        <v>26000</v>
      </c>
      <c r="W9" s="32" t="n">
        <v>26000</v>
      </c>
      <c r="X9" s="13" t="n">
        <f aca="false">IFERROR(AVERAGEIF(D9:H9,"&lt;&gt;0"),"")</f>
        <v>26000</v>
      </c>
      <c r="Y9" s="13" t="n">
        <f aca="false">IFERROR(AVERAGEIF(I9:M9,"&lt;&gt;0"),"")</f>
        <v>26000</v>
      </c>
      <c r="Z9" s="13" t="n">
        <f aca="false">IFERROR(AVERAGEIF(N9:R9,"&lt;&gt;0"),"")</f>
        <v>26000</v>
      </c>
      <c r="AA9" s="13" t="n">
        <f aca="false">IFERROR(AVERAGEIF(S9:W9,"&lt;&gt;0"),"")</f>
        <v>26000</v>
      </c>
      <c r="AB9" s="13" t="n">
        <f aca="false">IFERROR(AVERAGEIF(D9:W9,"&lt;&gt;0"),"")</f>
        <v>26000</v>
      </c>
    </row>
    <row r="10" customFormat="false" ht="15" hidden="false" customHeight="false" outlineLevel="0" collapsed="false">
      <c r="A10" s="3" t="n">
        <v>6</v>
      </c>
      <c r="B10" s="3" t="s">
        <v>429</v>
      </c>
      <c r="C10" s="3" t="s">
        <v>471</v>
      </c>
      <c r="D10" s="32" t="n">
        <v>22000</v>
      </c>
      <c r="E10" s="32" t="n">
        <v>22000</v>
      </c>
      <c r="F10" s="32" t="n">
        <v>22000</v>
      </c>
      <c r="G10" s="32" t="n">
        <v>22000</v>
      </c>
      <c r="H10" s="32" t="n">
        <v>22000</v>
      </c>
      <c r="I10" s="32" t="n">
        <v>22000</v>
      </c>
      <c r="J10" s="32" t="n">
        <v>22000</v>
      </c>
      <c r="K10" s="32" t="n">
        <v>22000</v>
      </c>
      <c r="L10" s="32" t="n">
        <v>22000</v>
      </c>
      <c r="M10" s="32" t="n">
        <v>23000</v>
      </c>
      <c r="N10" s="32" t="n">
        <v>0</v>
      </c>
      <c r="O10" s="32" t="n">
        <v>23000</v>
      </c>
      <c r="P10" s="32" t="n">
        <v>23000</v>
      </c>
      <c r="Q10" s="32" t="n">
        <v>23000</v>
      </c>
      <c r="R10" s="32" t="n">
        <v>23000</v>
      </c>
      <c r="S10" s="32" t="n">
        <v>23000</v>
      </c>
      <c r="T10" s="32" t="n">
        <v>23000</v>
      </c>
      <c r="U10" s="32" t="n">
        <v>23000</v>
      </c>
      <c r="V10" s="32" t="n">
        <v>23000</v>
      </c>
      <c r="W10" s="32" t="n">
        <v>23000</v>
      </c>
      <c r="X10" s="13" t="n">
        <f aca="false">IFERROR(AVERAGEIF(D10:H10,"&lt;&gt;0"),"")</f>
        <v>22000</v>
      </c>
      <c r="Y10" s="13" t="n">
        <f aca="false">IFERROR(AVERAGEIF(I10:M10,"&lt;&gt;0"),"")</f>
        <v>22200</v>
      </c>
      <c r="Z10" s="13" t="n">
        <f aca="false">IFERROR(AVERAGEIF(N10:R10,"&lt;&gt;0"),"")</f>
        <v>23000</v>
      </c>
      <c r="AA10" s="13" t="n">
        <f aca="false">IFERROR(AVERAGEIF(S10:W10,"&lt;&gt;0"),"")</f>
        <v>23000</v>
      </c>
      <c r="AB10" s="13" t="n">
        <f aca="false">IFERROR(AVERAGEIF(D10:W10,"&lt;&gt;0"),"")</f>
        <v>22526.3157894737</v>
      </c>
    </row>
    <row r="11" customFormat="false" ht="15" hidden="false" customHeight="false" outlineLevel="0" collapsed="false">
      <c r="A11" s="3" t="n">
        <v>7</v>
      </c>
      <c r="B11" s="3" t="s">
        <v>418</v>
      </c>
      <c r="C11" s="3" t="s">
        <v>471</v>
      </c>
      <c r="D11" s="32" t="n">
        <v>27000</v>
      </c>
      <c r="E11" s="32" t="n">
        <v>27000</v>
      </c>
      <c r="F11" s="32" t="n">
        <v>27000</v>
      </c>
      <c r="G11" s="32" t="n">
        <v>27000</v>
      </c>
      <c r="H11" s="32" t="n">
        <v>27000</v>
      </c>
      <c r="I11" s="32" t="n">
        <v>27000</v>
      </c>
      <c r="J11" s="32" t="n">
        <v>27000</v>
      </c>
      <c r="K11" s="32" t="n">
        <v>27000</v>
      </c>
      <c r="L11" s="32" t="n">
        <v>27000</v>
      </c>
      <c r="M11" s="32" t="n">
        <v>24000</v>
      </c>
      <c r="N11" s="32" t="n">
        <v>0</v>
      </c>
      <c r="O11" s="32" t="n">
        <v>24000</v>
      </c>
      <c r="P11" s="32" t="n">
        <v>24000</v>
      </c>
      <c r="Q11" s="32" t="n">
        <v>24000</v>
      </c>
      <c r="R11" s="32" t="n">
        <v>24000</v>
      </c>
      <c r="S11" s="32" t="n">
        <v>24000</v>
      </c>
      <c r="T11" s="32" t="n">
        <v>24000</v>
      </c>
      <c r="U11" s="32" t="n">
        <v>24000</v>
      </c>
      <c r="V11" s="32" t="n">
        <v>24000</v>
      </c>
      <c r="W11" s="32" t="n">
        <v>24000</v>
      </c>
      <c r="X11" s="13" t="n">
        <f aca="false">IFERROR(AVERAGEIF(D11:H11,"&lt;&gt;0"),"")</f>
        <v>27000</v>
      </c>
      <c r="Y11" s="13" t="n">
        <f aca="false">IFERROR(AVERAGEIF(I11:M11,"&lt;&gt;0"),"")</f>
        <v>26400</v>
      </c>
      <c r="Z11" s="13" t="n">
        <f aca="false">IFERROR(AVERAGEIF(N11:R11,"&lt;&gt;0"),"")</f>
        <v>24000</v>
      </c>
      <c r="AA11" s="13" t="n">
        <f aca="false">IFERROR(AVERAGEIF(S11:W11,"&lt;&gt;0"),"")</f>
        <v>24000</v>
      </c>
      <c r="AB11" s="13" t="n">
        <f aca="false">IFERROR(AVERAGEIF(D11:W11,"&lt;&gt;0"),"")</f>
        <v>25421.0526315789</v>
      </c>
    </row>
    <row r="12" customFormat="false" ht="15" hidden="false" customHeight="false" outlineLevel="0" collapsed="false">
      <c r="A12" s="3" t="n">
        <v>8</v>
      </c>
      <c r="B12" s="3" t="s">
        <v>423</v>
      </c>
      <c r="C12" s="3" t="s">
        <v>471</v>
      </c>
      <c r="D12" s="32" t="n">
        <v>28000</v>
      </c>
      <c r="E12" s="32" t="n">
        <v>28000</v>
      </c>
      <c r="F12" s="32" t="n">
        <v>28000</v>
      </c>
      <c r="G12" s="32" t="n">
        <v>28000</v>
      </c>
      <c r="H12" s="32" t="n">
        <v>28000</v>
      </c>
      <c r="I12" s="32" t="n">
        <v>28000</v>
      </c>
      <c r="J12" s="32" t="n">
        <v>28000</v>
      </c>
      <c r="K12" s="32" t="n">
        <v>28000</v>
      </c>
      <c r="L12" s="32" t="n">
        <v>28000</v>
      </c>
      <c r="M12" s="32" t="n">
        <v>30000</v>
      </c>
      <c r="N12" s="32" t="n">
        <v>0</v>
      </c>
      <c r="O12" s="32" t="n">
        <v>30000</v>
      </c>
      <c r="P12" s="32" t="n">
        <v>30000</v>
      </c>
      <c r="Q12" s="32" t="n">
        <v>30000</v>
      </c>
      <c r="R12" s="32" t="n">
        <v>30000</v>
      </c>
      <c r="S12" s="32" t="n">
        <v>30000</v>
      </c>
      <c r="T12" s="32" t="n">
        <v>30000</v>
      </c>
      <c r="U12" s="32" t="n">
        <v>30000</v>
      </c>
      <c r="V12" s="32" t="n">
        <v>30000</v>
      </c>
      <c r="W12" s="32" t="n">
        <v>30000</v>
      </c>
      <c r="X12" s="13" t="n">
        <f aca="false">IFERROR(AVERAGEIF(D12:H12,"&lt;&gt;0"),"")</f>
        <v>28000</v>
      </c>
      <c r="Y12" s="13" t="n">
        <f aca="false">IFERROR(AVERAGEIF(I12:M12,"&lt;&gt;0"),"")</f>
        <v>28400</v>
      </c>
      <c r="Z12" s="13" t="n">
        <f aca="false">IFERROR(AVERAGEIF(N12:R12,"&lt;&gt;0"),"")</f>
        <v>30000</v>
      </c>
      <c r="AA12" s="13" t="n">
        <f aca="false">IFERROR(AVERAGEIF(S12:W12,"&lt;&gt;0"),"")</f>
        <v>30000</v>
      </c>
      <c r="AB12" s="13" t="n">
        <f aca="false">IFERROR(AVERAGEIF(D12:W12,"&lt;&gt;0"),"")</f>
        <v>29052.6315789474</v>
      </c>
    </row>
    <row r="13" customFormat="false" ht="15" hidden="false" customHeight="false" outlineLevel="0" collapsed="false">
      <c r="A13" s="3" t="n">
        <v>9</v>
      </c>
      <c r="B13" s="3" t="s">
        <v>420</v>
      </c>
      <c r="C13" s="3" t="s">
        <v>471</v>
      </c>
      <c r="D13" s="32" t="n">
        <v>16000</v>
      </c>
      <c r="E13" s="32" t="n">
        <v>15500</v>
      </c>
      <c r="F13" s="32" t="n">
        <v>15500</v>
      </c>
      <c r="G13" s="32" t="n">
        <v>15500</v>
      </c>
      <c r="H13" s="32" t="n">
        <v>15500</v>
      </c>
      <c r="I13" s="32" t="n">
        <v>15500</v>
      </c>
      <c r="J13" s="32" t="n">
        <v>15500</v>
      </c>
      <c r="K13" s="32" t="n">
        <v>15500</v>
      </c>
      <c r="L13" s="32" t="n">
        <v>15500</v>
      </c>
      <c r="M13" s="32" t="n">
        <v>15500</v>
      </c>
      <c r="N13" s="32" t="n">
        <v>0</v>
      </c>
      <c r="O13" s="32" t="n">
        <v>15500</v>
      </c>
      <c r="P13" s="32" t="n">
        <v>15500</v>
      </c>
      <c r="Q13" s="32" t="n">
        <v>15500</v>
      </c>
      <c r="R13" s="32" t="n">
        <v>15500</v>
      </c>
      <c r="S13" s="32" t="n">
        <v>15500</v>
      </c>
      <c r="T13" s="32" t="n">
        <v>15500</v>
      </c>
      <c r="U13" s="32" t="n">
        <v>15500</v>
      </c>
      <c r="V13" s="32" t="n">
        <v>15500</v>
      </c>
      <c r="W13" s="32" t="n">
        <v>15500</v>
      </c>
      <c r="X13" s="13" t="n">
        <f aca="false">IFERROR(AVERAGEIF(D13:H13,"&lt;&gt;0"),"")</f>
        <v>15600</v>
      </c>
      <c r="Y13" s="13" t="n">
        <f aca="false">IFERROR(AVERAGEIF(I13:M13,"&lt;&gt;0"),"")</f>
        <v>15500</v>
      </c>
      <c r="Z13" s="13" t="n">
        <f aca="false">IFERROR(AVERAGEIF(N13:R13,"&lt;&gt;0"),"")</f>
        <v>15500</v>
      </c>
      <c r="AA13" s="13" t="n">
        <f aca="false">IFERROR(AVERAGEIF(S13:W13,"&lt;&gt;0"),"")</f>
        <v>15500</v>
      </c>
      <c r="AB13" s="13" t="n">
        <f aca="false">IFERROR(AVERAGEIF(D13:W13,"&lt;&gt;0"),"")</f>
        <v>15526.3157894737</v>
      </c>
    </row>
    <row r="14" customFormat="false" ht="15" hidden="false" customHeight="false" outlineLevel="0" collapsed="false">
      <c r="A14" s="3" t="n">
        <v>10</v>
      </c>
      <c r="B14" s="3" t="s">
        <v>413</v>
      </c>
      <c r="C14" s="3" t="s">
        <v>471</v>
      </c>
      <c r="D14" s="32" t="n">
        <v>15000</v>
      </c>
      <c r="E14" s="32" t="n">
        <v>15000</v>
      </c>
      <c r="F14" s="32" t="n">
        <v>15000</v>
      </c>
      <c r="G14" s="32" t="n">
        <v>15000</v>
      </c>
      <c r="H14" s="32" t="n">
        <v>15000</v>
      </c>
      <c r="I14" s="32" t="n">
        <v>15000</v>
      </c>
      <c r="J14" s="32" t="n">
        <v>15000</v>
      </c>
      <c r="K14" s="32" t="n">
        <v>15000</v>
      </c>
      <c r="L14" s="32" t="n">
        <v>15000</v>
      </c>
      <c r="M14" s="32" t="n">
        <v>15000</v>
      </c>
      <c r="N14" s="32" t="n">
        <v>0</v>
      </c>
      <c r="O14" s="32" t="n">
        <v>15000</v>
      </c>
      <c r="P14" s="32" t="n">
        <v>15000</v>
      </c>
      <c r="Q14" s="32" t="n">
        <v>15000</v>
      </c>
      <c r="R14" s="32" t="n">
        <v>15000</v>
      </c>
      <c r="S14" s="32" t="n">
        <v>15000</v>
      </c>
      <c r="T14" s="32" t="n">
        <v>15000</v>
      </c>
      <c r="U14" s="32" t="n">
        <v>15000</v>
      </c>
      <c r="V14" s="32" t="n">
        <v>15000</v>
      </c>
      <c r="W14" s="32" t="n">
        <v>15000</v>
      </c>
      <c r="X14" s="13" t="n">
        <f aca="false">IFERROR(AVERAGEIF(D14:H14,"&lt;&gt;0"),"")</f>
        <v>15000</v>
      </c>
      <c r="Y14" s="13" t="n">
        <f aca="false">IFERROR(AVERAGEIF(I14:M14,"&lt;&gt;0"),"")</f>
        <v>15000</v>
      </c>
      <c r="Z14" s="13" t="n">
        <f aca="false">IFERROR(AVERAGEIF(N14:R14,"&lt;&gt;0"),"")</f>
        <v>15000</v>
      </c>
      <c r="AA14" s="13" t="n">
        <f aca="false">IFERROR(AVERAGEIF(S14:W14,"&lt;&gt;0"),"")</f>
        <v>15000</v>
      </c>
      <c r="AB14" s="13" t="n">
        <f aca="false">IFERROR(AVERAGEIF(D14:W14,"&lt;&gt;0"),"")</f>
        <v>15000</v>
      </c>
    </row>
    <row r="15" customFormat="false" ht="15" hidden="false" customHeight="false" outlineLevel="0" collapsed="false">
      <c r="A15" s="3" t="n">
        <v>11</v>
      </c>
      <c r="B15" s="3" t="s">
        <v>414</v>
      </c>
      <c r="C15" s="3" t="s">
        <v>471</v>
      </c>
      <c r="D15" s="32" t="n">
        <v>18000</v>
      </c>
      <c r="E15" s="32" t="n">
        <v>18000</v>
      </c>
      <c r="F15" s="32" t="n">
        <v>18000</v>
      </c>
      <c r="G15" s="32" t="n">
        <v>18000</v>
      </c>
      <c r="H15" s="32" t="n">
        <v>18000</v>
      </c>
      <c r="I15" s="32" t="n">
        <v>18000</v>
      </c>
      <c r="J15" s="32" t="n">
        <v>18000</v>
      </c>
      <c r="K15" s="32" t="n">
        <v>18000</v>
      </c>
      <c r="L15" s="32" t="n">
        <v>18000</v>
      </c>
      <c r="M15" s="32" t="n">
        <v>18000</v>
      </c>
      <c r="N15" s="32" t="n">
        <v>0</v>
      </c>
      <c r="O15" s="32" t="n">
        <v>18000</v>
      </c>
      <c r="P15" s="32" t="n">
        <v>18000</v>
      </c>
      <c r="Q15" s="32" t="n">
        <v>18000</v>
      </c>
      <c r="R15" s="32" t="n">
        <v>18000</v>
      </c>
      <c r="S15" s="32" t="n">
        <v>18000</v>
      </c>
      <c r="T15" s="32" t="n">
        <v>18000</v>
      </c>
      <c r="U15" s="32" t="n">
        <v>18000</v>
      </c>
      <c r="V15" s="32" t="n">
        <v>18000</v>
      </c>
      <c r="W15" s="32" t="n">
        <v>18000</v>
      </c>
      <c r="X15" s="13" t="n">
        <f aca="false">IFERROR(AVERAGEIF(D15:H15,"&lt;&gt;0"),"")</f>
        <v>18000</v>
      </c>
      <c r="Y15" s="13" t="n">
        <f aca="false">IFERROR(AVERAGEIF(I15:M15,"&lt;&gt;0"),"")</f>
        <v>18000</v>
      </c>
      <c r="Z15" s="13" t="n">
        <f aca="false">IFERROR(AVERAGEIF(N15:R15,"&lt;&gt;0"),"")</f>
        <v>18000</v>
      </c>
      <c r="AA15" s="13" t="n">
        <f aca="false">IFERROR(AVERAGEIF(S15:W15,"&lt;&gt;0"),"")</f>
        <v>18000</v>
      </c>
      <c r="AB15" s="13" t="n">
        <f aca="false">IFERROR(AVERAGEIF(D15:W15,"&lt;&gt;0"),"")</f>
        <v>18000</v>
      </c>
    </row>
    <row r="16" customFormat="false" ht="15" hidden="false" customHeight="false" outlineLevel="0" collapsed="false">
      <c r="A16" s="3" t="n">
        <v>12</v>
      </c>
      <c r="B16" s="3" t="s">
        <v>415</v>
      </c>
      <c r="C16" s="3" t="s">
        <v>471</v>
      </c>
      <c r="D16" s="32" t="n">
        <v>15700</v>
      </c>
      <c r="E16" s="32" t="n">
        <v>15700</v>
      </c>
      <c r="F16" s="32" t="n">
        <v>15700</v>
      </c>
      <c r="G16" s="32" t="n">
        <v>15700</v>
      </c>
      <c r="H16" s="32" t="n">
        <v>15700</v>
      </c>
      <c r="I16" s="32" t="n">
        <v>15700</v>
      </c>
      <c r="J16" s="32" t="n">
        <v>15700</v>
      </c>
      <c r="K16" s="32" t="n">
        <v>15700</v>
      </c>
      <c r="L16" s="32" t="n">
        <v>15700</v>
      </c>
      <c r="M16" s="32" t="n">
        <v>15700</v>
      </c>
      <c r="N16" s="32" t="n">
        <v>0</v>
      </c>
      <c r="O16" s="32" t="n">
        <v>15700</v>
      </c>
      <c r="P16" s="32" t="n">
        <v>15700</v>
      </c>
      <c r="Q16" s="32" t="n">
        <v>15700</v>
      </c>
      <c r="R16" s="32" t="n">
        <v>15700</v>
      </c>
      <c r="S16" s="32" t="n">
        <v>15700</v>
      </c>
      <c r="T16" s="32" t="n">
        <v>15700</v>
      </c>
      <c r="U16" s="32" t="n">
        <v>15700</v>
      </c>
      <c r="V16" s="32" t="n">
        <v>15700</v>
      </c>
      <c r="W16" s="32" t="n">
        <v>15700</v>
      </c>
      <c r="X16" s="13" t="n">
        <f aca="false">IFERROR(AVERAGEIF(D16:H16,"&lt;&gt;0"),"")</f>
        <v>15700</v>
      </c>
      <c r="Y16" s="13" t="n">
        <f aca="false">IFERROR(AVERAGEIF(I16:M16,"&lt;&gt;0"),"")</f>
        <v>15700</v>
      </c>
      <c r="Z16" s="13" t="n">
        <f aca="false">IFERROR(AVERAGEIF(N16:R16,"&lt;&gt;0"),"")</f>
        <v>15700</v>
      </c>
      <c r="AA16" s="13" t="n">
        <f aca="false">IFERROR(AVERAGEIF(S16:W16,"&lt;&gt;0"),"")</f>
        <v>15700</v>
      </c>
      <c r="AB16" s="13" t="n">
        <f aca="false">IFERROR(AVERAGEIF(D16:W16,"&lt;&gt;0"),"")</f>
        <v>15700</v>
      </c>
    </row>
    <row r="17" customFormat="false" ht="15" hidden="false" customHeight="false" outlineLevel="0" collapsed="false">
      <c r="A17" s="3" t="n">
        <v>13</v>
      </c>
      <c r="B17" s="3" t="s">
        <v>410</v>
      </c>
      <c r="C17" s="3" t="s">
        <v>471</v>
      </c>
      <c r="D17" s="32" t="n">
        <v>11000</v>
      </c>
      <c r="E17" s="32" t="n">
        <v>11000</v>
      </c>
      <c r="F17" s="32" t="n">
        <v>11000</v>
      </c>
      <c r="G17" s="32" t="n">
        <v>11000</v>
      </c>
      <c r="H17" s="32" t="n">
        <v>11000</v>
      </c>
      <c r="I17" s="32" t="n">
        <v>11000</v>
      </c>
      <c r="J17" s="32" t="n">
        <v>11000</v>
      </c>
      <c r="K17" s="32" t="n">
        <v>11000</v>
      </c>
      <c r="L17" s="32" t="n">
        <v>11000</v>
      </c>
      <c r="M17" s="32" t="n">
        <v>11000</v>
      </c>
      <c r="N17" s="32" t="n">
        <v>0</v>
      </c>
      <c r="O17" s="32" t="n">
        <v>11000</v>
      </c>
      <c r="P17" s="32" t="n">
        <v>11000</v>
      </c>
      <c r="Q17" s="32" t="n">
        <v>11000</v>
      </c>
      <c r="R17" s="32" t="n">
        <v>11000</v>
      </c>
      <c r="S17" s="32" t="n">
        <v>11000</v>
      </c>
      <c r="T17" s="32" t="n">
        <v>11000</v>
      </c>
      <c r="U17" s="32" t="n">
        <v>11000</v>
      </c>
      <c r="V17" s="32" t="n">
        <v>11000</v>
      </c>
      <c r="W17" s="32" t="n">
        <v>11000</v>
      </c>
      <c r="X17" s="13" t="n">
        <f aca="false">IFERROR(AVERAGEIF(D17:H17,"&lt;&gt;0"),"")</f>
        <v>11000</v>
      </c>
      <c r="Y17" s="13" t="n">
        <f aca="false">IFERROR(AVERAGEIF(I17:M17,"&lt;&gt;0"),"")</f>
        <v>11000</v>
      </c>
      <c r="Z17" s="13" t="n">
        <f aca="false">IFERROR(AVERAGEIF(N17:R17,"&lt;&gt;0"),"")</f>
        <v>11000</v>
      </c>
      <c r="AA17" s="13" t="n">
        <f aca="false">IFERROR(AVERAGEIF(S17:W17,"&lt;&gt;0"),"")</f>
        <v>11000</v>
      </c>
      <c r="AB17" s="13" t="n">
        <f aca="false">IFERROR(AVERAGEIF(D17:W17,"&lt;&gt;0"),"")</f>
        <v>11000</v>
      </c>
    </row>
    <row r="18" customFormat="false" ht="15" hidden="false" customHeight="false" outlineLevel="0" collapsed="false">
      <c r="A18" s="3" t="n">
        <v>14</v>
      </c>
      <c r="B18" s="3" t="s">
        <v>412</v>
      </c>
      <c r="C18" s="3" t="s">
        <v>471</v>
      </c>
      <c r="D18" s="32" t="n">
        <v>27000</v>
      </c>
      <c r="E18" s="32" t="n">
        <v>27000</v>
      </c>
      <c r="F18" s="32" t="n">
        <v>27000</v>
      </c>
      <c r="G18" s="32" t="n">
        <v>27000</v>
      </c>
      <c r="H18" s="32" t="n">
        <v>27000</v>
      </c>
      <c r="I18" s="32" t="n">
        <v>27000</v>
      </c>
      <c r="J18" s="32" t="n">
        <v>27000</v>
      </c>
      <c r="K18" s="32" t="n">
        <v>27000</v>
      </c>
      <c r="L18" s="32" t="n">
        <v>27000</v>
      </c>
      <c r="M18" s="32" t="n">
        <v>29000</v>
      </c>
      <c r="N18" s="32" t="n">
        <v>0</v>
      </c>
      <c r="O18" s="32" t="n">
        <v>29000</v>
      </c>
      <c r="P18" s="32" t="n">
        <v>29000</v>
      </c>
      <c r="Q18" s="32" t="n">
        <v>29000</v>
      </c>
      <c r="R18" s="32" t="n">
        <v>29000</v>
      </c>
      <c r="S18" s="32" t="n">
        <v>30000</v>
      </c>
      <c r="T18" s="32" t="n">
        <v>30000</v>
      </c>
      <c r="U18" s="32" t="n">
        <v>30000</v>
      </c>
      <c r="V18" s="32" t="n">
        <v>29000</v>
      </c>
      <c r="W18" s="32" t="n">
        <v>29000</v>
      </c>
      <c r="X18" s="13" t="n">
        <f aca="false">IFERROR(AVERAGEIF(D18:H18,"&lt;&gt;0"),"")</f>
        <v>27000</v>
      </c>
      <c r="Y18" s="13" t="n">
        <f aca="false">IFERROR(AVERAGEIF(I18:M18,"&lt;&gt;0"),"")</f>
        <v>27400</v>
      </c>
      <c r="Z18" s="13" t="n">
        <f aca="false">IFERROR(AVERAGEIF(N18:R18,"&lt;&gt;0"),"")</f>
        <v>29000</v>
      </c>
      <c r="AA18" s="13" t="n">
        <f aca="false">IFERROR(AVERAGEIF(S18:W18,"&lt;&gt;0"),"")</f>
        <v>29600</v>
      </c>
      <c r="AB18" s="13" t="n">
        <f aca="false">IFERROR(AVERAGEIF(D18:W18,"&lt;&gt;0"),"")</f>
        <v>28210.5263157895</v>
      </c>
    </row>
    <row r="19" customFormat="false" ht="15" hidden="false" customHeight="false" outlineLevel="0" collapsed="false">
      <c r="A19" s="3" t="n">
        <v>15</v>
      </c>
      <c r="B19" s="3" t="s">
        <v>419</v>
      </c>
      <c r="C19" s="3" t="s">
        <v>471</v>
      </c>
      <c r="D19" s="32" t="n">
        <v>23000</v>
      </c>
      <c r="E19" s="32" t="n">
        <v>23000</v>
      </c>
      <c r="F19" s="32" t="n">
        <v>23000</v>
      </c>
      <c r="G19" s="32" t="n">
        <v>23000</v>
      </c>
      <c r="H19" s="32" t="n">
        <v>23000</v>
      </c>
      <c r="I19" s="32" t="n">
        <v>23000</v>
      </c>
      <c r="J19" s="32" t="n">
        <v>23000</v>
      </c>
      <c r="K19" s="32" t="n">
        <v>23000</v>
      </c>
      <c r="L19" s="32" t="n">
        <v>23000</v>
      </c>
      <c r="M19" s="32" t="n">
        <v>24000</v>
      </c>
      <c r="N19" s="32" t="n">
        <v>0</v>
      </c>
      <c r="O19" s="32" t="n">
        <v>24000</v>
      </c>
      <c r="P19" s="32" t="n">
        <v>24000</v>
      </c>
      <c r="Q19" s="32" t="n">
        <v>24000</v>
      </c>
      <c r="R19" s="32" t="n">
        <v>24000</v>
      </c>
      <c r="S19" s="32" t="n">
        <v>24000</v>
      </c>
      <c r="T19" s="32" t="n">
        <v>24000</v>
      </c>
      <c r="U19" s="32" t="n">
        <v>24000</v>
      </c>
      <c r="V19" s="32" t="n">
        <v>24000</v>
      </c>
      <c r="W19" s="32" t="n">
        <v>24000</v>
      </c>
      <c r="X19" s="13" t="n">
        <f aca="false">IFERROR(AVERAGEIF(D19:H19,"&lt;&gt;0"),"")</f>
        <v>23000</v>
      </c>
      <c r="Y19" s="13" t="n">
        <f aca="false">IFERROR(AVERAGEIF(I19:M19,"&lt;&gt;0"),"")</f>
        <v>23200</v>
      </c>
      <c r="Z19" s="13" t="n">
        <f aca="false">IFERROR(AVERAGEIF(N19:R19,"&lt;&gt;0"),"")</f>
        <v>24000</v>
      </c>
      <c r="AA19" s="13" t="n">
        <f aca="false">IFERROR(AVERAGEIF(S19:W19,"&lt;&gt;0"),"")</f>
        <v>24000</v>
      </c>
      <c r="AB19" s="13" t="n">
        <f aca="false">IFERROR(AVERAGEIF(D19:W19,"&lt;&gt;0"),"")</f>
        <v>23526.3157894737</v>
      </c>
    </row>
    <row r="20" customFormat="false" ht="15" hidden="false" customHeight="false" outlineLevel="0" collapsed="false">
      <c r="A20" s="3" t="n">
        <v>16</v>
      </c>
      <c r="B20" s="3" t="s">
        <v>430</v>
      </c>
      <c r="C20" s="3" t="s">
        <v>471</v>
      </c>
      <c r="D20" s="32" t="n">
        <v>93000</v>
      </c>
      <c r="E20" s="32" t="n">
        <v>93000</v>
      </c>
      <c r="F20" s="32" t="n">
        <v>93000</v>
      </c>
      <c r="G20" s="32" t="n">
        <v>93000</v>
      </c>
      <c r="H20" s="32" t="n">
        <v>93000</v>
      </c>
      <c r="I20" s="32" t="n">
        <v>93000</v>
      </c>
      <c r="J20" s="32" t="n">
        <v>93000</v>
      </c>
      <c r="K20" s="32" t="n">
        <v>93000</v>
      </c>
      <c r="L20" s="32" t="n">
        <v>93000</v>
      </c>
      <c r="M20" s="32" t="n">
        <v>93000</v>
      </c>
      <c r="N20" s="32" t="n">
        <v>0</v>
      </c>
      <c r="O20" s="32" t="n">
        <v>93000</v>
      </c>
      <c r="P20" s="32" t="n">
        <v>93000</v>
      </c>
      <c r="Q20" s="32" t="n">
        <v>93000</v>
      </c>
      <c r="R20" s="32" t="n">
        <v>93000</v>
      </c>
      <c r="S20" s="32" t="n">
        <v>93000</v>
      </c>
      <c r="T20" s="32" t="n">
        <v>93000</v>
      </c>
      <c r="U20" s="32" t="n">
        <v>93000</v>
      </c>
      <c r="V20" s="32" t="n">
        <v>93000</v>
      </c>
      <c r="W20" s="32" t="n">
        <v>93000</v>
      </c>
      <c r="X20" s="13" t="n">
        <f aca="false">IFERROR(AVERAGEIF(D20:H20,"&lt;&gt;0"),"")</f>
        <v>93000</v>
      </c>
      <c r="Y20" s="13" t="n">
        <f aca="false">IFERROR(AVERAGEIF(I20:M20,"&lt;&gt;0"),"")</f>
        <v>93000</v>
      </c>
      <c r="Z20" s="13" t="n">
        <f aca="false">IFERROR(AVERAGEIF(N20:R20,"&lt;&gt;0"),"")</f>
        <v>93000</v>
      </c>
      <c r="AA20" s="13" t="n">
        <f aca="false">IFERROR(AVERAGEIF(S20:W20,"&lt;&gt;0"),"")</f>
        <v>93000</v>
      </c>
      <c r="AB20" s="13" t="n">
        <f aca="false">IFERROR(AVERAGEIF(D20:W20,"&lt;&gt;0"),"")</f>
        <v>93000</v>
      </c>
    </row>
    <row r="21" customFormat="false" ht="15" hidden="false" customHeight="false" outlineLevel="0" collapsed="false">
      <c r="A21" s="3" t="n">
        <v>17</v>
      </c>
      <c r="B21" s="3" t="s">
        <v>431</v>
      </c>
      <c r="C21" s="3" t="s">
        <v>471</v>
      </c>
      <c r="D21" s="32" t="n">
        <v>60000</v>
      </c>
      <c r="E21" s="32" t="n">
        <v>60000</v>
      </c>
      <c r="F21" s="32" t="n">
        <v>60000</v>
      </c>
      <c r="G21" s="32" t="n">
        <v>60000</v>
      </c>
      <c r="H21" s="32" t="n">
        <v>60000</v>
      </c>
      <c r="I21" s="32" t="n">
        <v>60000</v>
      </c>
      <c r="J21" s="32" t="n">
        <v>60000</v>
      </c>
      <c r="K21" s="32" t="n">
        <v>60000</v>
      </c>
      <c r="L21" s="32" t="n">
        <v>60000</v>
      </c>
      <c r="M21" s="32" t="n">
        <v>60000</v>
      </c>
      <c r="N21" s="32" t="n">
        <v>0</v>
      </c>
      <c r="O21" s="32" t="n">
        <v>60000</v>
      </c>
      <c r="P21" s="32" t="n">
        <v>60000</v>
      </c>
      <c r="Q21" s="32" t="n">
        <v>60000</v>
      </c>
      <c r="R21" s="32" t="n">
        <v>60000</v>
      </c>
      <c r="S21" s="32" t="n">
        <v>60000</v>
      </c>
      <c r="T21" s="32" t="n">
        <v>60000</v>
      </c>
      <c r="U21" s="32" t="n">
        <v>60000</v>
      </c>
      <c r="V21" s="32" t="n">
        <v>60000</v>
      </c>
      <c r="W21" s="32" t="n">
        <v>60000</v>
      </c>
      <c r="X21" s="13" t="n">
        <f aca="false">IFERROR(AVERAGEIF(D21:H21,"&lt;&gt;0"),"")</f>
        <v>60000</v>
      </c>
      <c r="Y21" s="13" t="n">
        <f aca="false">IFERROR(AVERAGEIF(I21:M21,"&lt;&gt;0"),"")</f>
        <v>60000</v>
      </c>
      <c r="Z21" s="13" t="n">
        <f aca="false">IFERROR(AVERAGEIF(N21:R21,"&lt;&gt;0"),"")</f>
        <v>60000</v>
      </c>
      <c r="AA21" s="13" t="n">
        <f aca="false">IFERROR(AVERAGEIF(S21:W21,"&lt;&gt;0"),"")</f>
        <v>60000</v>
      </c>
      <c r="AB21" s="13" t="n">
        <f aca="false">IFERROR(AVERAGEIF(D21:W21,"&lt;&gt;0"),"")</f>
        <v>60000</v>
      </c>
    </row>
    <row r="22" customFormat="false" ht="15" hidden="false" customHeight="false" outlineLevel="0" collapsed="false">
      <c r="A22" s="3" t="n">
        <v>18</v>
      </c>
      <c r="B22" s="3" t="s">
        <v>432</v>
      </c>
      <c r="C22" s="3" t="s">
        <v>471</v>
      </c>
      <c r="D22" s="32" t="n">
        <v>55000</v>
      </c>
      <c r="E22" s="32" t="n">
        <v>55000</v>
      </c>
      <c r="F22" s="32" t="n">
        <v>55000</v>
      </c>
      <c r="G22" s="32" t="n">
        <v>55000</v>
      </c>
      <c r="H22" s="32" t="n">
        <v>55000</v>
      </c>
      <c r="I22" s="32" t="n">
        <v>55000</v>
      </c>
      <c r="J22" s="32" t="n">
        <v>55000</v>
      </c>
      <c r="K22" s="32" t="n">
        <v>55000</v>
      </c>
      <c r="L22" s="32" t="n">
        <v>55000</v>
      </c>
      <c r="M22" s="32" t="n">
        <v>55000</v>
      </c>
      <c r="N22" s="32" t="n">
        <v>0</v>
      </c>
      <c r="O22" s="32" t="n">
        <v>55000</v>
      </c>
      <c r="P22" s="32" t="n">
        <v>55000</v>
      </c>
      <c r="Q22" s="32" t="n">
        <v>55000</v>
      </c>
      <c r="R22" s="32" t="n">
        <v>55000</v>
      </c>
      <c r="S22" s="32" t="n">
        <v>55000</v>
      </c>
      <c r="T22" s="32" t="n">
        <v>55000</v>
      </c>
      <c r="U22" s="32" t="n">
        <v>55000</v>
      </c>
      <c r="V22" s="32" t="n">
        <v>55000</v>
      </c>
      <c r="W22" s="32" t="n">
        <v>55000</v>
      </c>
      <c r="X22" s="13" t="n">
        <f aca="false">IFERROR(AVERAGEIF(D22:H22,"&lt;&gt;0"),"")</f>
        <v>55000</v>
      </c>
      <c r="Y22" s="13" t="n">
        <f aca="false">IFERROR(AVERAGEIF(I22:M22,"&lt;&gt;0"),"")</f>
        <v>55000</v>
      </c>
      <c r="Z22" s="13" t="n">
        <f aca="false">IFERROR(AVERAGEIF(N22:R22,"&lt;&gt;0"),"")</f>
        <v>55000</v>
      </c>
      <c r="AA22" s="13" t="n">
        <f aca="false">IFERROR(AVERAGEIF(S22:W22,"&lt;&gt;0"),"")</f>
        <v>55000</v>
      </c>
      <c r="AB22" s="13" t="n">
        <f aca="false">IFERROR(AVERAGEIF(D22:W22,"&lt;&gt;0"),"")</f>
        <v>55000</v>
      </c>
    </row>
    <row r="23" customFormat="false" ht="15" hidden="false" customHeight="false" outlineLevel="0" collapsed="false">
      <c r="A23" s="3" t="n">
        <v>19</v>
      </c>
      <c r="B23" s="3" t="s">
        <v>473</v>
      </c>
      <c r="C23" s="3" t="s">
        <v>471</v>
      </c>
      <c r="D23" s="32" t="n">
        <v>28000</v>
      </c>
      <c r="E23" s="32" t="n">
        <v>28000</v>
      </c>
      <c r="F23" s="32" t="n">
        <v>28000</v>
      </c>
      <c r="G23" s="32" t="n">
        <v>28000</v>
      </c>
      <c r="H23" s="32" t="n">
        <v>28000</v>
      </c>
      <c r="I23" s="32" t="n">
        <v>28000</v>
      </c>
      <c r="J23" s="32" t="n">
        <v>28000</v>
      </c>
      <c r="K23" s="32" t="n">
        <v>28000</v>
      </c>
      <c r="L23" s="32" t="n">
        <v>28000</v>
      </c>
      <c r="M23" s="32" t="n">
        <v>28000</v>
      </c>
      <c r="N23" s="32" t="n">
        <v>0</v>
      </c>
      <c r="O23" s="32" t="n">
        <v>28000</v>
      </c>
      <c r="P23" s="32" t="n">
        <v>28000</v>
      </c>
      <c r="Q23" s="32" t="n">
        <v>28000</v>
      </c>
      <c r="R23" s="32" t="n">
        <v>28000</v>
      </c>
      <c r="S23" s="32" t="n">
        <v>28000</v>
      </c>
      <c r="T23" s="32" t="n">
        <v>28000</v>
      </c>
      <c r="U23" s="32" t="n">
        <v>28000</v>
      </c>
      <c r="V23" s="32" t="n">
        <v>28000</v>
      </c>
      <c r="W23" s="32" t="n">
        <v>28000</v>
      </c>
      <c r="X23" s="13" t="n">
        <f aca="false">IFERROR(AVERAGEIF(D23:H23,"&lt;&gt;0"),"")</f>
        <v>28000</v>
      </c>
      <c r="Y23" s="13" t="n">
        <f aca="false">IFERROR(AVERAGEIF(I23:M23,"&lt;&gt;0"),"")</f>
        <v>28000</v>
      </c>
      <c r="Z23" s="13" t="n">
        <f aca="false">IFERROR(AVERAGEIF(N23:R23,"&lt;&gt;0"),"")</f>
        <v>28000</v>
      </c>
      <c r="AA23" s="13" t="n">
        <f aca="false">IFERROR(AVERAGEIF(S23:W23,"&lt;&gt;0"),"")</f>
        <v>28000</v>
      </c>
      <c r="AB23" s="13" t="n">
        <f aca="false">IFERROR(AVERAGEIF(D23:W23,"&lt;&gt;0"),"")</f>
        <v>28000</v>
      </c>
    </row>
    <row r="24" customFormat="false" ht="15" hidden="false" customHeight="false" outlineLevel="0" collapsed="false">
      <c r="A24" s="3" t="n">
        <v>20</v>
      </c>
      <c r="B24" s="3" t="s">
        <v>421</v>
      </c>
      <c r="C24" s="3" t="s">
        <v>471</v>
      </c>
      <c r="D24" s="32" t="n">
        <v>28000</v>
      </c>
      <c r="E24" s="32" t="n">
        <v>28000</v>
      </c>
      <c r="F24" s="32" t="n">
        <v>28000</v>
      </c>
      <c r="G24" s="32" t="n">
        <v>28000</v>
      </c>
      <c r="H24" s="32" t="n">
        <v>28000</v>
      </c>
      <c r="I24" s="32" t="n">
        <v>28000</v>
      </c>
      <c r="J24" s="32" t="n">
        <v>28000</v>
      </c>
      <c r="K24" s="32" t="n">
        <v>28000</v>
      </c>
      <c r="L24" s="32" t="n">
        <v>28000</v>
      </c>
      <c r="M24" s="32" t="n">
        <v>28000</v>
      </c>
      <c r="N24" s="32" t="n">
        <v>0</v>
      </c>
      <c r="O24" s="32" t="n">
        <v>28000</v>
      </c>
      <c r="P24" s="32" t="n">
        <v>28000</v>
      </c>
      <c r="Q24" s="32" t="n">
        <v>28000</v>
      </c>
      <c r="R24" s="32" t="n">
        <v>28000</v>
      </c>
      <c r="S24" s="32" t="n">
        <v>28000</v>
      </c>
      <c r="T24" s="32" t="n">
        <v>28000</v>
      </c>
      <c r="U24" s="32" t="n">
        <v>28000</v>
      </c>
      <c r="V24" s="32" t="n">
        <v>28000</v>
      </c>
      <c r="W24" s="32" t="n">
        <v>28000</v>
      </c>
      <c r="X24" s="13" t="n">
        <f aca="false">IFERROR(AVERAGEIF(D24:H24,"&lt;&gt;0"),"")</f>
        <v>28000</v>
      </c>
      <c r="Y24" s="13" t="n">
        <f aca="false">IFERROR(AVERAGEIF(I24:M24,"&lt;&gt;0"),"")</f>
        <v>28000</v>
      </c>
      <c r="Z24" s="13" t="n">
        <f aca="false">IFERROR(AVERAGEIF(N24:R24,"&lt;&gt;0"),"")</f>
        <v>28000</v>
      </c>
      <c r="AA24" s="13" t="n">
        <f aca="false">IFERROR(AVERAGEIF(S24:W24,"&lt;&gt;0"),"")</f>
        <v>28000</v>
      </c>
      <c r="AB24" s="13" t="n">
        <f aca="false">IFERROR(AVERAGEIF(D24:W24,"&lt;&gt;0"),"")</f>
        <v>28000</v>
      </c>
    </row>
    <row r="25" customFormat="false" ht="15" hidden="false" customHeight="false" outlineLevel="0" collapsed="false">
      <c r="A25" s="3" t="n">
        <v>21</v>
      </c>
      <c r="B25" s="3" t="s">
        <v>474</v>
      </c>
      <c r="C25" s="3" t="s">
        <v>471</v>
      </c>
      <c r="D25" s="32" t="n">
        <v>60000</v>
      </c>
      <c r="E25" s="32" t="n">
        <v>60000</v>
      </c>
      <c r="F25" s="32" t="n">
        <v>60000</v>
      </c>
      <c r="G25" s="32" t="n">
        <v>60000</v>
      </c>
      <c r="H25" s="32" t="n">
        <v>60000</v>
      </c>
      <c r="I25" s="32" t="n">
        <v>60000</v>
      </c>
      <c r="J25" s="32" t="n">
        <v>60000</v>
      </c>
      <c r="K25" s="32" t="n">
        <v>60000</v>
      </c>
      <c r="L25" s="32" t="n">
        <v>60000</v>
      </c>
      <c r="M25" s="32" t="n">
        <v>60000</v>
      </c>
      <c r="N25" s="32" t="n">
        <v>0</v>
      </c>
      <c r="O25" s="32" t="n">
        <v>60000</v>
      </c>
      <c r="P25" s="32" t="n">
        <v>60000</v>
      </c>
      <c r="Q25" s="32" t="n">
        <v>60000</v>
      </c>
      <c r="R25" s="32" t="n">
        <v>60000</v>
      </c>
      <c r="S25" s="32" t="n">
        <v>60000</v>
      </c>
      <c r="T25" s="32" t="n">
        <v>60000</v>
      </c>
      <c r="U25" s="32" t="n">
        <v>60000</v>
      </c>
      <c r="V25" s="32" t="n">
        <v>60000</v>
      </c>
      <c r="W25" s="32" t="n">
        <v>60000</v>
      </c>
      <c r="X25" s="13" t="n">
        <f aca="false">IFERROR(AVERAGEIF(D25:H25,"&lt;&gt;0"),"")</f>
        <v>60000</v>
      </c>
      <c r="Y25" s="13" t="n">
        <f aca="false">IFERROR(AVERAGEIF(I25:M25,"&lt;&gt;0"),"")</f>
        <v>60000</v>
      </c>
      <c r="Z25" s="13" t="n">
        <f aca="false">IFERROR(AVERAGEIF(N25:R25,"&lt;&gt;0"),"")</f>
        <v>60000</v>
      </c>
      <c r="AA25" s="13" t="n">
        <f aca="false">IFERROR(AVERAGEIF(S25:W25,"&lt;&gt;0"),"")</f>
        <v>60000</v>
      </c>
      <c r="AB25" s="13" t="n">
        <f aca="false">IFERROR(AVERAGEIF(D25:W25,"&lt;&gt;0"),"")</f>
        <v>60000</v>
      </c>
    </row>
    <row r="26" customFormat="false" ht="15" hidden="false" customHeight="false" outlineLevel="0" collapsed="false">
      <c r="A26" s="3" t="n">
        <v>22</v>
      </c>
      <c r="B26" s="3" t="s">
        <v>426</v>
      </c>
      <c r="C26" s="3" t="s">
        <v>471</v>
      </c>
      <c r="D26" s="32" t="n">
        <v>2800</v>
      </c>
      <c r="E26" s="32" t="n">
        <v>2800</v>
      </c>
      <c r="F26" s="32" t="n">
        <v>2800</v>
      </c>
      <c r="G26" s="32" t="n">
        <v>2800</v>
      </c>
      <c r="H26" s="32" t="n">
        <v>2800</v>
      </c>
      <c r="I26" s="32" t="n">
        <v>2800</v>
      </c>
      <c r="J26" s="32" t="n">
        <v>2800</v>
      </c>
      <c r="K26" s="32" t="n">
        <v>2800</v>
      </c>
      <c r="L26" s="32" t="n">
        <v>2800</v>
      </c>
      <c r="M26" s="32" t="n">
        <v>2800</v>
      </c>
      <c r="N26" s="32" t="n">
        <v>0</v>
      </c>
      <c r="O26" s="32" t="n">
        <v>2800</v>
      </c>
      <c r="P26" s="32" t="n">
        <v>2800</v>
      </c>
      <c r="Q26" s="32" t="n">
        <v>2800</v>
      </c>
      <c r="R26" s="32" t="n">
        <v>2800</v>
      </c>
      <c r="S26" s="32" t="n">
        <v>2800</v>
      </c>
      <c r="T26" s="32" t="n">
        <v>2800</v>
      </c>
      <c r="U26" s="32" t="n">
        <v>2800</v>
      </c>
      <c r="V26" s="32" t="n">
        <v>2800</v>
      </c>
      <c r="W26" s="32" t="n">
        <v>2800</v>
      </c>
      <c r="X26" s="13" t="n">
        <f aca="false">IFERROR(AVERAGEIF(D26:H26,"&lt;&gt;0"),"")</f>
        <v>2800</v>
      </c>
      <c r="Y26" s="13" t="n">
        <f aca="false">IFERROR(AVERAGEIF(I26:M26,"&lt;&gt;0"),"")</f>
        <v>2800</v>
      </c>
      <c r="Z26" s="13" t="n">
        <f aca="false">IFERROR(AVERAGEIF(N26:R26,"&lt;&gt;0"),"")</f>
        <v>2800</v>
      </c>
      <c r="AA26" s="13" t="n">
        <f aca="false">IFERROR(AVERAGEIF(S26:W26,"&lt;&gt;0"),"")</f>
        <v>2800</v>
      </c>
      <c r="AB26" s="13" t="n">
        <f aca="false">IFERROR(AVERAGEIF(D26:W26,"&lt;&gt;0"),"")</f>
        <v>2800</v>
      </c>
    </row>
    <row r="27" customFormat="false" ht="15" hidden="false" customHeight="false" outlineLevel="0" collapsed="false">
      <c r="A27" s="3" t="n">
        <v>23</v>
      </c>
      <c r="B27" s="3" t="s">
        <v>424</v>
      </c>
      <c r="C27" s="3" t="s">
        <v>471</v>
      </c>
      <c r="D27" s="32" t="n">
        <v>24000</v>
      </c>
      <c r="E27" s="32" t="n">
        <v>24000</v>
      </c>
      <c r="F27" s="32" t="n">
        <v>24000</v>
      </c>
      <c r="G27" s="32" t="n">
        <v>24000</v>
      </c>
      <c r="H27" s="32" t="n">
        <v>24000</v>
      </c>
      <c r="I27" s="32" t="n">
        <v>24000</v>
      </c>
      <c r="J27" s="32" t="n">
        <v>24000</v>
      </c>
      <c r="K27" s="32" t="n">
        <v>24000</v>
      </c>
      <c r="L27" s="32" t="n">
        <v>24000</v>
      </c>
      <c r="M27" s="32" t="n">
        <v>24000</v>
      </c>
      <c r="N27" s="32" t="n">
        <v>0</v>
      </c>
      <c r="O27" s="32" t="n">
        <v>24000</v>
      </c>
      <c r="P27" s="32" t="n">
        <v>24000</v>
      </c>
      <c r="Q27" s="32" t="n">
        <v>24000</v>
      </c>
      <c r="R27" s="32" t="n">
        <v>24000</v>
      </c>
      <c r="S27" s="32" t="n">
        <v>24000</v>
      </c>
      <c r="T27" s="32" t="n">
        <v>24000</v>
      </c>
      <c r="U27" s="32" t="n">
        <v>24000</v>
      </c>
      <c r="V27" s="32" t="n">
        <v>24000</v>
      </c>
      <c r="W27" s="32" t="n">
        <v>24000</v>
      </c>
      <c r="X27" s="13" t="n">
        <f aca="false">IFERROR(AVERAGEIF(D27:H27,"&lt;&gt;0"),"")</f>
        <v>24000</v>
      </c>
      <c r="Y27" s="13" t="n">
        <f aca="false">IFERROR(AVERAGEIF(I27:M27,"&lt;&gt;0"),"")</f>
        <v>24000</v>
      </c>
      <c r="Z27" s="13" t="n">
        <f aca="false">IFERROR(AVERAGEIF(N27:R27,"&lt;&gt;0"),"")</f>
        <v>24000</v>
      </c>
      <c r="AA27" s="13" t="n">
        <f aca="false">IFERROR(AVERAGEIF(S27:W27,"&lt;&gt;0"),"")</f>
        <v>24000</v>
      </c>
      <c r="AB27" s="13" t="n">
        <f aca="false">IFERROR(AVERAGEIF(D27:W27,"&lt;&gt;0"),"")</f>
        <v>24000</v>
      </c>
    </row>
    <row r="28" customFormat="false" ht="15" hidden="false" customHeight="false" outlineLevel="0" collapsed="false">
      <c r="A28" s="3" t="n">
        <v>24</v>
      </c>
      <c r="B28" s="3" t="s">
        <v>425</v>
      </c>
      <c r="C28" s="3" t="s">
        <v>471</v>
      </c>
      <c r="D28" s="32" t="n">
        <v>30000</v>
      </c>
      <c r="E28" s="32" t="n">
        <v>30000</v>
      </c>
      <c r="F28" s="32" t="n">
        <v>30000</v>
      </c>
      <c r="G28" s="32" t="n">
        <v>30000</v>
      </c>
      <c r="H28" s="32" t="n">
        <v>30000</v>
      </c>
      <c r="I28" s="32" t="n">
        <v>30000</v>
      </c>
      <c r="J28" s="32" t="n">
        <v>30000</v>
      </c>
      <c r="K28" s="32" t="n">
        <v>30000</v>
      </c>
      <c r="L28" s="32" t="n">
        <v>30000</v>
      </c>
      <c r="M28" s="32" t="n">
        <v>30000</v>
      </c>
      <c r="N28" s="32" t="n">
        <v>0</v>
      </c>
      <c r="O28" s="32" t="n">
        <v>30000</v>
      </c>
      <c r="P28" s="32" t="n">
        <v>30000</v>
      </c>
      <c r="Q28" s="32" t="n">
        <v>30000</v>
      </c>
      <c r="R28" s="32" t="n">
        <v>30000</v>
      </c>
      <c r="S28" s="32" t="n">
        <v>30000</v>
      </c>
      <c r="T28" s="32" t="n">
        <v>30000</v>
      </c>
      <c r="U28" s="32" t="n">
        <v>30000</v>
      </c>
      <c r="V28" s="32" t="n">
        <v>30000</v>
      </c>
      <c r="W28" s="32" t="n">
        <v>30000</v>
      </c>
      <c r="X28" s="13" t="n">
        <f aca="false">IFERROR(AVERAGEIF(D28:H28,"&lt;&gt;0"),"")</f>
        <v>30000</v>
      </c>
      <c r="Y28" s="13" t="n">
        <f aca="false">IFERROR(AVERAGEIF(I28:M28,"&lt;&gt;0"),"")</f>
        <v>30000</v>
      </c>
      <c r="Z28" s="13" t="n">
        <f aca="false">IFERROR(AVERAGEIF(N28:R28,"&lt;&gt;0"),"")</f>
        <v>30000</v>
      </c>
      <c r="AA28" s="13" t="n">
        <f aca="false">IFERROR(AVERAGEIF(S28:W28,"&lt;&gt;0"),"")</f>
        <v>30000</v>
      </c>
      <c r="AB28" s="13" t="n">
        <f aca="false">IFERROR(AVERAGEIF(D28:W28,"&lt;&gt;0"),"")</f>
        <v>30000</v>
      </c>
    </row>
    <row r="29" customFormat="false" ht="15" hidden="false" customHeight="false" outlineLevel="0" collapsed="false">
      <c r="A29" s="3" t="n">
        <v>25</v>
      </c>
      <c r="B29" s="3" t="s">
        <v>475</v>
      </c>
      <c r="C29" s="3" t="s">
        <v>471</v>
      </c>
      <c r="D29" s="32" t="n">
        <v>25000</v>
      </c>
      <c r="E29" s="32" t="n">
        <v>25000</v>
      </c>
      <c r="F29" s="32" t="n">
        <v>25000</v>
      </c>
      <c r="G29" s="32" t="n">
        <v>25000</v>
      </c>
      <c r="H29" s="32" t="n">
        <v>25000</v>
      </c>
      <c r="I29" s="32" t="n">
        <v>25000</v>
      </c>
      <c r="J29" s="32" t="n">
        <v>25000</v>
      </c>
      <c r="K29" s="32" t="n">
        <v>25000</v>
      </c>
      <c r="L29" s="32" t="n">
        <v>25000</v>
      </c>
      <c r="M29" s="32" t="n">
        <v>27000</v>
      </c>
      <c r="N29" s="32" t="n">
        <v>0</v>
      </c>
      <c r="O29" s="32" t="n">
        <v>27000</v>
      </c>
      <c r="P29" s="32" t="n">
        <v>27000</v>
      </c>
      <c r="Q29" s="32" t="n">
        <v>27000</v>
      </c>
      <c r="R29" s="32" t="n">
        <v>27000</v>
      </c>
      <c r="S29" s="32" t="n">
        <v>27000</v>
      </c>
      <c r="T29" s="32" t="n">
        <v>27000</v>
      </c>
      <c r="U29" s="32" t="n">
        <v>27000</v>
      </c>
      <c r="V29" s="32" t="n">
        <v>27000</v>
      </c>
      <c r="W29" s="32" t="n">
        <v>27000</v>
      </c>
      <c r="X29" s="13" t="n">
        <f aca="false">IFERROR(AVERAGEIF(D29:H29,"&lt;&gt;0"),"")</f>
        <v>25000</v>
      </c>
      <c r="Y29" s="13" t="n">
        <f aca="false">IFERROR(AVERAGEIF(I29:M29,"&lt;&gt;0"),"")</f>
        <v>25400</v>
      </c>
      <c r="Z29" s="13" t="n">
        <f aca="false">IFERROR(AVERAGEIF(N29:R29,"&lt;&gt;0"),"")</f>
        <v>27000</v>
      </c>
      <c r="AA29" s="13" t="n">
        <f aca="false">IFERROR(AVERAGEIF(S29:W29,"&lt;&gt;0"),"")</f>
        <v>27000</v>
      </c>
      <c r="AB29" s="13" t="n">
        <f aca="false">IFERROR(AVERAGEIF(D29:W29,"&lt;&gt;0"),"")</f>
        <v>26052.6315789474</v>
      </c>
    </row>
    <row r="30" customFormat="false" ht="15" hidden="false" customHeight="false" outlineLevel="0" collapsed="false">
      <c r="A30" s="3" t="n">
        <v>26</v>
      </c>
      <c r="B30" s="3" t="s">
        <v>476</v>
      </c>
      <c r="C30" s="3" t="s">
        <v>471</v>
      </c>
      <c r="D30" s="32" t="n">
        <v>8000</v>
      </c>
      <c r="E30" s="32" t="n">
        <v>8000</v>
      </c>
      <c r="F30" s="32" t="n">
        <v>8000</v>
      </c>
      <c r="G30" s="32" t="n">
        <v>8000</v>
      </c>
      <c r="H30" s="32" t="n">
        <v>8000</v>
      </c>
      <c r="I30" s="32" t="n">
        <v>8000</v>
      </c>
      <c r="J30" s="32" t="n">
        <v>8000</v>
      </c>
      <c r="K30" s="32" t="n">
        <v>8000</v>
      </c>
      <c r="L30" s="32" t="n">
        <v>8000</v>
      </c>
      <c r="M30" s="32" t="n">
        <v>8000</v>
      </c>
      <c r="N30" s="32" t="n">
        <v>0</v>
      </c>
      <c r="O30" s="32" t="n">
        <v>8000</v>
      </c>
      <c r="P30" s="32" t="n">
        <v>8000</v>
      </c>
      <c r="Q30" s="32" t="n">
        <v>8000</v>
      </c>
      <c r="R30" s="32" t="n">
        <v>8000</v>
      </c>
      <c r="S30" s="32" t="n">
        <v>8000</v>
      </c>
      <c r="T30" s="32" t="n">
        <v>8000</v>
      </c>
      <c r="U30" s="32" t="n">
        <v>8000</v>
      </c>
      <c r="V30" s="32" t="n">
        <v>8000</v>
      </c>
      <c r="W30" s="32" t="n">
        <v>8000</v>
      </c>
      <c r="X30" s="13" t="n">
        <f aca="false">IFERROR(AVERAGEIF(D30:H30,"&lt;&gt;0"),"")</f>
        <v>8000</v>
      </c>
      <c r="Y30" s="13" t="n">
        <f aca="false">IFERROR(AVERAGEIF(I30:M30,"&lt;&gt;0"),"")</f>
        <v>8000</v>
      </c>
      <c r="Z30" s="13" t="n">
        <f aca="false">IFERROR(AVERAGEIF(N30:R30,"&lt;&gt;0"),"")</f>
        <v>8000</v>
      </c>
      <c r="AA30" s="13" t="n">
        <f aca="false">IFERROR(AVERAGEIF(S30:W30,"&lt;&gt;0"),"")</f>
        <v>8000</v>
      </c>
      <c r="AB30" s="13" t="n">
        <f aca="false">IFERROR(AVERAGEIF(D30:W30,"&lt;&gt;0"),"")</f>
        <v>8000</v>
      </c>
    </row>
    <row r="31" customFormat="false" ht="15" hidden="false" customHeight="false" outlineLevel="0" collapsed="false">
      <c r="A31" s="3" t="n">
        <v>27</v>
      </c>
      <c r="B31" s="3" t="s">
        <v>427</v>
      </c>
      <c r="C31" s="3" t="s">
        <v>471</v>
      </c>
      <c r="D31" s="32" t="n">
        <v>10500</v>
      </c>
      <c r="E31" s="32" t="n">
        <v>10500</v>
      </c>
      <c r="F31" s="32" t="n">
        <v>10500</v>
      </c>
      <c r="G31" s="32" t="n">
        <v>10500</v>
      </c>
      <c r="H31" s="32" t="n">
        <v>10500</v>
      </c>
      <c r="I31" s="32" t="n">
        <v>10500</v>
      </c>
      <c r="J31" s="32" t="n">
        <v>10500</v>
      </c>
      <c r="K31" s="32" t="n">
        <v>10500</v>
      </c>
      <c r="L31" s="32" t="n">
        <v>10500</v>
      </c>
      <c r="M31" s="32" t="n">
        <v>10500</v>
      </c>
      <c r="N31" s="32" t="n">
        <v>0</v>
      </c>
      <c r="O31" s="32" t="n">
        <v>10500</v>
      </c>
      <c r="P31" s="32" t="n">
        <v>10500</v>
      </c>
      <c r="Q31" s="32" t="n">
        <v>10500</v>
      </c>
      <c r="R31" s="32" t="n">
        <v>10500</v>
      </c>
      <c r="S31" s="32" t="n">
        <v>10500</v>
      </c>
      <c r="T31" s="32" t="n">
        <v>10500</v>
      </c>
      <c r="U31" s="32" t="n">
        <v>10500</v>
      </c>
      <c r="V31" s="32" t="n">
        <v>10500</v>
      </c>
      <c r="W31" s="32" t="n">
        <v>10500</v>
      </c>
      <c r="X31" s="13" t="n">
        <f aca="false">IFERROR(AVERAGEIF(D31:H31,"&lt;&gt;0"),"")</f>
        <v>10500</v>
      </c>
      <c r="Y31" s="13" t="n">
        <f aca="false">IFERROR(AVERAGEIF(I31:M31,"&lt;&gt;0"),"")</f>
        <v>10500</v>
      </c>
      <c r="Z31" s="13" t="n">
        <f aca="false">IFERROR(AVERAGEIF(N31:R31,"&lt;&gt;0"),"")</f>
        <v>10500</v>
      </c>
      <c r="AA31" s="13" t="n">
        <f aca="false">IFERROR(AVERAGEIF(S31:W31,"&lt;&gt;0"),"")</f>
        <v>10500</v>
      </c>
      <c r="AB31" s="13" t="n">
        <f aca="false">IFERROR(AVERAGEIF(D31:W31,"&lt;&gt;0"),"")</f>
        <v>10500</v>
      </c>
    </row>
    <row r="32" customFormat="false" ht="15" hidden="false" customHeight="false" outlineLevel="0" collapsed="false">
      <c r="A32" s="3" t="n">
        <v>28</v>
      </c>
      <c r="B32" s="3" t="s">
        <v>422</v>
      </c>
      <c r="C32" s="3" t="s">
        <v>471</v>
      </c>
      <c r="D32" s="32" t="n">
        <v>42000</v>
      </c>
      <c r="E32" s="32" t="n">
        <v>42000</v>
      </c>
      <c r="F32" s="32" t="n">
        <v>42000</v>
      </c>
      <c r="G32" s="32" t="n">
        <v>42000</v>
      </c>
      <c r="H32" s="32" t="n">
        <v>42000</v>
      </c>
      <c r="I32" s="32" t="n">
        <v>42000</v>
      </c>
      <c r="J32" s="32" t="n">
        <v>42000</v>
      </c>
      <c r="K32" s="32" t="n">
        <v>42000</v>
      </c>
      <c r="L32" s="32" t="n">
        <v>42000</v>
      </c>
      <c r="M32" s="32" t="n">
        <v>42000</v>
      </c>
      <c r="N32" s="32" t="n">
        <v>0</v>
      </c>
      <c r="O32" s="32" t="n">
        <v>42000</v>
      </c>
      <c r="P32" s="32" t="n">
        <v>42000</v>
      </c>
      <c r="Q32" s="32" t="n">
        <v>42000</v>
      </c>
      <c r="R32" s="32" t="n">
        <v>42000</v>
      </c>
      <c r="S32" s="32" t="n">
        <v>42000</v>
      </c>
      <c r="T32" s="32" t="n">
        <v>42000</v>
      </c>
      <c r="U32" s="32" t="n">
        <v>42000</v>
      </c>
      <c r="V32" s="32" t="n">
        <v>42000</v>
      </c>
      <c r="W32" s="32" t="n">
        <v>42000</v>
      </c>
      <c r="X32" s="13" t="n">
        <f aca="false">IFERROR(AVERAGEIF(D32:H32,"&lt;&gt;0"),"")</f>
        <v>42000</v>
      </c>
      <c r="Y32" s="13" t="n">
        <f aca="false">IFERROR(AVERAGEIF(I32:M32,"&lt;&gt;0"),"")</f>
        <v>42000</v>
      </c>
      <c r="Z32" s="13" t="n">
        <f aca="false">IFERROR(AVERAGEIF(N32:R32,"&lt;&gt;0"),"")</f>
        <v>42000</v>
      </c>
      <c r="AA32" s="13" t="n">
        <f aca="false">IFERROR(AVERAGEIF(S32:W32,"&lt;&gt;0"),"")</f>
        <v>42000</v>
      </c>
      <c r="AB32" s="13" t="n">
        <f aca="false">IFERROR(AVERAGEIF(D32:W32,"&lt;&gt;0"),"")</f>
        <v>42000</v>
      </c>
    </row>
    <row r="33" customFormat="false" ht="15" hidden="false" customHeight="false" outlineLevel="0" collapsed="false">
      <c r="A33" s="3" t="n">
        <v>29</v>
      </c>
      <c r="B33" s="3" t="s">
        <v>433</v>
      </c>
      <c r="C33" s="3" t="s">
        <v>471</v>
      </c>
      <c r="D33" s="32" t="n">
        <v>8000</v>
      </c>
      <c r="E33" s="32" t="n">
        <v>8000</v>
      </c>
      <c r="F33" s="32" t="n">
        <v>8000</v>
      </c>
      <c r="G33" s="32" t="n">
        <v>8000</v>
      </c>
      <c r="H33" s="32" t="n">
        <v>8000</v>
      </c>
      <c r="I33" s="32" t="n">
        <v>8000</v>
      </c>
      <c r="J33" s="32" t="n">
        <v>8000</v>
      </c>
      <c r="K33" s="32" t="n">
        <v>8000</v>
      </c>
      <c r="L33" s="32" t="n">
        <v>8000</v>
      </c>
      <c r="M33" s="32" t="n">
        <v>8000</v>
      </c>
      <c r="N33" s="32" t="n">
        <v>0</v>
      </c>
      <c r="O33" s="32" t="n">
        <v>8000</v>
      </c>
      <c r="P33" s="32" t="n">
        <v>8000</v>
      </c>
      <c r="Q33" s="32" t="n">
        <v>8000</v>
      </c>
      <c r="R33" s="32" t="n">
        <v>8000</v>
      </c>
      <c r="S33" s="32" t="n">
        <v>8000</v>
      </c>
      <c r="T33" s="32" t="n">
        <v>8000</v>
      </c>
      <c r="U33" s="32" t="n">
        <v>8000</v>
      </c>
      <c r="V33" s="32" t="n">
        <v>8000</v>
      </c>
      <c r="W33" s="32" t="n">
        <v>8000</v>
      </c>
      <c r="X33" s="13" t="n">
        <f aca="false">IFERROR(AVERAGEIF(D33:H33,"&lt;&gt;0"),"")</f>
        <v>8000</v>
      </c>
      <c r="Y33" s="13" t="n">
        <f aca="false">IFERROR(AVERAGEIF(I33:M33,"&lt;&gt;0"),"")</f>
        <v>8000</v>
      </c>
      <c r="Z33" s="13" t="n">
        <f aca="false">IFERROR(AVERAGEIF(N33:R33,"&lt;&gt;0"),"")</f>
        <v>8000</v>
      </c>
      <c r="AA33" s="13" t="n">
        <f aca="false">IFERROR(AVERAGEIF(S33:W33,"&lt;&gt;0"),"")</f>
        <v>8000</v>
      </c>
      <c r="AB33" s="13" t="n">
        <f aca="false">IFERROR(AVERAGEIF(D33:W33,"&lt;&gt;0"),"")</f>
        <v>8000</v>
      </c>
    </row>
    <row r="34" customFormat="false" ht="15" hidden="false" customHeight="false" outlineLevel="0" collapsed="false">
      <c r="A34" s="3" t="n">
        <v>30</v>
      </c>
      <c r="B34" s="3" t="s">
        <v>411</v>
      </c>
      <c r="C34" s="3" t="s">
        <v>471</v>
      </c>
      <c r="D34" s="32" t="n">
        <v>4750</v>
      </c>
      <c r="E34" s="32" t="n">
        <v>4750</v>
      </c>
      <c r="F34" s="32" t="n">
        <v>4750</v>
      </c>
      <c r="G34" s="32" t="n">
        <v>4750</v>
      </c>
      <c r="H34" s="32" t="n">
        <v>4750</v>
      </c>
      <c r="I34" s="32" t="n">
        <v>4750</v>
      </c>
      <c r="J34" s="32" t="n">
        <v>4750</v>
      </c>
      <c r="K34" s="32" t="n">
        <v>4750</v>
      </c>
      <c r="L34" s="32" t="n">
        <v>4750</v>
      </c>
      <c r="M34" s="32" t="n">
        <v>4750</v>
      </c>
      <c r="N34" s="32" t="n">
        <v>0</v>
      </c>
      <c r="O34" s="32" t="n">
        <v>4750</v>
      </c>
      <c r="P34" s="32" t="n">
        <v>4750</v>
      </c>
      <c r="Q34" s="32" t="n">
        <v>4750</v>
      </c>
      <c r="R34" s="32" t="n">
        <v>4750</v>
      </c>
      <c r="S34" s="32" t="n">
        <v>4750</v>
      </c>
      <c r="T34" s="32" t="n">
        <v>6000</v>
      </c>
      <c r="U34" s="32" t="n">
        <v>6000</v>
      </c>
      <c r="V34" s="32" t="n">
        <v>6000</v>
      </c>
      <c r="W34" s="32" t="n">
        <v>6000</v>
      </c>
      <c r="X34" s="13" t="n">
        <f aca="false">IFERROR(AVERAGEIF(D34:H34,"&lt;&gt;0"),"")</f>
        <v>4750</v>
      </c>
      <c r="Y34" s="13" t="n">
        <f aca="false">IFERROR(AVERAGEIF(I34:M34,"&lt;&gt;0"),"")</f>
        <v>4750</v>
      </c>
      <c r="Z34" s="13" t="n">
        <f aca="false">IFERROR(AVERAGEIF(N34:R34,"&lt;&gt;0"),"")</f>
        <v>4750</v>
      </c>
      <c r="AA34" s="13" t="n">
        <f aca="false">IFERROR(AVERAGEIF(S34:W34,"&lt;&gt;0"),"")</f>
        <v>5750</v>
      </c>
      <c r="AB34" s="13" t="n">
        <f aca="false">IFERROR(AVERAGEIF(D34:W34,"&lt;&gt;0"),"")</f>
        <v>5013.15789473684</v>
      </c>
    </row>
    <row r="35" customFormat="false" ht="15" hidden="false" customHeight="false" outlineLevel="0" collapsed="false">
      <c r="A35" s="3" t="n">
        <v>31</v>
      </c>
      <c r="B35" s="3" t="s">
        <v>416</v>
      </c>
      <c r="C35" s="3" t="s">
        <v>471</v>
      </c>
      <c r="D35" s="32" t="n">
        <v>58000</v>
      </c>
      <c r="E35" s="32" t="n">
        <v>58000</v>
      </c>
      <c r="F35" s="32" t="n">
        <v>58000</v>
      </c>
      <c r="G35" s="32" t="n">
        <v>58000</v>
      </c>
      <c r="H35" s="32" t="n">
        <v>58000</v>
      </c>
      <c r="I35" s="32" t="n">
        <v>58000</v>
      </c>
      <c r="J35" s="32" t="n">
        <v>58000</v>
      </c>
      <c r="K35" s="32" t="n">
        <v>58000</v>
      </c>
      <c r="L35" s="32" t="n">
        <v>58000</v>
      </c>
      <c r="M35" s="32" t="n">
        <v>60000</v>
      </c>
      <c r="N35" s="32" t="n">
        <v>0</v>
      </c>
      <c r="O35" s="32" t="n">
        <v>61000</v>
      </c>
      <c r="P35" s="32" t="n">
        <v>61000</v>
      </c>
      <c r="Q35" s="32" t="n">
        <v>61000</v>
      </c>
      <c r="R35" s="32" t="n">
        <v>61000</v>
      </c>
      <c r="S35" s="32" t="n">
        <v>61000</v>
      </c>
      <c r="T35" s="32" t="n">
        <v>61000</v>
      </c>
      <c r="U35" s="32" t="n">
        <v>61000</v>
      </c>
      <c r="V35" s="32" t="n">
        <v>61000</v>
      </c>
      <c r="W35" s="32" t="n">
        <v>61000</v>
      </c>
      <c r="X35" s="13" t="n">
        <f aca="false">IFERROR(AVERAGEIF(D35:H35,"&lt;&gt;0"),"")</f>
        <v>58000</v>
      </c>
      <c r="Y35" s="13" t="n">
        <f aca="false">IFERROR(AVERAGEIF(I35:M35,"&lt;&gt;0"),"")</f>
        <v>58400</v>
      </c>
      <c r="Z35" s="13" t="n">
        <f aca="false">IFERROR(AVERAGEIF(N35:R35,"&lt;&gt;0"),"")</f>
        <v>61000</v>
      </c>
      <c r="AA35" s="13" t="n">
        <f aca="false">IFERROR(AVERAGEIF(S35:W35,"&lt;&gt;0"),"")</f>
        <v>61000</v>
      </c>
      <c r="AB35" s="13" t="n">
        <f aca="false">IFERROR(AVERAGEIF(D35:W35,"&lt;&gt;0"),"")</f>
        <v>59526.3157894737</v>
      </c>
    </row>
    <row r="36" customFormat="false" ht="15" hidden="false" customHeight="false" outlineLevel="0" collapsed="false">
      <c r="A36" s="3" t="n">
        <v>32</v>
      </c>
      <c r="B36" s="3" t="s">
        <v>417</v>
      </c>
      <c r="C36" s="3" t="s">
        <v>471</v>
      </c>
      <c r="D36" s="32" t="n">
        <v>12000</v>
      </c>
      <c r="E36" s="32" t="n">
        <v>12000</v>
      </c>
      <c r="F36" s="32" t="n">
        <v>12000</v>
      </c>
      <c r="G36" s="32" t="n">
        <v>12000</v>
      </c>
      <c r="H36" s="32" t="n">
        <v>12000</v>
      </c>
      <c r="I36" s="32" t="n">
        <v>12000</v>
      </c>
      <c r="J36" s="32" t="n">
        <v>12000</v>
      </c>
      <c r="K36" s="32" t="n">
        <v>12000</v>
      </c>
      <c r="L36" s="32" t="n">
        <v>12000</v>
      </c>
      <c r="M36" s="32" t="n">
        <v>12000</v>
      </c>
      <c r="N36" s="32" t="n">
        <v>0</v>
      </c>
      <c r="O36" s="32" t="n">
        <v>12000</v>
      </c>
      <c r="P36" s="32" t="n">
        <v>12000</v>
      </c>
      <c r="Q36" s="32" t="n">
        <v>12000</v>
      </c>
      <c r="R36" s="32" t="n">
        <v>12000</v>
      </c>
      <c r="S36" s="32" t="n">
        <v>12000</v>
      </c>
      <c r="T36" s="32" t="n">
        <v>12000</v>
      </c>
      <c r="U36" s="32" t="n">
        <v>12000</v>
      </c>
      <c r="V36" s="32" t="n">
        <v>12000</v>
      </c>
      <c r="W36" s="32" t="n">
        <v>12000</v>
      </c>
      <c r="X36" s="13" t="n">
        <f aca="false">IFERROR(AVERAGEIF(D36:H36,"&lt;&gt;0"),"")</f>
        <v>12000</v>
      </c>
      <c r="Y36" s="13" t="n">
        <f aca="false">IFERROR(AVERAGEIF(I36:M36,"&lt;&gt;0"),"")</f>
        <v>12000</v>
      </c>
      <c r="Z36" s="13" t="n">
        <f aca="false">IFERROR(AVERAGEIF(N36:R36,"&lt;&gt;0"),"")</f>
        <v>12000</v>
      </c>
      <c r="AA36" s="13" t="n">
        <f aca="false">IFERROR(AVERAGEIF(S36:W36,"&lt;&gt;0"),"")</f>
        <v>12000</v>
      </c>
      <c r="AB36" s="13" t="n">
        <f aca="false">IFERROR(AVERAGEIF(D36:W36,"&lt;&gt;0"),"")</f>
        <v>12000</v>
      </c>
    </row>
    <row r="37" customFormat="false" ht="15" hidden="false" customHeight="false" outlineLevel="0" collapsed="false">
      <c r="A37" s="3" t="n">
        <v>33</v>
      </c>
      <c r="B37" s="3" t="s">
        <v>434</v>
      </c>
      <c r="C37" s="3" t="s">
        <v>471</v>
      </c>
      <c r="D37" s="32" t="n">
        <v>9000</v>
      </c>
      <c r="E37" s="32" t="n">
        <v>8000</v>
      </c>
      <c r="F37" s="32" t="n">
        <v>8000</v>
      </c>
      <c r="G37" s="32" t="n">
        <v>8000</v>
      </c>
      <c r="H37" s="32" t="n">
        <v>8000</v>
      </c>
      <c r="I37" s="32" t="n">
        <v>8000</v>
      </c>
      <c r="J37" s="32" t="n">
        <v>8000</v>
      </c>
      <c r="K37" s="32" t="n">
        <v>8000</v>
      </c>
      <c r="L37" s="32" t="n">
        <v>8000</v>
      </c>
      <c r="M37" s="32" t="n">
        <v>8000</v>
      </c>
      <c r="N37" s="32" t="n">
        <v>0</v>
      </c>
      <c r="O37" s="32" t="n">
        <v>8000</v>
      </c>
      <c r="P37" s="32" t="n">
        <v>8000</v>
      </c>
      <c r="Q37" s="32" t="n">
        <v>8000</v>
      </c>
      <c r="R37" s="32" t="n">
        <v>8000</v>
      </c>
      <c r="S37" s="32" t="n">
        <v>8000</v>
      </c>
      <c r="T37" s="32" t="n">
        <v>8000</v>
      </c>
      <c r="U37" s="32" t="n">
        <v>8000</v>
      </c>
      <c r="V37" s="32" t="n">
        <v>8000</v>
      </c>
      <c r="W37" s="32" t="n">
        <v>8000</v>
      </c>
      <c r="X37" s="13" t="n">
        <f aca="false">IFERROR(AVERAGEIF(D37:H37,"&lt;&gt;0"),"")</f>
        <v>8200</v>
      </c>
      <c r="Y37" s="13" t="n">
        <f aca="false">IFERROR(AVERAGEIF(I37:M37,"&lt;&gt;0"),"")</f>
        <v>8000</v>
      </c>
      <c r="Z37" s="13" t="n">
        <f aca="false">IFERROR(AVERAGEIF(N37:R37,"&lt;&gt;0"),"")</f>
        <v>8000</v>
      </c>
      <c r="AA37" s="13" t="n">
        <f aca="false">IFERROR(AVERAGEIF(S37:W37,"&lt;&gt;0"),"")</f>
        <v>8000</v>
      </c>
      <c r="AB37" s="13" t="n">
        <f aca="false">IFERROR(AVERAGEIF(D37:W37,"&lt;&gt;0"),"")</f>
        <v>8052.63157894737</v>
      </c>
    </row>
    <row r="38" customFormat="false" ht="15" hidden="false" customHeight="false" outlineLevel="0" collapsed="false">
      <c r="A38" s="3" t="n">
        <v>34</v>
      </c>
      <c r="B38" s="3" t="s">
        <v>477</v>
      </c>
      <c r="C38" s="3" t="s">
        <v>471</v>
      </c>
      <c r="D38" s="32" t="n">
        <v>8000</v>
      </c>
      <c r="E38" s="32" t="n">
        <v>8000</v>
      </c>
      <c r="F38" s="32" t="n">
        <v>8000</v>
      </c>
      <c r="G38" s="32" t="n">
        <v>8000</v>
      </c>
      <c r="H38" s="32" t="n">
        <v>8000</v>
      </c>
      <c r="I38" s="32" t="n">
        <v>8000</v>
      </c>
      <c r="J38" s="32" t="n">
        <v>8000</v>
      </c>
      <c r="K38" s="32" t="n">
        <v>8000</v>
      </c>
      <c r="L38" s="32" t="n">
        <v>8000</v>
      </c>
      <c r="M38" s="32" t="n">
        <v>8000</v>
      </c>
      <c r="N38" s="32" t="n">
        <v>0</v>
      </c>
      <c r="O38" s="32" t="n">
        <v>8000</v>
      </c>
      <c r="P38" s="32" t="n">
        <v>8000</v>
      </c>
      <c r="Q38" s="32" t="n">
        <v>8000</v>
      </c>
      <c r="R38" s="32" t="n">
        <v>8000</v>
      </c>
      <c r="S38" s="32" t="n">
        <v>5000</v>
      </c>
      <c r="T38" s="32" t="n">
        <v>5000</v>
      </c>
      <c r="U38" s="32" t="n">
        <v>5000</v>
      </c>
      <c r="V38" s="32" t="n">
        <v>5000</v>
      </c>
      <c r="W38" s="32" t="n">
        <v>5000</v>
      </c>
      <c r="X38" s="13" t="n">
        <f aca="false">IFERROR(AVERAGEIF(D38:H38,"&lt;&gt;0"),"")</f>
        <v>8000</v>
      </c>
      <c r="Y38" s="13" t="n">
        <f aca="false">IFERROR(AVERAGEIF(I38:M38,"&lt;&gt;0"),"")</f>
        <v>8000</v>
      </c>
      <c r="Z38" s="13" t="n">
        <f aca="false">IFERROR(AVERAGEIF(N38:R38,"&lt;&gt;0"),"")</f>
        <v>8000</v>
      </c>
      <c r="AA38" s="13" t="n">
        <f aca="false">IFERROR(AVERAGEIF(S38:W38,"&lt;&gt;0"),"")</f>
        <v>5000</v>
      </c>
      <c r="AB38" s="13" t="n">
        <f aca="false">IFERROR(AVERAGEIF(D38:W38,"&lt;&gt;0"),"")</f>
        <v>7210.52631578947</v>
      </c>
    </row>
    <row r="39" customFormat="false" ht="15" hidden="false" customHeight="false" outlineLevel="0" collapsed="false">
      <c r="A39" s="3" t="n">
        <v>35</v>
      </c>
      <c r="B39" s="3" t="s">
        <v>478</v>
      </c>
      <c r="C39" s="3" t="s">
        <v>471</v>
      </c>
      <c r="D39" s="32" t="n">
        <v>12000</v>
      </c>
      <c r="E39" s="32" t="n">
        <v>12000</v>
      </c>
      <c r="F39" s="32" t="n">
        <v>12000</v>
      </c>
      <c r="G39" s="32" t="n">
        <v>12000</v>
      </c>
      <c r="H39" s="32" t="n">
        <v>12000</v>
      </c>
      <c r="I39" s="32" t="n">
        <v>12000</v>
      </c>
      <c r="J39" s="32" t="n">
        <v>12000</v>
      </c>
      <c r="K39" s="32" t="n">
        <v>12000</v>
      </c>
      <c r="L39" s="32" t="n">
        <v>12000</v>
      </c>
      <c r="M39" s="32" t="n">
        <v>12000</v>
      </c>
      <c r="N39" s="32" t="n">
        <v>0</v>
      </c>
      <c r="O39" s="32" t="n">
        <v>12000</v>
      </c>
      <c r="P39" s="32" t="n">
        <v>12000</v>
      </c>
      <c r="Q39" s="32" t="n">
        <v>12000</v>
      </c>
      <c r="R39" s="32" t="n">
        <v>12000</v>
      </c>
      <c r="S39" s="32" t="n">
        <v>12000</v>
      </c>
      <c r="T39" s="32" t="n">
        <v>12000</v>
      </c>
      <c r="U39" s="32" t="n">
        <v>12000</v>
      </c>
      <c r="V39" s="32" t="n">
        <v>12000</v>
      </c>
      <c r="W39" s="32" t="n">
        <v>12000</v>
      </c>
      <c r="X39" s="13" t="n">
        <f aca="false">IFERROR(AVERAGEIF(D39:H39,"&lt;&gt;0"),"")</f>
        <v>12000</v>
      </c>
      <c r="Y39" s="13" t="n">
        <f aca="false">IFERROR(AVERAGEIF(I39:M39,"&lt;&gt;0"),"")</f>
        <v>12000</v>
      </c>
      <c r="Z39" s="13" t="n">
        <f aca="false">IFERROR(AVERAGEIF(N39:R39,"&lt;&gt;0"),"")</f>
        <v>12000</v>
      </c>
      <c r="AA39" s="13" t="n">
        <f aca="false">IFERROR(AVERAGEIF(S39:W39,"&lt;&gt;0"),"")</f>
        <v>12000</v>
      </c>
      <c r="AB39" s="13" t="n">
        <f aca="false">IFERROR(AVERAGEIF(D39:W39,"&lt;&gt;0"),"")</f>
        <v>12000</v>
      </c>
    </row>
    <row r="40" customFormat="false" ht="15" hidden="false" customHeight="false" outlineLevel="0" collapsed="false">
      <c r="A40" s="3" t="n">
        <v>36</v>
      </c>
      <c r="B40" s="3" t="s">
        <v>479</v>
      </c>
      <c r="C40" s="3" t="s">
        <v>471</v>
      </c>
      <c r="D40" s="32" t="n">
        <v>4000</v>
      </c>
      <c r="E40" s="32" t="n">
        <v>4000</v>
      </c>
      <c r="F40" s="32" t="n">
        <v>4000</v>
      </c>
      <c r="G40" s="32" t="n">
        <v>4000</v>
      </c>
      <c r="H40" s="32" t="n">
        <v>4000</v>
      </c>
      <c r="I40" s="32" t="n">
        <v>4000</v>
      </c>
      <c r="J40" s="32" t="n">
        <v>4000</v>
      </c>
      <c r="K40" s="32" t="n">
        <v>4000</v>
      </c>
      <c r="L40" s="32" t="n">
        <v>4000</v>
      </c>
      <c r="M40" s="32" t="n">
        <v>4000</v>
      </c>
      <c r="N40" s="32" t="n">
        <v>0</v>
      </c>
      <c r="O40" s="32" t="n">
        <v>4000</v>
      </c>
      <c r="P40" s="32" t="n">
        <v>4000</v>
      </c>
      <c r="Q40" s="32" t="n">
        <v>4000</v>
      </c>
      <c r="R40" s="32" t="n">
        <v>4000</v>
      </c>
      <c r="S40" s="32" t="n">
        <v>4000</v>
      </c>
      <c r="T40" s="32" t="n">
        <v>4000</v>
      </c>
      <c r="U40" s="32" t="n">
        <v>4000</v>
      </c>
      <c r="V40" s="32" t="n">
        <v>4000</v>
      </c>
      <c r="W40" s="32" t="n">
        <v>4000</v>
      </c>
      <c r="X40" s="13" t="n">
        <f aca="false">IFERROR(AVERAGEIF(D40:H40,"&lt;&gt;0"),"")</f>
        <v>4000</v>
      </c>
      <c r="Y40" s="13" t="n">
        <f aca="false">IFERROR(AVERAGEIF(I40:M40,"&lt;&gt;0"),"")</f>
        <v>4000</v>
      </c>
      <c r="Z40" s="13" t="n">
        <f aca="false">IFERROR(AVERAGEIF(N40:R40,"&lt;&gt;0"),"")</f>
        <v>4000</v>
      </c>
      <c r="AA40" s="13" t="n">
        <f aca="false">IFERROR(AVERAGEIF(S40:W40,"&lt;&gt;0"),"")</f>
        <v>4000</v>
      </c>
      <c r="AB40" s="13" t="n">
        <f aca="false">IFERROR(AVERAGEIF(D40:W40,"&lt;&gt;0"),"")</f>
        <v>4000</v>
      </c>
    </row>
    <row r="41" customFormat="false" ht="15" hidden="false" customHeight="false" outlineLevel="0" collapsed="false">
      <c r="A41" s="3" t="n">
        <v>37</v>
      </c>
      <c r="B41" s="3" t="s">
        <v>480</v>
      </c>
      <c r="C41" s="3" t="s">
        <v>471</v>
      </c>
      <c r="D41" s="32" t="n">
        <v>2000</v>
      </c>
      <c r="E41" s="32" t="n">
        <v>2000</v>
      </c>
      <c r="F41" s="32" t="n">
        <v>2000</v>
      </c>
      <c r="G41" s="32" t="n">
        <v>2000</v>
      </c>
      <c r="H41" s="32" t="n">
        <v>2000</v>
      </c>
      <c r="I41" s="32" t="n">
        <v>2000</v>
      </c>
      <c r="J41" s="32" t="n">
        <v>2000</v>
      </c>
      <c r="K41" s="32" t="n">
        <v>2000</v>
      </c>
      <c r="L41" s="32" t="n">
        <v>2000</v>
      </c>
      <c r="M41" s="32" t="n">
        <v>2000</v>
      </c>
      <c r="N41" s="32" t="n">
        <v>0</v>
      </c>
      <c r="O41" s="32" t="n">
        <v>2000</v>
      </c>
      <c r="P41" s="32" t="n">
        <v>2000</v>
      </c>
      <c r="Q41" s="32" t="n">
        <v>2000</v>
      </c>
      <c r="R41" s="32" t="n">
        <v>2000</v>
      </c>
      <c r="S41" s="32" t="n">
        <v>2000</v>
      </c>
      <c r="T41" s="32" t="n">
        <v>2000</v>
      </c>
      <c r="U41" s="32" t="n">
        <v>2000</v>
      </c>
      <c r="V41" s="32" t="n">
        <v>2000</v>
      </c>
      <c r="W41" s="32" t="n">
        <v>2000</v>
      </c>
      <c r="X41" s="13" t="n">
        <f aca="false">IFERROR(AVERAGEIF(D41:H41,"&lt;&gt;0"),"")</f>
        <v>2000</v>
      </c>
      <c r="Y41" s="13" t="n">
        <f aca="false">IFERROR(AVERAGEIF(I41:M41,"&lt;&gt;0"),"")</f>
        <v>2000</v>
      </c>
      <c r="Z41" s="13" t="n">
        <f aca="false">IFERROR(AVERAGEIF(N41:R41,"&lt;&gt;0"),"")</f>
        <v>2000</v>
      </c>
      <c r="AA41" s="13" t="n">
        <f aca="false">IFERROR(AVERAGEIF(S41:W41,"&lt;&gt;0"),"")</f>
        <v>2000</v>
      </c>
      <c r="AB41" s="13" t="n">
        <f aca="false">IFERROR(AVERAGEIF(D41:W41,"&lt;&gt;0"),"")</f>
        <v>2000</v>
      </c>
    </row>
    <row r="42" customFormat="false" ht="15" hidden="false" customHeight="false" outlineLevel="0" collapsed="false">
      <c r="A42" s="3" t="n">
        <v>38</v>
      </c>
      <c r="B42" s="3" t="s">
        <v>481</v>
      </c>
      <c r="C42" s="3" t="s">
        <v>471</v>
      </c>
      <c r="D42" s="32" t="n">
        <v>5000</v>
      </c>
      <c r="E42" s="32" t="n">
        <v>5000</v>
      </c>
      <c r="F42" s="32" t="n">
        <v>5000</v>
      </c>
      <c r="G42" s="32" t="n">
        <v>5000</v>
      </c>
      <c r="H42" s="32" t="n">
        <v>5000</v>
      </c>
      <c r="I42" s="32" t="n">
        <v>5000</v>
      </c>
      <c r="J42" s="32" t="n">
        <v>5000</v>
      </c>
      <c r="K42" s="32" t="n">
        <v>5000</v>
      </c>
      <c r="L42" s="32" t="n">
        <v>5000</v>
      </c>
      <c r="M42" s="32" t="n">
        <v>5000</v>
      </c>
      <c r="N42" s="32" t="n">
        <v>0</v>
      </c>
      <c r="O42" s="32" t="n">
        <v>5000</v>
      </c>
      <c r="P42" s="32" t="n">
        <v>5000</v>
      </c>
      <c r="Q42" s="32" t="n">
        <v>5000</v>
      </c>
      <c r="R42" s="32" t="n">
        <v>5000</v>
      </c>
      <c r="S42" s="32" t="n">
        <v>5000</v>
      </c>
      <c r="T42" s="32" t="n">
        <v>5000</v>
      </c>
      <c r="U42" s="32" t="n">
        <v>5000</v>
      </c>
      <c r="V42" s="32" t="n">
        <v>5000</v>
      </c>
      <c r="W42" s="32" t="n">
        <v>5000</v>
      </c>
      <c r="X42" s="13" t="n">
        <f aca="false">IFERROR(AVERAGEIF(D42:H42,"&lt;&gt;0"),"")</f>
        <v>5000</v>
      </c>
      <c r="Y42" s="13" t="n">
        <f aca="false">IFERROR(AVERAGEIF(I42:M42,"&lt;&gt;0"),"")</f>
        <v>5000</v>
      </c>
      <c r="Z42" s="13" t="n">
        <f aca="false">IFERROR(AVERAGEIF(N42:R42,"&lt;&gt;0"),"")</f>
        <v>5000</v>
      </c>
      <c r="AA42" s="13" t="n">
        <f aca="false">IFERROR(AVERAGEIF(S42:W42,"&lt;&gt;0"),"")</f>
        <v>5000</v>
      </c>
      <c r="AB42" s="13" t="n">
        <f aca="false">IFERROR(AVERAGEIF(D42:W42,"&lt;&gt;0"),"")</f>
        <v>5000</v>
      </c>
    </row>
    <row r="43" customFormat="false" ht="15" hidden="false" customHeight="false" outlineLevel="0" collapsed="false">
      <c r="A43" s="3" t="n">
        <v>39</v>
      </c>
      <c r="B43" s="3" t="s">
        <v>482</v>
      </c>
      <c r="C43" s="3" t="s">
        <v>471</v>
      </c>
      <c r="D43" s="32" t="n">
        <v>5000</v>
      </c>
      <c r="E43" s="32" t="n">
        <v>5000</v>
      </c>
      <c r="F43" s="32" t="n">
        <v>5000</v>
      </c>
      <c r="G43" s="32" t="n">
        <v>5000</v>
      </c>
      <c r="H43" s="32" t="n">
        <v>5000</v>
      </c>
      <c r="I43" s="32" t="n">
        <v>5000</v>
      </c>
      <c r="J43" s="32" t="n">
        <v>5000</v>
      </c>
      <c r="K43" s="32" t="n">
        <v>5000</v>
      </c>
      <c r="L43" s="32" t="n">
        <v>5000</v>
      </c>
      <c r="M43" s="32" t="n">
        <v>5000</v>
      </c>
      <c r="N43" s="32" t="n">
        <v>0</v>
      </c>
      <c r="O43" s="32" t="n">
        <v>5000</v>
      </c>
      <c r="P43" s="32" t="n">
        <v>5000</v>
      </c>
      <c r="Q43" s="32" t="n">
        <v>5000</v>
      </c>
      <c r="R43" s="32" t="n">
        <v>5000</v>
      </c>
      <c r="S43" s="32" t="n">
        <v>5000</v>
      </c>
      <c r="T43" s="32" t="n">
        <v>5000</v>
      </c>
      <c r="U43" s="32" t="n">
        <v>5000</v>
      </c>
      <c r="V43" s="32" t="n">
        <v>5000</v>
      </c>
      <c r="W43" s="32" t="n">
        <v>5000</v>
      </c>
      <c r="X43" s="13" t="n">
        <f aca="false">IFERROR(AVERAGEIF(D43:H43,"&lt;&gt;0"),"")</f>
        <v>5000</v>
      </c>
      <c r="Y43" s="13" t="n">
        <f aca="false">IFERROR(AVERAGEIF(I43:M43,"&lt;&gt;0"),"")</f>
        <v>5000</v>
      </c>
      <c r="Z43" s="13" t="n">
        <f aca="false">IFERROR(AVERAGEIF(N43:R43,"&lt;&gt;0"),"")</f>
        <v>5000</v>
      </c>
      <c r="AA43" s="13" t="n">
        <f aca="false">IFERROR(AVERAGEIF(S43:W43,"&lt;&gt;0"),"")</f>
        <v>5000</v>
      </c>
      <c r="AB43" s="13" t="n">
        <f aca="false">IFERROR(AVERAGEIF(D43:W43,"&lt;&gt;0"),"")</f>
        <v>5000</v>
      </c>
    </row>
    <row r="44" customFormat="false" ht="15" hidden="false" customHeight="false" outlineLevel="0" collapsed="false">
      <c r="A44" s="3" t="n">
        <v>40</v>
      </c>
      <c r="B44" s="3" t="s">
        <v>483</v>
      </c>
      <c r="C44" s="3" t="s">
        <v>471</v>
      </c>
      <c r="D44" s="32" t="n">
        <v>4000</v>
      </c>
      <c r="E44" s="32" t="n">
        <v>4000</v>
      </c>
      <c r="F44" s="32" t="n">
        <v>4000</v>
      </c>
      <c r="G44" s="32" t="n">
        <v>4000</v>
      </c>
      <c r="H44" s="32" t="n">
        <v>4000</v>
      </c>
      <c r="I44" s="32" t="n">
        <v>4000</v>
      </c>
      <c r="J44" s="32" t="n">
        <v>4000</v>
      </c>
      <c r="K44" s="32" t="n">
        <v>4000</v>
      </c>
      <c r="L44" s="32" t="n">
        <v>4000</v>
      </c>
      <c r="M44" s="32" t="n">
        <v>4000</v>
      </c>
      <c r="N44" s="32" t="n">
        <v>0</v>
      </c>
      <c r="O44" s="32" t="n">
        <v>4000</v>
      </c>
      <c r="P44" s="32" t="n">
        <v>4000</v>
      </c>
      <c r="Q44" s="32" t="n">
        <v>4000</v>
      </c>
      <c r="R44" s="32" t="n">
        <v>4000</v>
      </c>
      <c r="S44" s="32" t="n">
        <v>4000</v>
      </c>
      <c r="T44" s="32" t="n">
        <v>4000</v>
      </c>
      <c r="U44" s="32" t="n">
        <v>4000</v>
      </c>
      <c r="V44" s="32" t="n">
        <v>4000</v>
      </c>
      <c r="W44" s="32" t="n">
        <v>4000</v>
      </c>
      <c r="X44" s="13" t="n">
        <f aca="false">IFERROR(AVERAGEIF(D44:H44,"&lt;&gt;0"),"")</f>
        <v>4000</v>
      </c>
      <c r="Y44" s="13" t="n">
        <f aca="false">IFERROR(AVERAGEIF(I44:M44,"&lt;&gt;0"),"")</f>
        <v>4000</v>
      </c>
      <c r="Z44" s="13" t="n">
        <f aca="false">IFERROR(AVERAGEIF(N44:R44,"&lt;&gt;0"),"")</f>
        <v>4000</v>
      </c>
      <c r="AA44" s="13" t="n">
        <f aca="false">IFERROR(AVERAGEIF(S44:W44,"&lt;&gt;0"),"")</f>
        <v>4000</v>
      </c>
      <c r="AB44" s="13" t="n">
        <f aca="false">IFERROR(AVERAGEIF(D44:W44,"&lt;&gt;0"),"")</f>
        <v>4000</v>
      </c>
    </row>
    <row r="45" customFormat="false" ht="15" hidden="false" customHeight="false" outlineLevel="0" collapsed="false">
      <c r="A45" s="3" t="n">
        <v>41</v>
      </c>
      <c r="B45" s="3" t="s">
        <v>484</v>
      </c>
      <c r="C45" s="3" t="s">
        <v>471</v>
      </c>
      <c r="D45" s="32" t="n">
        <v>60000</v>
      </c>
      <c r="E45" s="32" t="n">
        <v>60000</v>
      </c>
      <c r="F45" s="32" t="n">
        <v>60000</v>
      </c>
      <c r="G45" s="32" t="n">
        <v>60000</v>
      </c>
      <c r="H45" s="32" t="n">
        <v>60000</v>
      </c>
      <c r="I45" s="32" t="n">
        <v>60000</v>
      </c>
      <c r="J45" s="32" t="n">
        <v>60000</v>
      </c>
      <c r="K45" s="32" t="n">
        <v>60000</v>
      </c>
      <c r="L45" s="32" t="n">
        <v>60000</v>
      </c>
      <c r="M45" s="32" t="n">
        <v>60000</v>
      </c>
      <c r="N45" s="32" t="n">
        <v>0</v>
      </c>
      <c r="O45" s="32" t="n">
        <v>60000</v>
      </c>
      <c r="P45" s="32" t="n">
        <v>60000</v>
      </c>
      <c r="Q45" s="32" t="n">
        <v>60000</v>
      </c>
      <c r="R45" s="32" t="n">
        <v>60000</v>
      </c>
      <c r="S45" s="32" t="n">
        <v>60000</v>
      </c>
      <c r="T45" s="32" t="n">
        <v>60000</v>
      </c>
      <c r="U45" s="32" t="n">
        <v>60000</v>
      </c>
      <c r="V45" s="32" t="n">
        <v>60000</v>
      </c>
      <c r="W45" s="32" t="n">
        <v>60000</v>
      </c>
      <c r="X45" s="13" t="n">
        <f aca="false">IFERROR(AVERAGEIF(D45:H45,"&lt;&gt;0"),"")</f>
        <v>60000</v>
      </c>
      <c r="Y45" s="13" t="n">
        <f aca="false">IFERROR(AVERAGEIF(I45:M45,"&lt;&gt;0"),"")</f>
        <v>60000</v>
      </c>
      <c r="Z45" s="13" t="n">
        <f aca="false">IFERROR(AVERAGEIF(N45:R45,"&lt;&gt;0"),"")</f>
        <v>60000</v>
      </c>
      <c r="AA45" s="13" t="n">
        <f aca="false">IFERROR(AVERAGEIF(S45:W45,"&lt;&gt;0"),"")</f>
        <v>60000</v>
      </c>
      <c r="AB45" s="13" t="n">
        <f aca="false">IFERROR(AVERAGEIF(D45:W45,"&lt;&gt;0"),"")</f>
        <v>60000</v>
      </c>
    </row>
    <row r="46" customFormat="false" ht="15" hidden="false" customHeight="false" outlineLevel="0" collapsed="false">
      <c r="A46" s="3" t="n">
        <v>42</v>
      </c>
      <c r="B46" s="3" t="s">
        <v>485</v>
      </c>
      <c r="C46" s="3" t="s">
        <v>471</v>
      </c>
      <c r="D46" s="32" t="n">
        <v>35000</v>
      </c>
      <c r="E46" s="32" t="n">
        <v>35000</v>
      </c>
      <c r="F46" s="32" t="n">
        <v>35000</v>
      </c>
      <c r="G46" s="32" t="n">
        <v>35000</v>
      </c>
      <c r="H46" s="32" t="n">
        <v>35000</v>
      </c>
      <c r="I46" s="32" t="n">
        <v>35000</v>
      </c>
      <c r="J46" s="32" t="n">
        <v>35000</v>
      </c>
      <c r="K46" s="32" t="n">
        <v>35000</v>
      </c>
      <c r="L46" s="32" t="n">
        <v>35000</v>
      </c>
      <c r="M46" s="32" t="n">
        <v>35000</v>
      </c>
      <c r="N46" s="32" t="n">
        <v>0</v>
      </c>
      <c r="O46" s="32" t="n">
        <v>35000</v>
      </c>
      <c r="P46" s="32" t="n">
        <v>35000</v>
      </c>
      <c r="Q46" s="32" t="n">
        <v>35000</v>
      </c>
      <c r="R46" s="32" t="n">
        <v>35000</v>
      </c>
      <c r="S46" s="32" t="n">
        <v>35000</v>
      </c>
      <c r="T46" s="32" t="n">
        <v>35000</v>
      </c>
      <c r="U46" s="32" t="n">
        <v>35000</v>
      </c>
      <c r="V46" s="32" t="n">
        <v>35000</v>
      </c>
      <c r="W46" s="32" t="n">
        <v>35000</v>
      </c>
      <c r="X46" s="13" t="n">
        <f aca="false">IFERROR(AVERAGEIF(D46:H46,"&lt;&gt;0"),"")</f>
        <v>35000</v>
      </c>
      <c r="Y46" s="13" t="n">
        <f aca="false">IFERROR(AVERAGEIF(I46:M46,"&lt;&gt;0"),"")</f>
        <v>35000</v>
      </c>
      <c r="Z46" s="13" t="n">
        <f aca="false">IFERROR(AVERAGEIF(N46:R46,"&lt;&gt;0"),"")</f>
        <v>35000</v>
      </c>
      <c r="AA46" s="13" t="n">
        <f aca="false">IFERROR(AVERAGEIF(S46:W46,"&lt;&gt;0"),"")</f>
        <v>35000</v>
      </c>
      <c r="AB46" s="13" t="n">
        <f aca="false">IFERROR(AVERAGEIF(D46:W46,"&lt;&gt;0"),"")</f>
        <v>35000</v>
      </c>
    </row>
    <row r="47" customFormat="false" ht="15" hidden="false" customHeight="false" outlineLevel="0" collapsed="false">
      <c r="A47" s="3" t="n">
        <v>43</v>
      </c>
      <c r="B47" s="3" t="s">
        <v>486</v>
      </c>
      <c r="C47" s="3" t="s">
        <v>471</v>
      </c>
      <c r="D47" s="32" t="n">
        <v>27000</v>
      </c>
      <c r="E47" s="32" t="n">
        <v>27000</v>
      </c>
      <c r="F47" s="32" t="n">
        <v>27000</v>
      </c>
      <c r="G47" s="32" t="n">
        <v>27000</v>
      </c>
      <c r="H47" s="32" t="n">
        <v>27000</v>
      </c>
      <c r="I47" s="32" t="n">
        <v>27000</v>
      </c>
      <c r="J47" s="32" t="n">
        <v>27000</v>
      </c>
      <c r="K47" s="32" t="n">
        <v>27000</v>
      </c>
      <c r="L47" s="32" t="n">
        <v>27000</v>
      </c>
      <c r="M47" s="32" t="n">
        <v>27000</v>
      </c>
      <c r="N47" s="32" t="n">
        <v>0</v>
      </c>
      <c r="O47" s="32" t="n">
        <v>27000</v>
      </c>
      <c r="P47" s="32" t="n">
        <v>27000</v>
      </c>
      <c r="Q47" s="32" t="n">
        <v>27000</v>
      </c>
      <c r="R47" s="32" t="n">
        <v>27000</v>
      </c>
      <c r="S47" s="32" t="n">
        <v>27000</v>
      </c>
      <c r="T47" s="32" t="n">
        <v>27000</v>
      </c>
      <c r="U47" s="32" t="n">
        <v>27000</v>
      </c>
      <c r="V47" s="32" t="n">
        <v>27000</v>
      </c>
      <c r="W47" s="32" t="n">
        <v>27000</v>
      </c>
      <c r="X47" s="13" t="n">
        <f aca="false">IFERROR(AVERAGEIF(D47:H47,"&lt;&gt;0"),"")</f>
        <v>27000</v>
      </c>
      <c r="Y47" s="13" t="n">
        <f aca="false">IFERROR(AVERAGEIF(I47:M47,"&lt;&gt;0"),"")</f>
        <v>27000</v>
      </c>
      <c r="Z47" s="13" t="n">
        <f aca="false">IFERROR(AVERAGEIF(N47:R47,"&lt;&gt;0"),"")</f>
        <v>27000</v>
      </c>
      <c r="AA47" s="13" t="n">
        <f aca="false">IFERROR(AVERAGEIF(S47:W47,"&lt;&gt;0"),"")</f>
        <v>27000</v>
      </c>
      <c r="AB47" s="13" t="n">
        <f aca="false">IFERROR(AVERAGEIF(D47:W47,"&lt;&gt;0"),"")</f>
        <v>27000</v>
      </c>
    </row>
    <row r="48" customFormat="false" ht="15" hidden="false" customHeight="false" outlineLevel="0" collapsed="false">
      <c r="A48" s="3" t="n">
        <v>44</v>
      </c>
      <c r="B48" s="3" t="s">
        <v>487</v>
      </c>
      <c r="C48" s="3" t="s">
        <v>471</v>
      </c>
      <c r="D48" s="32" t="n">
        <v>14000</v>
      </c>
      <c r="E48" s="32" t="n">
        <v>14000</v>
      </c>
      <c r="F48" s="32" t="n">
        <v>14000</v>
      </c>
      <c r="G48" s="32" t="n">
        <v>14000</v>
      </c>
      <c r="H48" s="32" t="n">
        <v>14000</v>
      </c>
      <c r="I48" s="32" t="n">
        <v>14000</v>
      </c>
      <c r="J48" s="32" t="n">
        <v>14000</v>
      </c>
      <c r="K48" s="32" t="n">
        <v>14000</v>
      </c>
      <c r="L48" s="32" t="n">
        <v>14000</v>
      </c>
      <c r="M48" s="32" t="n">
        <v>14000</v>
      </c>
      <c r="N48" s="32" t="n">
        <v>0</v>
      </c>
      <c r="O48" s="32" t="n">
        <v>14000</v>
      </c>
      <c r="P48" s="32" t="n">
        <v>14000</v>
      </c>
      <c r="Q48" s="32" t="n">
        <v>14000</v>
      </c>
      <c r="R48" s="32" t="n">
        <v>14000</v>
      </c>
      <c r="S48" s="32" t="n">
        <v>14000</v>
      </c>
      <c r="T48" s="32" t="n">
        <v>14000</v>
      </c>
      <c r="U48" s="32" t="n">
        <v>14000</v>
      </c>
      <c r="V48" s="32" t="n">
        <v>14000</v>
      </c>
      <c r="W48" s="32" t="n">
        <v>14000</v>
      </c>
      <c r="X48" s="13" t="n">
        <f aca="false">IFERROR(AVERAGEIF(D48:H48,"&lt;&gt;0"),"")</f>
        <v>14000</v>
      </c>
      <c r="Y48" s="13" t="n">
        <f aca="false">IFERROR(AVERAGEIF(I48:M48,"&lt;&gt;0"),"")</f>
        <v>14000</v>
      </c>
      <c r="Z48" s="13" t="n">
        <f aca="false">IFERROR(AVERAGEIF(N48:R48,"&lt;&gt;0"),"")</f>
        <v>14000</v>
      </c>
      <c r="AA48" s="13" t="n">
        <f aca="false">IFERROR(AVERAGEIF(S48:W48,"&lt;&gt;0"),"")</f>
        <v>14000</v>
      </c>
      <c r="AB48" s="13" t="n">
        <f aca="false">IFERROR(AVERAGEIF(D48:W48,"&lt;&gt;0"),"")</f>
        <v>14000</v>
      </c>
    </row>
  </sheetData>
  <mergeCells count="1">
    <mergeCell ref="A1:A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4"/>
    <col collapsed="false" customWidth="true" hidden="false" outlineLevel="0" max="23" min="4" style="0" width="9"/>
    <col collapsed="false" customWidth="true" hidden="false" outlineLevel="0" max="28" min="24" style="0" width="14"/>
  </cols>
  <sheetData>
    <row r="1" customFormat="false" ht="16.15" hidden="false" customHeight="false" outlineLevel="0" collapsed="false">
      <c r="A1" s="1" t="s">
        <v>700</v>
      </c>
      <c r="B1" s="1"/>
      <c r="C1" s="1"/>
      <c r="D1" s="1"/>
      <c r="E1" s="1"/>
      <c r="F1" s="1"/>
      <c r="G1" s="1"/>
      <c r="H1" s="1"/>
      <c r="I1" s="1"/>
      <c r="J1" s="1"/>
      <c r="K1" s="1"/>
      <c r="L1" s="1"/>
      <c r="M1" s="1"/>
      <c r="N1" s="1"/>
      <c r="O1" s="1"/>
      <c r="P1" s="1"/>
      <c r="Q1" s="1"/>
      <c r="R1" s="1"/>
      <c r="S1" s="1"/>
      <c r="T1" s="1"/>
      <c r="U1" s="1"/>
      <c r="V1" s="1"/>
      <c r="W1" s="1"/>
      <c r="X1" s="1"/>
      <c r="Y1" s="1"/>
      <c r="Z1" s="1"/>
      <c r="AA1" s="1"/>
      <c r="AB1" s="1"/>
    </row>
    <row r="2" customFormat="false" ht="15" hidden="false" customHeight="false" outlineLevel="0" collapsed="false">
      <c r="A2" s="7" t="s">
        <v>443</v>
      </c>
    </row>
    <row r="4" customFormat="false" ht="19.4" hidden="false" customHeight="false" outlineLevel="0" collapsed="false">
      <c r="A4" s="10" t="s">
        <v>1</v>
      </c>
      <c r="B4" s="10" t="s">
        <v>444</v>
      </c>
      <c r="C4" s="10" t="s">
        <v>445</v>
      </c>
      <c r="D4" s="10" t="s">
        <v>701</v>
      </c>
      <c r="E4" s="10" t="s">
        <v>702</v>
      </c>
      <c r="F4" s="10" t="s">
        <v>703</v>
      </c>
      <c r="G4" s="10" t="s">
        <v>704</v>
      </c>
      <c r="H4" s="10" t="s">
        <v>705</v>
      </c>
      <c r="I4" s="10" t="s">
        <v>706</v>
      </c>
      <c r="J4" s="10" t="s">
        <v>707</v>
      </c>
      <c r="K4" s="10" t="s">
        <v>708</v>
      </c>
      <c r="L4" s="10" t="s">
        <v>709</v>
      </c>
      <c r="M4" s="10" t="s">
        <v>710</v>
      </c>
      <c r="N4" s="10" t="s">
        <v>711</v>
      </c>
      <c r="O4" s="10" t="s">
        <v>712</v>
      </c>
      <c r="P4" s="10" t="s">
        <v>713</v>
      </c>
      <c r="Q4" s="10" t="s">
        <v>714</v>
      </c>
      <c r="R4" s="10" t="s">
        <v>715</v>
      </c>
      <c r="S4" s="10" t="s">
        <v>716</v>
      </c>
      <c r="T4" s="10" t="s">
        <v>717</v>
      </c>
      <c r="U4" s="10" t="s">
        <v>718</v>
      </c>
      <c r="V4" s="10" t="s">
        <v>719</v>
      </c>
      <c r="W4" s="10" t="s">
        <v>720</v>
      </c>
      <c r="X4" s="10" t="s">
        <v>721</v>
      </c>
      <c r="Y4" s="10" t="s">
        <v>722</v>
      </c>
      <c r="Z4" s="10" t="s">
        <v>723</v>
      </c>
      <c r="AA4" s="10" t="s">
        <v>724</v>
      </c>
      <c r="AB4" s="10" t="s">
        <v>725</v>
      </c>
    </row>
    <row r="5" customFormat="false" ht="15" hidden="false" customHeight="false" outlineLevel="0" collapsed="false">
      <c r="A5" s="3" t="n">
        <v>1</v>
      </c>
      <c r="B5" s="3" t="s">
        <v>407</v>
      </c>
      <c r="C5" s="3" t="s">
        <v>471</v>
      </c>
      <c r="D5" s="32" t="n">
        <v>12500</v>
      </c>
      <c r="E5" s="32" t="n">
        <v>12500</v>
      </c>
      <c r="F5" s="32" t="n">
        <v>12500</v>
      </c>
      <c r="G5" s="32" t="n">
        <v>12500</v>
      </c>
      <c r="H5" s="32" t="n">
        <v>0</v>
      </c>
      <c r="I5" s="32" t="n">
        <v>12500</v>
      </c>
      <c r="J5" s="32" t="n">
        <v>12500</v>
      </c>
      <c r="K5" s="32" t="n">
        <v>12500</v>
      </c>
      <c r="L5" s="32" t="n">
        <v>12500</v>
      </c>
      <c r="M5" s="32" t="n">
        <v>12500</v>
      </c>
      <c r="N5" s="32" t="n">
        <v>12500</v>
      </c>
      <c r="O5" s="32" t="n">
        <v>12500</v>
      </c>
      <c r="P5" s="32" t="n">
        <v>12500</v>
      </c>
      <c r="Q5" s="32" t="n">
        <v>12500</v>
      </c>
      <c r="R5" s="32" t="n">
        <v>12500</v>
      </c>
      <c r="S5" s="32" t="n">
        <v>12500</v>
      </c>
      <c r="T5" s="32" t="n">
        <v>12500</v>
      </c>
      <c r="U5" s="32" t="n">
        <v>12500</v>
      </c>
      <c r="V5" s="32" t="n">
        <v>12500</v>
      </c>
      <c r="W5" s="32" t="n">
        <v>12500</v>
      </c>
      <c r="X5" s="13" t="n">
        <f aca="false">IFERROR(AVERAGEIF(D5:H5,"&lt;&gt;0"),"")</f>
        <v>12500</v>
      </c>
      <c r="Y5" s="13" t="n">
        <f aca="false">IFERROR(AVERAGEIF(I5:M5,"&lt;&gt;0"),"")</f>
        <v>12500</v>
      </c>
      <c r="Z5" s="13" t="n">
        <f aca="false">IFERROR(AVERAGEIF(N5:R5,"&lt;&gt;0"),"")</f>
        <v>12500</v>
      </c>
      <c r="AA5" s="13" t="n">
        <f aca="false">IFERROR(AVERAGEIF(S5:W5,"&lt;&gt;0"),"")</f>
        <v>12500</v>
      </c>
      <c r="AB5" s="13" t="n">
        <f aca="false">IFERROR(AVERAGEIF(D5:W5,"&lt;&gt;0"),"")</f>
        <v>12500</v>
      </c>
    </row>
    <row r="6" customFormat="false" ht="15" hidden="false" customHeight="false" outlineLevel="0" collapsed="false">
      <c r="A6" s="3" t="n">
        <v>2</v>
      </c>
      <c r="B6" s="3" t="s">
        <v>408</v>
      </c>
      <c r="C6" s="3" t="s">
        <v>471</v>
      </c>
      <c r="D6" s="32" t="n">
        <v>14000</v>
      </c>
      <c r="E6" s="32" t="n">
        <v>14000</v>
      </c>
      <c r="F6" s="32" t="n">
        <v>14000</v>
      </c>
      <c r="G6" s="32" t="n">
        <v>14000</v>
      </c>
      <c r="H6" s="32" t="n">
        <v>0</v>
      </c>
      <c r="I6" s="32" t="n">
        <v>14000</v>
      </c>
      <c r="J6" s="32" t="n">
        <v>14000</v>
      </c>
      <c r="K6" s="32" t="n">
        <v>14000</v>
      </c>
      <c r="L6" s="32" t="n">
        <v>14000</v>
      </c>
      <c r="M6" s="32" t="n">
        <v>14000</v>
      </c>
      <c r="N6" s="32" t="n">
        <v>14000</v>
      </c>
      <c r="O6" s="32" t="n">
        <v>14000</v>
      </c>
      <c r="P6" s="32" t="n">
        <v>14000</v>
      </c>
      <c r="Q6" s="32" t="n">
        <v>14000</v>
      </c>
      <c r="R6" s="32" t="n">
        <v>14000</v>
      </c>
      <c r="S6" s="32" t="n">
        <v>14000</v>
      </c>
      <c r="T6" s="32" t="n">
        <v>14000</v>
      </c>
      <c r="U6" s="32" t="n">
        <v>14000</v>
      </c>
      <c r="V6" s="32" t="n">
        <v>14000</v>
      </c>
      <c r="W6" s="32" t="n">
        <v>14000</v>
      </c>
      <c r="X6" s="13" t="n">
        <f aca="false">IFERROR(AVERAGEIF(D6:H6,"&lt;&gt;0"),"")</f>
        <v>14000</v>
      </c>
      <c r="Y6" s="13" t="n">
        <f aca="false">IFERROR(AVERAGEIF(I6:M6,"&lt;&gt;0"),"")</f>
        <v>14000</v>
      </c>
      <c r="Z6" s="13" t="n">
        <f aca="false">IFERROR(AVERAGEIF(N6:R6,"&lt;&gt;0"),"")</f>
        <v>14000</v>
      </c>
      <c r="AA6" s="13" t="n">
        <f aca="false">IFERROR(AVERAGEIF(S6:W6,"&lt;&gt;0"),"")</f>
        <v>14000</v>
      </c>
      <c r="AB6" s="13" t="n">
        <f aca="false">IFERROR(AVERAGEIF(D6:W6,"&lt;&gt;0"),"")</f>
        <v>14000</v>
      </c>
    </row>
    <row r="7" customFormat="false" ht="15" hidden="false" customHeight="false" outlineLevel="0" collapsed="false">
      <c r="A7" s="3" t="n">
        <v>3</v>
      </c>
      <c r="B7" s="3" t="s">
        <v>409</v>
      </c>
      <c r="C7" s="3" t="s">
        <v>471</v>
      </c>
      <c r="D7" s="32" t="n">
        <v>12500</v>
      </c>
      <c r="E7" s="32" t="n">
        <v>12500</v>
      </c>
      <c r="F7" s="32" t="n">
        <v>12500</v>
      </c>
      <c r="G7" s="32" t="n">
        <v>12500</v>
      </c>
      <c r="H7" s="32" t="n">
        <v>0</v>
      </c>
      <c r="I7" s="32" t="n">
        <v>12500</v>
      </c>
      <c r="J7" s="32" t="n">
        <v>12500</v>
      </c>
      <c r="K7" s="32" t="n">
        <v>12500</v>
      </c>
      <c r="L7" s="32" t="n">
        <v>12500</v>
      </c>
      <c r="M7" s="32" t="n">
        <v>12500</v>
      </c>
      <c r="N7" s="32" t="n">
        <v>12500</v>
      </c>
      <c r="O7" s="32" t="n">
        <v>12500</v>
      </c>
      <c r="P7" s="32" t="n">
        <v>12500</v>
      </c>
      <c r="Q7" s="32" t="n">
        <v>12500</v>
      </c>
      <c r="R7" s="32" t="n">
        <v>12500</v>
      </c>
      <c r="S7" s="32" t="n">
        <v>12500</v>
      </c>
      <c r="T7" s="32" t="n">
        <v>12500</v>
      </c>
      <c r="U7" s="32" t="n">
        <v>12500</v>
      </c>
      <c r="V7" s="32" t="n">
        <v>12500</v>
      </c>
      <c r="W7" s="32" t="n">
        <v>12500</v>
      </c>
      <c r="X7" s="13" t="n">
        <f aca="false">IFERROR(AVERAGEIF(D7:H7,"&lt;&gt;0"),"")</f>
        <v>12500</v>
      </c>
      <c r="Y7" s="13" t="n">
        <f aca="false">IFERROR(AVERAGEIF(I7:M7,"&lt;&gt;0"),"")</f>
        <v>12500</v>
      </c>
      <c r="Z7" s="13" t="n">
        <f aca="false">IFERROR(AVERAGEIF(N7:R7,"&lt;&gt;0"),"")</f>
        <v>12500</v>
      </c>
      <c r="AA7" s="13" t="n">
        <f aca="false">IFERROR(AVERAGEIF(S7:W7,"&lt;&gt;0"),"")</f>
        <v>12500</v>
      </c>
      <c r="AB7" s="13" t="n">
        <f aca="false">IFERROR(AVERAGEIF(D7:W7,"&lt;&gt;0"),"")</f>
        <v>12500</v>
      </c>
    </row>
    <row r="8" customFormat="false" ht="15" hidden="false" customHeight="false" outlineLevel="0" collapsed="false">
      <c r="A8" s="3" t="n">
        <v>4</v>
      </c>
      <c r="B8" s="3" t="s">
        <v>472</v>
      </c>
      <c r="C8" s="3" t="s">
        <v>471</v>
      </c>
      <c r="D8" s="32" t="n">
        <v>11000</v>
      </c>
      <c r="E8" s="32" t="n">
        <v>11000</v>
      </c>
      <c r="F8" s="32" t="n">
        <v>11000</v>
      </c>
      <c r="G8" s="32" t="n">
        <v>11000</v>
      </c>
      <c r="H8" s="32" t="n">
        <v>0</v>
      </c>
      <c r="I8" s="32" t="n">
        <v>11000</v>
      </c>
      <c r="J8" s="32" t="n">
        <v>11000</v>
      </c>
      <c r="K8" s="32" t="n">
        <v>11000</v>
      </c>
      <c r="L8" s="32" t="n">
        <v>11000</v>
      </c>
      <c r="M8" s="32" t="n">
        <v>11000</v>
      </c>
      <c r="N8" s="32" t="n">
        <v>11000</v>
      </c>
      <c r="O8" s="32" t="n">
        <v>11000</v>
      </c>
      <c r="P8" s="32" t="n">
        <v>11000</v>
      </c>
      <c r="Q8" s="32" t="n">
        <v>11000</v>
      </c>
      <c r="R8" s="32" t="n">
        <v>11000</v>
      </c>
      <c r="S8" s="32" t="n">
        <v>11000</v>
      </c>
      <c r="T8" s="32" t="n">
        <v>11000</v>
      </c>
      <c r="U8" s="32" t="n">
        <v>11000</v>
      </c>
      <c r="V8" s="32" t="n">
        <v>11000</v>
      </c>
      <c r="W8" s="32" t="n">
        <v>11000</v>
      </c>
      <c r="X8" s="13" t="n">
        <f aca="false">IFERROR(AVERAGEIF(D8:H8,"&lt;&gt;0"),"")</f>
        <v>11000</v>
      </c>
      <c r="Y8" s="13" t="n">
        <f aca="false">IFERROR(AVERAGEIF(I8:M8,"&lt;&gt;0"),"")</f>
        <v>11000</v>
      </c>
      <c r="Z8" s="13" t="n">
        <f aca="false">IFERROR(AVERAGEIF(N8:R8,"&lt;&gt;0"),"")</f>
        <v>11000</v>
      </c>
      <c r="AA8" s="13" t="n">
        <f aca="false">IFERROR(AVERAGEIF(S8:W8,"&lt;&gt;0"),"")</f>
        <v>11000</v>
      </c>
      <c r="AB8" s="13" t="n">
        <f aca="false">IFERROR(AVERAGEIF(D8:W8,"&lt;&gt;0"),"")</f>
        <v>11000</v>
      </c>
    </row>
    <row r="9" customFormat="false" ht="15" hidden="false" customHeight="false" outlineLevel="0" collapsed="false">
      <c r="A9" s="3" t="n">
        <v>5</v>
      </c>
      <c r="B9" s="3" t="s">
        <v>428</v>
      </c>
      <c r="C9" s="3" t="s">
        <v>471</v>
      </c>
      <c r="D9" s="32" t="n">
        <v>26000</v>
      </c>
      <c r="E9" s="32" t="n">
        <v>26000</v>
      </c>
      <c r="F9" s="32" t="n">
        <v>26000</v>
      </c>
      <c r="G9" s="32" t="n">
        <v>22000</v>
      </c>
      <c r="H9" s="32" t="n">
        <v>0</v>
      </c>
      <c r="I9" s="32" t="n">
        <v>22000</v>
      </c>
      <c r="J9" s="32" t="n">
        <v>22000</v>
      </c>
      <c r="K9" s="32" t="n">
        <v>22000</v>
      </c>
      <c r="L9" s="32" t="n">
        <v>21000</v>
      </c>
      <c r="M9" s="32" t="n">
        <v>21000</v>
      </c>
      <c r="N9" s="32" t="n">
        <v>21000</v>
      </c>
      <c r="O9" s="32" t="n">
        <v>21000</v>
      </c>
      <c r="P9" s="32" t="n">
        <v>21000</v>
      </c>
      <c r="Q9" s="32" t="n">
        <v>22000</v>
      </c>
      <c r="R9" s="32" t="n">
        <v>22000</v>
      </c>
      <c r="S9" s="32" t="n">
        <v>22000</v>
      </c>
      <c r="T9" s="32" t="n">
        <v>22000</v>
      </c>
      <c r="U9" s="32" t="n">
        <v>22000</v>
      </c>
      <c r="V9" s="32" t="n">
        <v>24000</v>
      </c>
      <c r="W9" s="32" t="n">
        <v>24000</v>
      </c>
      <c r="X9" s="13" t="n">
        <f aca="false">IFERROR(AVERAGEIF(D9:H9,"&lt;&gt;0"),"")</f>
        <v>25000</v>
      </c>
      <c r="Y9" s="13" t="n">
        <f aca="false">IFERROR(AVERAGEIF(I9:M9,"&lt;&gt;0"),"")</f>
        <v>21600</v>
      </c>
      <c r="Z9" s="13" t="n">
        <f aca="false">IFERROR(AVERAGEIF(N9:R9,"&lt;&gt;0"),"")</f>
        <v>21400</v>
      </c>
      <c r="AA9" s="13" t="n">
        <f aca="false">IFERROR(AVERAGEIF(S9:W9,"&lt;&gt;0"),"")</f>
        <v>22800</v>
      </c>
      <c r="AB9" s="13" t="n">
        <f aca="false">IFERROR(AVERAGEIF(D9:W9,"&lt;&gt;0"),"")</f>
        <v>22578.9473684211</v>
      </c>
    </row>
    <row r="10" customFormat="false" ht="15" hidden="false" customHeight="false" outlineLevel="0" collapsed="false">
      <c r="A10" s="3" t="n">
        <v>6</v>
      </c>
      <c r="B10" s="3" t="s">
        <v>429</v>
      </c>
      <c r="C10" s="3" t="s">
        <v>471</v>
      </c>
      <c r="D10" s="32" t="n">
        <v>23000</v>
      </c>
      <c r="E10" s="32" t="n">
        <v>23000</v>
      </c>
      <c r="F10" s="32" t="n">
        <v>23000</v>
      </c>
      <c r="G10" s="32" t="n">
        <v>22000</v>
      </c>
      <c r="H10" s="32" t="n">
        <v>0</v>
      </c>
      <c r="I10" s="32" t="n">
        <v>21000</v>
      </c>
      <c r="J10" s="32" t="n">
        <v>21000</v>
      </c>
      <c r="K10" s="32" t="n">
        <v>21000</v>
      </c>
      <c r="L10" s="32" t="n">
        <v>21000</v>
      </c>
      <c r="M10" s="32" t="n">
        <v>21000</v>
      </c>
      <c r="N10" s="32" t="n">
        <v>21000</v>
      </c>
      <c r="O10" s="32" t="n">
        <v>21000</v>
      </c>
      <c r="P10" s="32" t="n">
        <v>21000</v>
      </c>
      <c r="Q10" s="32" t="n">
        <v>22000</v>
      </c>
      <c r="R10" s="32" t="n">
        <v>22000</v>
      </c>
      <c r="S10" s="32" t="n">
        <v>22000</v>
      </c>
      <c r="T10" s="32" t="n">
        <v>22000</v>
      </c>
      <c r="U10" s="32" t="n">
        <v>22000</v>
      </c>
      <c r="V10" s="32" t="n">
        <v>24000</v>
      </c>
      <c r="W10" s="32" t="n">
        <v>24000</v>
      </c>
      <c r="X10" s="13" t="n">
        <f aca="false">IFERROR(AVERAGEIF(D10:H10,"&lt;&gt;0"),"")</f>
        <v>22750</v>
      </c>
      <c r="Y10" s="13" t="n">
        <f aca="false">IFERROR(AVERAGEIF(I10:M10,"&lt;&gt;0"),"")</f>
        <v>21000</v>
      </c>
      <c r="Z10" s="13" t="n">
        <f aca="false">IFERROR(AVERAGEIF(N10:R10,"&lt;&gt;0"),"")</f>
        <v>21400</v>
      </c>
      <c r="AA10" s="13" t="n">
        <f aca="false">IFERROR(AVERAGEIF(S10:W10,"&lt;&gt;0"),"")</f>
        <v>22800</v>
      </c>
      <c r="AB10" s="13" t="n">
        <f aca="false">IFERROR(AVERAGEIF(D10:W10,"&lt;&gt;0"),"")</f>
        <v>21947.3684210526</v>
      </c>
    </row>
    <row r="11" customFormat="false" ht="15" hidden="false" customHeight="false" outlineLevel="0" collapsed="false">
      <c r="A11" s="3" t="n">
        <v>7</v>
      </c>
      <c r="B11" s="3" t="s">
        <v>418</v>
      </c>
      <c r="C11" s="3" t="s">
        <v>471</v>
      </c>
      <c r="D11" s="32" t="n">
        <v>24000</v>
      </c>
      <c r="E11" s="32" t="n">
        <v>24000</v>
      </c>
      <c r="F11" s="32" t="n">
        <v>24000</v>
      </c>
      <c r="G11" s="32" t="n">
        <v>22000</v>
      </c>
      <c r="H11" s="32" t="n">
        <v>0</v>
      </c>
      <c r="I11" s="32" t="n">
        <v>22000</v>
      </c>
      <c r="J11" s="32" t="n">
        <v>22000</v>
      </c>
      <c r="K11" s="32" t="n">
        <v>22000</v>
      </c>
      <c r="L11" s="32" t="n">
        <v>22000</v>
      </c>
      <c r="M11" s="32" t="n">
        <v>22000</v>
      </c>
      <c r="N11" s="32" t="n">
        <v>22000</v>
      </c>
      <c r="O11" s="32" t="n">
        <v>22000</v>
      </c>
      <c r="P11" s="32" t="n">
        <v>22000</v>
      </c>
      <c r="Q11" s="32" t="n">
        <v>23000</v>
      </c>
      <c r="R11" s="32" t="n">
        <v>23000</v>
      </c>
      <c r="S11" s="32" t="n">
        <v>23000</v>
      </c>
      <c r="T11" s="32" t="n">
        <v>23000</v>
      </c>
      <c r="U11" s="32" t="n">
        <v>23000</v>
      </c>
      <c r="V11" s="32" t="n">
        <v>25000</v>
      </c>
      <c r="W11" s="32" t="n">
        <v>25000</v>
      </c>
      <c r="X11" s="13" t="n">
        <f aca="false">IFERROR(AVERAGEIF(D11:H11,"&lt;&gt;0"),"")</f>
        <v>23500</v>
      </c>
      <c r="Y11" s="13" t="n">
        <f aca="false">IFERROR(AVERAGEIF(I11:M11,"&lt;&gt;0"),"")</f>
        <v>22000</v>
      </c>
      <c r="Z11" s="13" t="n">
        <f aca="false">IFERROR(AVERAGEIF(N11:R11,"&lt;&gt;0"),"")</f>
        <v>22400</v>
      </c>
      <c r="AA11" s="13" t="n">
        <f aca="false">IFERROR(AVERAGEIF(S11:W11,"&lt;&gt;0"),"")</f>
        <v>23800</v>
      </c>
      <c r="AB11" s="13" t="n">
        <f aca="false">IFERROR(AVERAGEIF(D11:W11,"&lt;&gt;0"),"")</f>
        <v>22894.7368421053</v>
      </c>
    </row>
    <row r="12" customFormat="false" ht="15" hidden="false" customHeight="false" outlineLevel="0" collapsed="false">
      <c r="A12" s="3" t="n">
        <v>8</v>
      </c>
      <c r="B12" s="3" t="s">
        <v>423</v>
      </c>
      <c r="C12" s="3" t="s">
        <v>471</v>
      </c>
      <c r="D12" s="32" t="n">
        <v>30000</v>
      </c>
      <c r="E12" s="32" t="n">
        <v>30000</v>
      </c>
      <c r="F12" s="32" t="n">
        <v>30000</v>
      </c>
      <c r="G12" s="32" t="n">
        <v>26000</v>
      </c>
      <c r="H12" s="32" t="n">
        <v>0</v>
      </c>
      <c r="I12" s="32" t="n">
        <v>28000</v>
      </c>
      <c r="J12" s="32" t="n">
        <v>28000</v>
      </c>
      <c r="K12" s="32" t="n">
        <v>28000</v>
      </c>
      <c r="L12" s="32" t="n">
        <v>28000</v>
      </c>
      <c r="M12" s="32" t="n">
        <v>28000</v>
      </c>
      <c r="N12" s="32" t="n">
        <v>28000</v>
      </c>
      <c r="O12" s="32" t="n">
        <v>28000</v>
      </c>
      <c r="P12" s="32" t="n">
        <v>28000</v>
      </c>
      <c r="Q12" s="32" t="n">
        <v>28000</v>
      </c>
      <c r="R12" s="32" t="n">
        <v>28000</v>
      </c>
      <c r="S12" s="32" t="n">
        <v>28000</v>
      </c>
      <c r="T12" s="32" t="n">
        <v>23000</v>
      </c>
      <c r="U12" s="32" t="n">
        <v>23000</v>
      </c>
      <c r="V12" s="32" t="n">
        <v>25000</v>
      </c>
      <c r="W12" s="32" t="n">
        <v>25000</v>
      </c>
      <c r="X12" s="13" t="n">
        <f aca="false">IFERROR(AVERAGEIF(D12:H12,"&lt;&gt;0"),"")</f>
        <v>29000</v>
      </c>
      <c r="Y12" s="13" t="n">
        <f aca="false">IFERROR(AVERAGEIF(I12:M12,"&lt;&gt;0"),"")</f>
        <v>28000</v>
      </c>
      <c r="Z12" s="13" t="n">
        <f aca="false">IFERROR(AVERAGEIF(N12:R12,"&lt;&gt;0"),"")</f>
        <v>28000</v>
      </c>
      <c r="AA12" s="13" t="n">
        <f aca="false">IFERROR(AVERAGEIF(S12:W12,"&lt;&gt;0"),"")</f>
        <v>24800</v>
      </c>
      <c r="AB12" s="13" t="n">
        <f aca="false">IFERROR(AVERAGEIF(D12:W12,"&lt;&gt;0"),"")</f>
        <v>27368.4210526316</v>
      </c>
    </row>
    <row r="13" customFormat="false" ht="15" hidden="false" customHeight="false" outlineLevel="0" collapsed="false">
      <c r="A13" s="3" t="n">
        <v>9</v>
      </c>
      <c r="B13" s="3" t="s">
        <v>420</v>
      </c>
      <c r="C13" s="3" t="s">
        <v>471</v>
      </c>
      <c r="D13" s="32" t="n">
        <v>15500</v>
      </c>
      <c r="E13" s="32" t="n">
        <v>15500</v>
      </c>
      <c r="F13" s="32" t="n">
        <v>15500</v>
      </c>
      <c r="G13" s="32" t="n">
        <v>15000</v>
      </c>
      <c r="H13" s="32" t="n">
        <v>0</v>
      </c>
      <c r="I13" s="32" t="n">
        <v>15500</v>
      </c>
      <c r="J13" s="32" t="n">
        <v>15500</v>
      </c>
      <c r="K13" s="32" t="n">
        <v>15500</v>
      </c>
      <c r="L13" s="32" t="n">
        <v>15500</v>
      </c>
      <c r="M13" s="32" t="n">
        <v>15000</v>
      </c>
      <c r="N13" s="32" t="n">
        <v>15000</v>
      </c>
      <c r="O13" s="32" t="n">
        <v>15000</v>
      </c>
      <c r="P13" s="32" t="n">
        <v>15000</v>
      </c>
      <c r="Q13" s="32" t="n">
        <v>15000</v>
      </c>
      <c r="R13" s="32" t="n">
        <v>15000</v>
      </c>
      <c r="S13" s="32" t="n">
        <v>15000</v>
      </c>
      <c r="T13" s="32" t="n">
        <v>15000</v>
      </c>
      <c r="U13" s="32" t="n">
        <v>15000</v>
      </c>
      <c r="V13" s="32" t="n">
        <v>15000</v>
      </c>
      <c r="W13" s="32" t="n">
        <v>15000</v>
      </c>
      <c r="X13" s="13" t="n">
        <f aca="false">IFERROR(AVERAGEIF(D13:H13,"&lt;&gt;0"),"")</f>
        <v>15375</v>
      </c>
      <c r="Y13" s="13" t="n">
        <f aca="false">IFERROR(AVERAGEIF(I13:M13,"&lt;&gt;0"),"")</f>
        <v>15400</v>
      </c>
      <c r="Z13" s="13" t="n">
        <f aca="false">IFERROR(AVERAGEIF(N13:R13,"&lt;&gt;0"),"")</f>
        <v>15000</v>
      </c>
      <c r="AA13" s="13" t="n">
        <f aca="false">IFERROR(AVERAGEIF(S13:W13,"&lt;&gt;0"),"")</f>
        <v>15000</v>
      </c>
      <c r="AB13" s="13" t="n">
        <f aca="false">IFERROR(AVERAGEIF(D13:W13,"&lt;&gt;0"),"")</f>
        <v>15184.2105263158</v>
      </c>
    </row>
    <row r="14" customFormat="false" ht="15" hidden="false" customHeight="false" outlineLevel="0" collapsed="false">
      <c r="A14" s="3" t="n">
        <v>10</v>
      </c>
      <c r="B14" s="3" t="s">
        <v>413</v>
      </c>
      <c r="C14" s="3" t="s">
        <v>471</v>
      </c>
      <c r="D14" s="32" t="n">
        <v>15000</v>
      </c>
      <c r="E14" s="32" t="n">
        <v>15000</v>
      </c>
      <c r="F14" s="32" t="n">
        <v>15000</v>
      </c>
      <c r="G14" s="32" t="n">
        <v>15000</v>
      </c>
      <c r="H14" s="32" t="n">
        <v>0</v>
      </c>
      <c r="I14" s="32" t="n">
        <v>15000</v>
      </c>
      <c r="J14" s="32" t="n">
        <v>15000</v>
      </c>
      <c r="K14" s="32" t="n">
        <v>15000</v>
      </c>
      <c r="L14" s="32" t="n">
        <v>15000</v>
      </c>
      <c r="M14" s="32" t="n">
        <v>15000</v>
      </c>
      <c r="N14" s="32" t="n">
        <v>15000</v>
      </c>
      <c r="O14" s="32" t="n">
        <v>15000</v>
      </c>
      <c r="P14" s="32" t="n">
        <v>15000</v>
      </c>
      <c r="Q14" s="32" t="n">
        <v>15000</v>
      </c>
      <c r="R14" s="32" t="n">
        <v>15000</v>
      </c>
      <c r="S14" s="32" t="n">
        <v>15000</v>
      </c>
      <c r="T14" s="32" t="n">
        <v>15000</v>
      </c>
      <c r="U14" s="32" t="n">
        <v>15000</v>
      </c>
      <c r="V14" s="32" t="n">
        <v>15000</v>
      </c>
      <c r="W14" s="32" t="n">
        <v>15000</v>
      </c>
      <c r="X14" s="13" t="n">
        <f aca="false">IFERROR(AVERAGEIF(D14:H14,"&lt;&gt;0"),"")</f>
        <v>15000</v>
      </c>
      <c r="Y14" s="13" t="n">
        <f aca="false">IFERROR(AVERAGEIF(I14:M14,"&lt;&gt;0"),"")</f>
        <v>15000</v>
      </c>
      <c r="Z14" s="13" t="n">
        <f aca="false">IFERROR(AVERAGEIF(N14:R14,"&lt;&gt;0"),"")</f>
        <v>15000</v>
      </c>
      <c r="AA14" s="13" t="n">
        <f aca="false">IFERROR(AVERAGEIF(S14:W14,"&lt;&gt;0"),"")</f>
        <v>15000</v>
      </c>
      <c r="AB14" s="13" t="n">
        <f aca="false">IFERROR(AVERAGEIF(D14:W14,"&lt;&gt;0"),"")</f>
        <v>15000</v>
      </c>
    </row>
    <row r="15" customFormat="false" ht="15" hidden="false" customHeight="false" outlineLevel="0" collapsed="false">
      <c r="A15" s="3" t="n">
        <v>11</v>
      </c>
      <c r="B15" s="3" t="s">
        <v>414</v>
      </c>
      <c r="C15" s="3" t="s">
        <v>471</v>
      </c>
      <c r="D15" s="32" t="n">
        <v>18000</v>
      </c>
      <c r="E15" s="32" t="n">
        <v>18000</v>
      </c>
      <c r="F15" s="32" t="n">
        <v>18000</v>
      </c>
      <c r="G15" s="32" t="n">
        <v>18000</v>
      </c>
      <c r="H15" s="32" t="n">
        <v>0</v>
      </c>
      <c r="I15" s="32" t="n">
        <v>18000</v>
      </c>
      <c r="J15" s="32" t="n">
        <v>18000</v>
      </c>
      <c r="K15" s="32" t="n">
        <v>18000</v>
      </c>
      <c r="L15" s="32" t="n">
        <v>18000</v>
      </c>
      <c r="M15" s="32" t="n">
        <v>18000</v>
      </c>
      <c r="N15" s="32" t="n">
        <v>18000</v>
      </c>
      <c r="O15" s="32" t="n">
        <v>18000</v>
      </c>
      <c r="P15" s="32" t="n">
        <v>18000</v>
      </c>
      <c r="Q15" s="32" t="n">
        <v>18000</v>
      </c>
      <c r="R15" s="32" t="n">
        <v>18000</v>
      </c>
      <c r="S15" s="32" t="n">
        <v>18000</v>
      </c>
      <c r="T15" s="32" t="n">
        <v>18000</v>
      </c>
      <c r="U15" s="32" t="n">
        <v>18000</v>
      </c>
      <c r="V15" s="32" t="n">
        <v>18000</v>
      </c>
      <c r="W15" s="32" t="n">
        <v>18000</v>
      </c>
      <c r="X15" s="13" t="n">
        <f aca="false">IFERROR(AVERAGEIF(D15:H15,"&lt;&gt;0"),"")</f>
        <v>18000</v>
      </c>
      <c r="Y15" s="13" t="n">
        <f aca="false">IFERROR(AVERAGEIF(I15:M15,"&lt;&gt;0"),"")</f>
        <v>18000</v>
      </c>
      <c r="Z15" s="13" t="n">
        <f aca="false">IFERROR(AVERAGEIF(N15:R15,"&lt;&gt;0"),"")</f>
        <v>18000</v>
      </c>
      <c r="AA15" s="13" t="n">
        <f aca="false">IFERROR(AVERAGEIF(S15:W15,"&lt;&gt;0"),"")</f>
        <v>18000</v>
      </c>
      <c r="AB15" s="13" t="n">
        <f aca="false">IFERROR(AVERAGEIF(D15:W15,"&lt;&gt;0"),"")</f>
        <v>18000</v>
      </c>
    </row>
    <row r="16" customFormat="false" ht="15" hidden="false" customHeight="false" outlineLevel="0" collapsed="false">
      <c r="A16" s="3" t="n">
        <v>12</v>
      </c>
      <c r="B16" s="3" t="s">
        <v>415</v>
      </c>
      <c r="C16" s="3" t="s">
        <v>471</v>
      </c>
      <c r="D16" s="32" t="n">
        <v>15700</v>
      </c>
      <c r="E16" s="32" t="n">
        <v>15700</v>
      </c>
      <c r="F16" s="32" t="n">
        <v>15700</v>
      </c>
      <c r="G16" s="32" t="n">
        <v>15700</v>
      </c>
      <c r="H16" s="32" t="n">
        <v>0</v>
      </c>
      <c r="I16" s="32" t="n">
        <v>15700</v>
      </c>
      <c r="J16" s="32" t="n">
        <v>15700</v>
      </c>
      <c r="K16" s="32" t="n">
        <v>15700</v>
      </c>
      <c r="L16" s="32" t="n">
        <v>15700</v>
      </c>
      <c r="M16" s="32" t="n">
        <v>15700</v>
      </c>
      <c r="N16" s="32" t="n">
        <v>15700</v>
      </c>
      <c r="O16" s="32" t="n">
        <v>15700</v>
      </c>
      <c r="P16" s="32" t="n">
        <v>15700</v>
      </c>
      <c r="Q16" s="32" t="n">
        <v>15700</v>
      </c>
      <c r="R16" s="32" t="n">
        <v>15700</v>
      </c>
      <c r="S16" s="32" t="n">
        <v>15700</v>
      </c>
      <c r="T16" s="32" t="n">
        <v>15700</v>
      </c>
      <c r="U16" s="32" t="n">
        <v>15700</v>
      </c>
      <c r="V16" s="32" t="n">
        <v>15700</v>
      </c>
      <c r="W16" s="32" t="n">
        <v>15700</v>
      </c>
      <c r="X16" s="13" t="n">
        <f aca="false">IFERROR(AVERAGEIF(D16:H16,"&lt;&gt;0"),"")</f>
        <v>15700</v>
      </c>
      <c r="Y16" s="13" t="n">
        <f aca="false">IFERROR(AVERAGEIF(I16:M16,"&lt;&gt;0"),"")</f>
        <v>15700</v>
      </c>
      <c r="Z16" s="13" t="n">
        <f aca="false">IFERROR(AVERAGEIF(N16:R16,"&lt;&gt;0"),"")</f>
        <v>15700</v>
      </c>
      <c r="AA16" s="13" t="n">
        <f aca="false">IFERROR(AVERAGEIF(S16:W16,"&lt;&gt;0"),"")</f>
        <v>15700</v>
      </c>
      <c r="AB16" s="13" t="n">
        <f aca="false">IFERROR(AVERAGEIF(D16:W16,"&lt;&gt;0"),"")</f>
        <v>15700</v>
      </c>
    </row>
    <row r="17" customFormat="false" ht="15" hidden="false" customHeight="false" outlineLevel="0" collapsed="false">
      <c r="A17" s="3" t="n">
        <v>13</v>
      </c>
      <c r="B17" s="3" t="s">
        <v>410</v>
      </c>
      <c r="C17" s="3" t="s">
        <v>471</v>
      </c>
      <c r="D17" s="32" t="n">
        <v>11000</v>
      </c>
      <c r="E17" s="32" t="n">
        <v>11000</v>
      </c>
      <c r="F17" s="32" t="n">
        <v>11000</v>
      </c>
      <c r="G17" s="32" t="n">
        <v>11000</v>
      </c>
      <c r="H17" s="32" t="n">
        <v>0</v>
      </c>
      <c r="I17" s="32" t="n">
        <v>11000</v>
      </c>
      <c r="J17" s="32" t="n">
        <v>11000</v>
      </c>
      <c r="K17" s="32" t="n">
        <v>11000</v>
      </c>
      <c r="L17" s="32" t="n">
        <v>11000</v>
      </c>
      <c r="M17" s="32" t="n">
        <v>11000</v>
      </c>
      <c r="N17" s="32" t="n">
        <v>11000</v>
      </c>
      <c r="O17" s="32" t="n">
        <v>11000</v>
      </c>
      <c r="P17" s="32" t="n">
        <v>11000</v>
      </c>
      <c r="Q17" s="32" t="n">
        <v>11000</v>
      </c>
      <c r="R17" s="32" t="n">
        <v>11000</v>
      </c>
      <c r="S17" s="32" t="n">
        <v>11000</v>
      </c>
      <c r="T17" s="32" t="n">
        <v>11000</v>
      </c>
      <c r="U17" s="32" t="n">
        <v>11000</v>
      </c>
      <c r="V17" s="32" t="n">
        <v>11000</v>
      </c>
      <c r="W17" s="32" t="n">
        <v>11000</v>
      </c>
      <c r="X17" s="13" t="n">
        <f aca="false">IFERROR(AVERAGEIF(D17:H17,"&lt;&gt;0"),"")</f>
        <v>11000</v>
      </c>
      <c r="Y17" s="13" t="n">
        <f aca="false">IFERROR(AVERAGEIF(I17:M17,"&lt;&gt;0"),"")</f>
        <v>11000</v>
      </c>
      <c r="Z17" s="13" t="n">
        <f aca="false">IFERROR(AVERAGEIF(N17:R17,"&lt;&gt;0"),"")</f>
        <v>11000</v>
      </c>
      <c r="AA17" s="13" t="n">
        <f aca="false">IFERROR(AVERAGEIF(S17:W17,"&lt;&gt;0"),"")</f>
        <v>11000</v>
      </c>
      <c r="AB17" s="13" t="n">
        <f aca="false">IFERROR(AVERAGEIF(D17:W17,"&lt;&gt;0"),"")</f>
        <v>11000</v>
      </c>
    </row>
    <row r="18" customFormat="false" ht="15" hidden="false" customHeight="false" outlineLevel="0" collapsed="false">
      <c r="A18" s="3" t="n">
        <v>14</v>
      </c>
      <c r="B18" s="3" t="s">
        <v>412</v>
      </c>
      <c r="C18" s="3" t="s">
        <v>471</v>
      </c>
      <c r="D18" s="32" t="n">
        <v>29000</v>
      </c>
      <c r="E18" s="32" t="n">
        <v>29000</v>
      </c>
      <c r="F18" s="32" t="n">
        <v>29000</v>
      </c>
      <c r="G18" s="32" t="n">
        <v>27000</v>
      </c>
      <c r="H18" s="32" t="n">
        <v>0</v>
      </c>
      <c r="I18" s="32" t="n">
        <v>27000</v>
      </c>
      <c r="J18" s="32" t="n">
        <v>27000</v>
      </c>
      <c r="K18" s="32" t="n">
        <v>27000</v>
      </c>
      <c r="L18" s="32" t="n">
        <v>27000</v>
      </c>
      <c r="M18" s="32" t="n">
        <v>27000</v>
      </c>
      <c r="N18" s="32" t="n">
        <v>27000</v>
      </c>
      <c r="O18" s="32" t="n">
        <v>27000</v>
      </c>
      <c r="P18" s="32" t="n">
        <v>27000</v>
      </c>
      <c r="Q18" s="32" t="n">
        <v>27000</v>
      </c>
      <c r="R18" s="32" t="n">
        <v>27000</v>
      </c>
      <c r="S18" s="32" t="n">
        <v>27000</v>
      </c>
      <c r="T18" s="32" t="n">
        <v>27000</v>
      </c>
      <c r="U18" s="32" t="n">
        <v>27000</v>
      </c>
      <c r="V18" s="32" t="n">
        <v>29000</v>
      </c>
      <c r="W18" s="32" t="n">
        <v>29000</v>
      </c>
      <c r="X18" s="13" t="n">
        <f aca="false">IFERROR(AVERAGEIF(D18:H18,"&lt;&gt;0"),"")</f>
        <v>28500</v>
      </c>
      <c r="Y18" s="13" t="n">
        <f aca="false">IFERROR(AVERAGEIF(I18:M18,"&lt;&gt;0"),"")</f>
        <v>27000</v>
      </c>
      <c r="Z18" s="13" t="n">
        <f aca="false">IFERROR(AVERAGEIF(N18:R18,"&lt;&gt;0"),"")</f>
        <v>27000</v>
      </c>
      <c r="AA18" s="13" t="n">
        <f aca="false">IFERROR(AVERAGEIF(S18:W18,"&lt;&gt;0"),"")</f>
        <v>27800</v>
      </c>
      <c r="AB18" s="13" t="n">
        <f aca="false">IFERROR(AVERAGEIF(D18:W18,"&lt;&gt;0"),"")</f>
        <v>27526.3157894737</v>
      </c>
    </row>
    <row r="19" customFormat="false" ht="15" hidden="false" customHeight="false" outlineLevel="0" collapsed="false">
      <c r="A19" s="3" t="n">
        <v>15</v>
      </c>
      <c r="B19" s="3" t="s">
        <v>419</v>
      </c>
      <c r="C19" s="3" t="s">
        <v>471</v>
      </c>
      <c r="D19" s="32" t="n">
        <v>24000</v>
      </c>
      <c r="E19" s="32" t="n">
        <v>24000</v>
      </c>
      <c r="F19" s="32" t="n">
        <v>24000</v>
      </c>
      <c r="G19" s="32" t="n">
        <v>23000</v>
      </c>
      <c r="H19" s="32" t="n">
        <v>0</v>
      </c>
      <c r="I19" s="32" t="n">
        <v>23000</v>
      </c>
      <c r="J19" s="32" t="n">
        <v>23000</v>
      </c>
      <c r="K19" s="32" t="n">
        <v>23000</v>
      </c>
      <c r="L19" s="32" t="n">
        <v>25000</v>
      </c>
      <c r="M19" s="32" t="n">
        <v>25000</v>
      </c>
      <c r="N19" s="32" t="n">
        <v>25000</v>
      </c>
      <c r="O19" s="32" t="n">
        <v>25000</v>
      </c>
      <c r="P19" s="32" t="n">
        <v>25000</v>
      </c>
      <c r="Q19" s="32" t="n">
        <v>26000</v>
      </c>
      <c r="R19" s="32" t="n">
        <v>26000</v>
      </c>
      <c r="S19" s="32" t="n">
        <v>26000</v>
      </c>
      <c r="T19" s="32" t="n">
        <v>26000</v>
      </c>
      <c r="U19" s="32" t="n">
        <v>26000</v>
      </c>
      <c r="V19" s="32" t="n">
        <v>25000</v>
      </c>
      <c r="W19" s="32" t="n">
        <v>25000</v>
      </c>
      <c r="X19" s="13" t="n">
        <f aca="false">IFERROR(AVERAGEIF(D19:H19,"&lt;&gt;0"),"")</f>
        <v>23750</v>
      </c>
      <c r="Y19" s="13" t="n">
        <f aca="false">IFERROR(AVERAGEIF(I19:M19,"&lt;&gt;0"),"")</f>
        <v>23800</v>
      </c>
      <c r="Z19" s="13" t="n">
        <f aca="false">IFERROR(AVERAGEIF(N19:R19,"&lt;&gt;0"),"")</f>
        <v>25400</v>
      </c>
      <c r="AA19" s="13" t="n">
        <f aca="false">IFERROR(AVERAGEIF(S19:W19,"&lt;&gt;0"),"")</f>
        <v>25600</v>
      </c>
      <c r="AB19" s="13" t="n">
        <f aca="false">IFERROR(AVERAGEIF(D19:W19,"&lt;&gt;0"),"")</f>
        <v>24684.2105263158</v>
      </c>
    </row>
    <row r="20" customFormat="false" ht="15" hidden="false" customHeight="false" outlineLevel="0" collapsed="false">
      <c r="A20" s="3" t="n">
        <v>16</v>
      </c>
      <c r="B20" s="3" t="s">
        <v>430</v>
      </c>
      <c r="C20" s="3" t="s">
        <v>471</v>
      </c>
      <c r="D20" s="32" t="n">
        <v>93000</v>
      </c>
      <c r="E20" s="32" t="n">
        <v>93000</v>
      </c>
      <c r="F20" s="32" t="n">
        <v>93000</v>
      </c>
      <c r="G20" s="32" t="n">
        <v>93000</v>
      </c>
      <c r="H20" s="32" t="n">
        <v>0</v>
      </c>
      <c r="I20" s="32" t="n">
        <v>93000</v>
      </c>
      <c r="J20" s="32" t="n">
        <v>93000</v>
      </c>
      <c r="K20" s="32" t="n">
        <v>93000</v>
      </c>
      <c r="L20" s="32" t="n">
        <v>90000</v>
      </c>
      <c r="M20" s="32" t="n">
        <v>90000</v>
      </c>
      <c r="N20" s="32" t="n">
        <v>90000</v>
      </c>
      <c r="O20" s="32" t="n">
        <v>90000</v>
      </c>
      <c r="P20" s="32" t="n">
        <v>90000</v>
      </c>
      <c r="Q20" s="32" t="n">
        <v>90000</v>
      </c>
      <c r="R20" s="32" t="n">
        <v>90000</v>
      </c>
      <c r="S20" s="32" t="n">
        <v>90000</v>
      </c>
      <c r="T20" s="32" t="n">
        <v>90000</v>
      </c>
      <c r="U20" s="32" t="n">
        <v>90000</v>
      </c>
      <c r="V20" s="32" t="n">
        <v>90000</v>
      </c>
      <c r="W20" s="32" t="n">
        <v>90000</v>
      </c>
      <c r="X20" s="13" t="n">
        <f aca="false">IFERROR(AVERAGEIF(D20:H20,"&lt;&gt;0"),"")</f>
        <v>93000</v>
      </c>
      <c r="Y20" s="13" t="n">
        <f aca="false">IFERROR(AVERAGEIF(I20:M20,"&lt;&gt;0"),"")</f>
        <v>91800</v>
      </c>
      <c r="Z20" s="13" t="n">
        <f aca="false">IFERROR(AVERAGEIF(N20:R20,"&lt;&gt;0"),"")</f>
        <v>90000</v>
      </c>
      <c r="AA20" s="13" t="n">
        <f aca="false">IFERROR(AVERAGEIF(S20:W20,"&lt;&gt;0"),"")</f>
        <v>90000</v>
      </c>
      <c r="AB20" s="13" t="n">
        <f aca="false">IFERROR(AVERAGEIF(D20:W20,"&lt;&gt;0"),"")</f>
        <v>91105.2631578947</v>
      </c>
    </row>
    <row r="21" customFormat="false" ht="15" hidden="false" customHeight="false" outlineLevel="0" collapsed="false">
      <c r="A21" s="3" t="n">
        <v>17</v>
      </c>
      <c r="B21" s="3" t="s">
        <v>431</v>
      </c>
      <c r="C21" s="3" t="s">
        <v>471</v>
      </c>
      <c r="D21" s="32" t="n">
        <v>60000</v>
      </c>
      <c r="E21" s="32" t="n">
        <v>60000</v>
      </c>
      <c r="F21" s="32" t="n">
        <v>60000</v>
      </c>
      <c r="G21" s="32" t="n">
        <v>60000</v>
      </c>
      <c r="H21" s="32" t="n">
        <v>0</v>
      </c>
      <c r="I21" s="32" t="n">
        <v>60000</v>
      </c>
      <c r="J21" s="32" t="n">
        <v>60000</v>
      </c>
      <c r="K21" s="32" t="n">
        <v>60000</v>
      </c>
      <c r="L21" s="32" t="n">
        <v>60000</v>
      </c>
      <c r="M21" s="32" t="n">
        <v>60000</v>
      </c>
      <c r="N21" s="32" t="n">
        <v>60000</v>
      </c>
      <c r="O21" s="32" t="n">
        <v>60000</v>
      </c>
      <c r="P21" s="32" t="n">
        <v>60000</v>
      </c>
      <c r="Q21" s="32" t="n">
        <v>60000</v>
      </c>
      <c r="R21" s="32" t="n">
        <v>60000</v>
      </c>
      <c r="S21" s="32" t="n">
        <v>60000</v>
      </c>
      <c r="T21" s="32" t="n">
        <v>60000</v>
      </c>
      <c r="U21" s="32" t="n">
        <v>60000</v>
      </c>
      <c r="V21" s="32" t="n">
        <v>60000</v>
      </c>
      <c r="W21" s="32" t="n">
        <v>60000</v>
      </c>
      <c r="X21" s="13" t="n">
        <f aca="false">IFERROR(AVERAGEIF(D21:H21,"&lt;&gt;0"),"")</f>
        <v>60000</v>
      </c>
      <c r="Y21" s="13" t="n">
        <f aca="false">IFERROR(AVERAGEIF(I21:M21,"&lt;&gt;0"),"")</f>
        <v>60000</v>
      </c>
      <c r="Z21" s="13" t="n">
        <f aca="false">IFERROR(AVERAGEIF(N21:R21,"&lt;&gt;0"),"")</f>
        <v>60000</v>
      </c>
      <c r="AA21" s="13" t="n">
        <f aca="false">IFERROR(AVERAGEIF(S21:W21,"&lt;&gt;0"),"")</f>
        <v>60000</v>
      </c>
      <c r="AB21" s="13" t="n">
        <f aca="false">IFERROR(AVERAGEIF(D21:W21,"&lt;&gt;0"),"")</f>
        <v>60000</v>
      </c>
    </row>
    <row r="22" customFormat="false" ht="15" hidden="false" customHeight="false" outlineLevel="0" collapsed="false">
      <c r="A22" s="3" t="n">
        <v>18</v>
      </c>
      <c r="B22" s="3" t="s">
        <v>432</v>
      </c>
      <c r="C22" s="3" t="s">
        <v>471</v>
      </c>
      <c r="D22" s="32" t="n">
        <v>55000</v>
      </c>
      <c r="E22" s="32" t="n">
        <v>55000</v>
      </c>
      <c r="F22" s="32" t="n">
        <v>55000</v>
      </c>
      <c r="G22" s="32" t="n">
        <v>55000</v>
      </c>
      <c r="H22" s="32" t="n">
        <v>0</v>
      </c>
      <c r="I22" s="32" t="n">
        <v>55000</v>
      </c>
      <c r="J22" s="32" t="n">
        <v>55000</v>
      </c>
      <c r="K22" s="32" t="n">
        <v>55000</v>
      </c>
      <c r="L22" s="32" t="n">
        <v>55000</v>
      </c>
      <c r="M22" s="32" t="n">
        <v>55000</v>
      </c>
      <c r="N22" s="32" t="n">
        <v>55000</v>
      </c>
      <c r="O22" s="32" t="n">
        <v>55000</v>
      </c>
      <c r="P22" s="32" t="n">
        <v>55000</v>
      </c>
      <c r="Q22" s="32" t="n">
        <v>55000</v>
      </c>
      <c r="R22" s="32" t="n">
        <v>55000</v>
      </c>
      <c r="S22" s="32" t="n">
        <v>55000</v>
      </c>
      <c r="T22" s="32" t="n">
        <v>55000</v>
      </c>
      <c r="U22" s="32" t="n">
        <v>55000</v>
      </c>
      <c r="V22" s="32" t="n">
        <v>55000</v>
      </c>
      <c r="W22" s="32" t="n">
        <v>55000</v>
      </c>
      <c r="X22" s="13" t="n">
        <f aca="false">IFERROR(AVERAGEIF(D22:H22,"&lt;&gt;0"),"")</f>
        <v>55000</v>
      </c>
      <c r="Y22" s="13" t="n">
        <f aca="false">IFERROR(AVERAGEIF(I22:M22,"&lt;&gt;0"),"")</f>
        <v>55000</v>
      </c>
      <c r="Z22" s="13" t="n">
        <f aca="false">IFERROR(AVERAGEIF(N22:R22,"&lt;&gt;0"),"")</f>
        <v>55000</v>
      </c>
      <c r="AA22" s="13" t="n">
        <f aca="false">IFERROR(AVERAGEIF(S22:W22,"&lt;&gt;0"),"")</f>
        <v>55000</v>
      </c>
      <c r="AB22" s="13" t="n">
        <f aca="false">IFERROR(AVERAGEIF(D22:W22,"&lt;&gt;0"),"")</f>
        <v>55000</v>
      </c>
    </row>
    <row r="23" customFormat="false" ht="15" hidden="false" customHeight="false" outlineLevel="0" collapsed="false">
      <c r="A23" s="3" t="n">
        <v>19</v>
      </c>
      <c r="B23" s="3" t="s">
        <v>473</v>
      </c>
      <c r="C23" s="3" t="s">
        <v>471</v>
      </c>
      <c r="D23" s="32" t="n">
        <v>28000</v>
      </c>
      <c r="E23" s="32" t="n">
        <v>28000</v>
      </c>
      <c r="F23" s="32" t="n">
        <v>28000</v>
      </c>
      <c r="G23" s="32" t="n">
        <v>28000</v>
      </c>
      <c r="H23" s="32" t="n">
        <v>0</v>
      </c>
      <c r="I23" s="32" t="n">
        <v>28000</v>
      </c>
      <c r="J23" s="32" t="n">
        <v>28000</v>
      </c>
      <c r="K23" s="32" t="n">
        <v>28000</v>
      </c>
      <c r="L23" s="32" t="n">
        <v>28000</v>
      </c>
      <c r="M23" s="32" t="n">
        <v>28000</v>
      </c>
      <c r="N23" s="32" t="n">
        <v>28000</v>
      </c>
      <c r="O23" s="32" t="n">
        <v>28000</v>
      </c>
      <c r="P23" s="32" t="n">
        <v>28000</v>
      </c>
      <c r="Q23" s="32" t="n">
        <v>28000</v>
      </c>
      <c r="R23" s="32" t="n">
        <v>28000</v>
      </c>
      <c r="S23" s="32" t="n">
        <v>28000</v>
      </c>
      <c r="T23" s="32" t="n">
        <v>28000</v>
      </c>
      <c r="U23" s="32" t="n">
        <v>28000</v>
      </c>
      <c r="V23" s="32" t="n">
        <v>28000</v>
      </c>
      <c r="W23" s="32" t="n">
        <v>28000</v>
      </c>
      <c r="X23" s="13" t="n">
        <f aca="false">IFERROR(AVERAGEIF(D23:H23,"&lt;&gt;0"),"")</f>
        <v>28000</v>
      </c>
      <c r="Y23" s="13" t="n">
        <f aca="false">IFERROR(AVERAGEIF(I23:M23,"&lt;&gt;0"),"")</f>
        <v>28000</v>
      </c>
      <c r="Z23" s="13" t="n">
        <f aca="false">IFERROR(AVERAGEIF(N23:R23,"&lt;&gt;0"),"")</f>
        <v>28000</v>
      </c>
      <c r="AA23" s="13" t="n">
        <f aca="false">IFERROR(AVERAGEIF(S23:W23,"&lt;&gt;0"),"")</f>
        <v>28000</v>
      </c>
      <c r="AB23" s="13" t="n">
        <f aca="false">IFERROR(AVERAGEIF(D23:W23,"&lt;&gt;0"),"")</f>
        <v>28000</v>
      </c>
    </row>
    <row r="24" customFormat="false" ht="15" hidden="false" customHeight="false" outlineLevel="0" collapsed="false">
      <c r="A24" s="3" t="n">
        <v>20</v>
      </c>
      <c r="B24" s="3" t="s">
        <v>421</v>
      </c>
      <c r="C24" s="3" t="s">
        <v>471</v>
      </c>
      <c r="D24" s="32" t="n">
        <v>28000</v>
      </c>
      <c r="E24" s="32" t="n">
        <v>28000</v>
      </c>
      <c r="F24" s="32" t="n">
        <v>28000</v>
      </c>
      <c r="G24" s="32" t="n">
        <v>28000</v>
      </c>
      <c r="H24" s="32" t="n">
        <v>0</v>
      </c>
      <c r="I24" s="32" t="n">
        <v>28000</v>
      </c>
      <c r="J24" s="32" t="n">
        <v>28000</v>
      </c>
      <c r="K24" s="32" t="n">
        <v>28000</v>
      </c>
      <c r="L24" s="32" t="n">
        <v>28000</v>
      </c>
      <c r="M24" s="32" t="n">
        <v>28000</v>
      </c>
      <c r="N24" s="32" t="n">
        <v>28000</v>
      </c>
      <c r="O24" s="32" t="n">
        <v>28000</v>
      </c>
      <c r="P24" s="32" t="n">
        <v>28000</v>
      </c>
      <c r="Q24" s="32" t="n">
        <v>28000</v>
      </c>
      <c r="R24" s="32" t="n">
        <v>28000</v>
      </c>
      <c r="S24" s="32" t="n">
        <v>28000</v>
      </c>
      <c r="T24" s="32" t="n">
        <v>28000</v>
      </c>
      <c r="U24" s="32" t="n">
        <v>28000</v>
      </c>
      <c r="V24" s="32" t="n">
        <v>28000</v>
      </c>
      <c r="W24" s="32" t="n">
        <v>28000</v>
      </c>
      <c r="X24" s="13" t="n">
        <f aca="false">IFERROR(AVERAGEIF(D24:H24,"&lt;&gt;0"),"")</f>
        <v>28000</v>
      </c>
      <c r="Y24" s="13" t="n">
        <f aca="false">IFERROR(AVERAGEIF(I24:M24,"&lt;&gt;0"),"")</f>
        <v>28000</v>
      </c>
      <c r="Z24" s="13" t="n">
        <f aca="false">IFERROR(AVERAGEIF(N24:R24,"&lt;&gt;0"),"")</f>
        <v>28000</v>
      </c>
      <c r="AA24" s="13" t="n">
        <f aca="false">IFERROR(AVERAGEIF(S24:W24,"&lt;&gt;0"),"")</f>
        <v>28000</v>
      </c>
      <c r="AB24" s="13" t="n">
        <f aca="false">IFERROR(AVERAGEIF(D24:W24,"&lt;&gt;0"),"")</f>
        <v>28000</v>
      </c>
    </row>
    <row r="25" customFormat="false" ht="15" hidden="false" customHeight="false" outlineLevel="0" collapsed="false">
      <c r="A25" s="3" t="n">
        <v>21</v>
      </c>
      <c r="B25" s="3" t="s">
        <v>474</v>
      </c>
      <c r="C25" s="3" t="s">
        <v>471</v>
      </c>
      <c r="D25" s="32" t="n">
        <v>60000</v>
      </c>
      <c r="E25" s="32" t="n">
        <v>60000</v>
      </c>
      <c r="F25" s="32" t="n">
        <v>60000</v>
      </c>
      <c r="G25" s="32" t="n">
        <v>60000</v>
      </c>
      <c r="H25" s="32" t="n">
        <v>0</v>
      </c>
      <c r="I25" s="32" t="n">
        <v>60000</v>
      </c>
      <c r="J25" s="32" t="n">
        <v>60000</v>
      </c>
      <c r="K25" s="32" t="n">
        <v>60000</v>
      </c>
      <c r="L25" s="32" t="n">
        <v>60000</v>
      </c>
      <c r="M25" s="32" t="n">
        <v>60000</v>
      </c>
      <c r="N25" s="32" t="n">
        <v>60000</v>
      </c>
      <c r="O25" s="32" t="n">
        <v>60000</v>
      </c>
      <c r="P25" s="32" t="n">
        <v>60000</v>
      </c>
      <c r="Q25" s="32" t="n">
        <v>60000</v>
      </c>
      <c r="R25" s="32" t="n">
        <v>60000</v>
      </c>
      <c r="S25" s="32" t="n">
        <v>60000</v>
      </c>
      <c r="T25" s="32" t="n">
        <v>60000</v>
      </c>
      <c r="U25" s="32" t="n">
        <v>60000</v>
      </c>
      <c r="V25" s="32" t="n">
        <v>60000</v>
      </c>
      <c r="W25" s="32" t="n">
        <v>60000</v>
      </c>
      <c r="X25" s="13" t="n">
        <f aca="false">IFERROR(AVERAGEIF(D25:H25,"&lt;&gt;0"),"")</f>
        <v>60000</v>
      </c>
      <c r="Y25" s="13" t="n">
        <f aca="false">IFERROR(AVERAGEIF(I25:M25,"&lt;&gt;0"),"")</f>
        <v>60000</v>
      </c>
      <c r="Z25" s="13" t="n">
        <f aca="false">IFERROR(AVERAGEIF(N25:R25,"&lt;&gt;0"),"")</f>
        <v>60000</v>
      </c>
      <c r="AA25" s="13" t="n">
        <f aca="false">IFERROR(AVERAGEIF(S25:W25,"&lt;&gt;0"),"")</f>
        <v>60000</v>
      </c>
      <c r="AB25" s="13" t="n">
        <f aca="false">IFERROR(AVERAGEIF(D25:W25,"&lt;&gt;0"),"")</f>
        <v>60000</v>
      </c>
    </row>
    <row r="26" customFormat="false" ht="15" hidden="false" customHeight="false" outlineLevel="0" collapsed="false">
      <c r="A26" s="3" t="n">
        <v>22</v>
      </c>
      <c r="B26" s="3" t="s">
        <v>426</v>
      </c>
      <c r="C26" s="3" t="s">
        <v>471</v>
      </c>
      <c r="D26" s="32" t="n">
        <v>2800</v>
      </c>
      <c r="E26" s="32" t="n">
        <v>2800</v>
      </c>
      <c r="F26" s="32" t="n">
        <v>2800</v>
      </c>
      <c r="G26" s="32" t="n">
        <v>2800</v>
      </c>
      <c r="H26" s="32" t="n">
        <v>0</v>
      </c>
      <c r="I26" s="32" t="n">
        <v>2800</v>
      </c>
      <c r="J26" s="32" t="n">
        <v>2800</v>
      </c>
      <c r="K26" s="32" t="n">
        <v>2800</v>
      </c>
      <c r="L26" s="32" t="n">
        <v>2800</v>
      </c>
      <c r="M26" s="32" t="n">
        <v>2800</v>
      </c>
      <c r="N26" s="32" t="n">
        <v>2800</v>
      </c>
      <c r="O26" s="32" t="n">
        <v>2800</v>
      </c>
      <c r="P26" s="32" t="n">
        <v>2800</v>
      </c>
      <c r="Q26" s="32" t="n">
        <v>2800</v>
      </c>
      <c r="R26" s="32" t="n">
        <v>2800</v>
      </c>
      <c r="S26" s="32" t="n">
        <v>2800</v>
      </c>
      <c r="T26" s="32" t="n">
        <v>2800</v>
      </c>
      <c r="U26" s="32" t="n">
        <v>2800</v>
      </c>
      <c r="V26" s="32" t="n">
        <v>2800</v>
      </c>
      <c r="W26" s="32" t="n">
        <v>2800</v>
      </c>
      <c r="X26" s="13" t="n">
        <f aca="false">IFERROR(AVERAGEIF(D26:H26,"&lt;&gt;0"),"")</f>
        <v>2800</v>
      </c>
      <c r="Y26" s="13" t="n">
        <f aca="false">IFERROR(AVERAGEIF(I26:M26,"&lt;&gt;0"),"")</f>
        <v>2800</v>
      </c>
      <c r="Z26" s="13" t="n">
        <f aca="false">IFERROR(AVERAGEIF(N26:R26,"&lt;&gt;0"),"")</f>
        <v>2800</v>
      </c>
      <c r="AA26" s="13" t="n">
        <f aca="false">IFERROR(AVERAGEIF(S26:W26,"&lt;&gt;0"),"")</f>
        <v>2800</v>
      </c>
      <c r="AB26" s="13" t="n">
        <f aca="false">IFERROR(AVERAGEIF(D26:W26,"&lt;&gt;0"),"")</f>
        <v>2800</v>
      </c>
    </row>
    <row r="27" customFormat="false" ht="15" hidden="false" customHeight="false" outlineLevel="0" collapsed="false">
      <c r="A27" s="3" t="n">
        <v>23</v>
      </c>
      <c r="B27" s="3" t="s">
        <v>424</v>
      </c>
      <c r="C27" s="3" t="s">
        <v>471</v>
      </c>
      <c r="D27" s="32" t="n">
        <v>24000</v>
      </c>
      <c r="E27" s="32" t="n">
        <v>24000</v>
      </c>
      <c r="F27" s="32" t="n">
        <v>24000</v>
      </c>
      <c r="G27" s="32" t="n">
        <v>24000</v>
      </c>
      <c r="H27" s="32" t="n">
        <v>0</v>
      </c>
      <c r="I27" s="32" t="n">
        <v>24000</v>
      </c>
      <c r="J27" s="32" t="n">
        <v>24000</v>
      </c>
      <c r="K27" s="32" t="n">
        <v>24000</v>
      </c>
      <c r="L27" s="32" t="n">
        <v>24000</v>
      </c>
      <c r="M27" s="32" t="n">
        <v>24000</v>
      </c>
      <c r="N27" s="32" t="n">
        <v>24000</v>
      </c>
      <c r="O27" s="32" t="n">
        <v>24000</v>
      </c>
      <c r="P27" s="32" t="n">
        <v>24000</v>
      </c>
      <c r="Q27" s="32" t="n">
        <v>24000</v>
      </c>
      <c r="R27" s="32" t="n">
        <v>24000</v>
      </c>
      <c r="S27" s="32" t="n">
        <v>24000</v>
      </c>
      <c r="T27" s="32" t="n">
        <v>24000</v>
      </c>
      <c r="U27" s="32" t="n">
        <v>24000</v>
      </c>
      <c r="V27" s="32" t="n">
        <v>24000</v>
      </c>
      <c r="W27" s="32" t="n">
        <v>24000</v>
      </c>
      <c r="X27" s="13" t="n">
        <f aca="false">IFERROR(AVERAGEIF(D27:H27,"&lt;&gt;0"),"")</f>
        <v>24000</v>
      </c>
      <c r="Y27" s="13" t="n">
        <f aca="false">IFERROR(AVERAGEIF(I27:M27,"&lt;&gt;0"),"")</f>
        <v>24000</v>
      </c>
      <c r="Z27" s="13" t="n">
        <f aca="false">IFERROR(AVERAGEIF(N27:R27,"&lt;&gt;0"),"")</f>
        <v>24000</v>
      </c>
      <c r="AA27" s="13" t="n">
        <f aca="false">IFERROR(AVERAGEIF(S27:W27,"&lt;&gt;0"),"")</f>
        <v>24000</v>
      </c>
      <c r="AB27" s="13" t="n">
        <f aca="false">IFERROR(AVERAGEIF(D27:W27,"&lt;&gt;0"),"")</f>
        <v>24000</v>
      </c>
    </row>
    <row r="28" customFormat="false" ht="15" hidden="false" customHeight="false" outlineLevel="0" collapsed="false">
      <c r="A28" s="3" t="n">
        <v>24</v>
      </c>
      <c r="B28" s="3" t="s">
        <v>425</v>
      </c>
      <c r="C28" s="3" t="s">
        <v>471</v>
      </c>
      <c r="D28" s="32" t="n">
        <v>30000</v>
      </c>
      <c r="E28" s="32" t="n">
        <v>30000</v>
      </c>
      <c r="F28" s="32" t="n">
        <v>30000</v>
      </c>
      <c r="G28" s="32" t="n">
        <v>30000</v>
      </c>
      <c r="H28" s="32" t="n">
        <v>0</v>
      </c>
      <c r="I28" s="32" t="n">
        <v>30000</v>
      </c>
      <c r="J28" s="32" t="n">
        <v>30000</v>
      </c>
      <c r="K28" s="32" t="n">
        <v>30000</v>
      </c>
      <c r="L28" s="32" t="n">
        <v>30000</v>
      </c>
      <c r="M28" s="32" t="n">
        <v>30000</v>
      </c>
      <c r="N28" s="32" t="n">
        <v>30000</v>
      </c>
      <c r="O28" s="32" t="n">
        <v>30000</v>
      </c>
      <c r="P28" s="32" t="n">
        <v>30000</v>
      </c>
      <c r="Q28" s="32" t="n">
        <v>30000</v>
      </c>
      <c r="R28" s="32" t="n">
        <v>30000</v>
      </c>
      <c r="S28" s="32" t="n">
        <v>30000</v>
      </c>
      <c r="T28" s="32" t="n">
        <v>30000</v>
      </c>
      <c r="U28" s="32" t="n">
        <v>30000</v>
      </c>
      <c r="V28" s="32" t="n">
        <v>30000</v>
      </c>
      <c r="W28" s="32" t="n">
        <v>30000</v>
      </c>
      <c r="X28" s="13" t="n">
        <f aca="false">IFERROR(AVERAGEIF(D28:H28,"&lt;&gt;0"),"")</f>
        <v>30000</v>
      </c>
      <c r="Y28" s="13" t="n">
        <f aca="false">IFERROR(AVERAGEIF(I28:M28,"&lt;&gt;0"),"")</f>
        <v>30000</v>
      </c>
      <c r="Z28" s="13" t="n">
        <f aca="false">IFERROR(AVERAGEIF(N28:R28,"&lt;&gt;0"),"")</f>
        <v>30000</v>
      </c>
      <c r="AA28" s="13" t="n">
        <f aca="false">IFERROR(AVERAGEIF(S28:W28,"&lt;&gt;0"),"")</f>
        <v>30000</v>
      </c>
      <c r="AB28" s="13" t="n">
        <f aca="false">IFERROR(AVERAGEIF(D28:W28,"&lt;&gt;0"),"")</f>
        <v>30000</v>
      </c>
    </row>
    <row r="29" customFormat="false" ht="15" hidden="false" customHeight="false" outlineLevel="0" collapsed="false">
      <c r="A29" s="3" t="n">
        <v>25</v>
      </c>
      <c r="B29" s="3" t="s">
        <v>475</v>
      </c>
      <c r="C29" s="3" t="s">
        <v>471</v>
      </c>
      <c r="D29" s="32" t="n">
        <v>27000</v>
      </c>
      <c r="E29" s="32" t="n">
        <v>27000</v>
      </c>
      <c r="F29" s="32" t="n">
        <v>27000</v>
      </c>
      <c r="G29" s="32" t="n">
        <v>27000</v>
      </c>
      <c r="H29" s="32" t="n">
        <v>0</v>
      </c>
      <c r="I29" s="32" t="n">
        <v>27000</v>
      </c>
      <c r="J29" s="32" t="n">
        <v>27000</v>
      </c>
      <c r="K29" s="32" t="n">
        <v>27000</v>
      </c>
      <c r="L29" s="32" t="n">
        <v>27000</v>
      </c>
      <c r="M29" s="32" t="n">
        <v>27000</v>
      </c>
      <c r="N29" s="32" t="n">
        <v>27000</v>
      </c>
      <c r="O29" s="32" t="n">
        <v>27000</v>
      </c>
      <c r="P29" s="32" t="n">
        <v>27000</v>
      </c>
      <c r="Q29" s="32" t="n">
        <v>27000</v>
      </c>
      <c r="R29" s="32" t="n">
        <v>27000</v>
      </c>
      <c r="S29" s="32" t="n">
        <v>27000</v>
      </c>
      <c r="T29" s="32" t="n">
        <v>27000</v>
      </c>
      <c r="U29" s="32" t="n">
        <v>27000</v>
      </c>
      <c r="V29" s="32" t="n">
        <v>27000</v>
      </c>
      <c r="W29" s="32" t="n">
        <v>27000</v>
      </c>
      <c r="X29" s="13" t="n">
        <f aca="false">IFERROR(AVERAGEIF(D29:H29,"&lt;&gt;0"),"")</f>
        <v>27000</v>
      </c>
      <c r="Y29" s="13" t="n">
        <f aca="false">IFERROR(AVERAGEIF(I29:M29,"&lt;&gt;0"),"")</f>
        <v>27000</v>
      </c>
      <c r="Z29" s="13" t="n">
        <f aca="false">IFERROR(AVERAGEIF(N29:R29,"&lt;&gt;0"),"")</f>
        <v>27000</v>
      </c>
      <c r="AA29" s="13" t="n">
        <f aca="false">IFERROR(AVERAGEIF(S29:W29,"&lt;&gt;0"),"")</f>
        <v>27000</v>
      </c>
      <c r="AB29" s="13" t="n">
        <f aca="false">IFERROR(AVERAGEIF(D29:W29,"&lt;&gt;0"),"")</f>
        <v>27000</v>
      </c>
    </row>
    <row r="30" customFormat="false" ht="15" hidden="false" customHeight="false" outlineLevel="0" collapsed="false">
      <c r="A30" s="3" t="n">
        <v>26</v>
      </c>
      <c r="B30" s="3" t="s">
        <v>476</v>
      </c>
      <c r="C30" s="3" t="s">
        <v>471</v>
      </c>
      <c r="D30" s="32" t="n">
        <v>8000</v>
      </c>
      <c r="E30" s="32" t="n">
        <v>8000</v>
      </c>
      <c r="F30" s="32" t="n">
        <v>8000</v>
      </c>
      <c r="G30" s="32" t="n">
        <v>8000</v>
      </c>
      <c r="H30" s="32" t="n">
        <v>0</v>
      </c>
      <c r="I30" s="32" t="n">
        <v>8000</v>
      </c>
      <c r="J30" s="32" t="n">
        <v>8000</v>
      </c>
      <c r="K30" s="32" t="n">
        <v>8000</v>
      </c>
      <c r="L30" s="32" t="n">
        <v>8000</v>
      </c>
      <c r="M30" s="32" t="n">
        <v>8000</v>
      </c>
      <c r="N30" s="32" t="n">
        <v>8000</v>
      </c>
      <c r="O30" s="32" t="n">
        <v>8000</v>
      </c>
      <c r="P30" s="32" t="n">
        <v>8000</v>
      </c>
      <c r="Q30" s="32" t="n">
        <v>8000</v>
      </c>
      <c r="R30" s="32" t="n">
        <v>8000</v>
      </c>
      <c r="S30" s="32" t="n">
        <v>8000</v>
      </c>
      <c r="T30" s="32" t="n">
        <v>8000</v>
      </c>
      <c r="U30" s="32" t="n">
        <v>8000</v>
      </c>
      <c r="V30" s="32" t="n">
        <v>8000</v>
      </c>
      <c r="W30" s="32" t="n">
        <v>8000</v>
      </c>
      <c r="X30" s="13" t="n">
        <f aca="false">IFERROR(AVERAGEIF(D30:H30,"&lt;&gt;0"),"")</f>
        <v>8000</v>
      </c>
      <c r="Y30" s="13" t="n">
        <f aca="false">IFERROR(AVERAGEIF(I30:M30,"&lt;&gt;0"),"")</f>
        <v>8000</v>
      </c>
      <c r="Z30" s="13" t="n">
        <f aca="false">IFERROR(AVERAGEIF(N30:R30,"&lt;&gt;0"),"")</f>
        <v>8000</v>
      </c>
      <c r="AA30" s="13" t="n">
        <f aca="false">IFERROR(AVERAGEIF(S30:W30,"&lt;&gt;0"),"")</f>
        <v>8000</v>
      </c>
      <c r="AB30" s="13" t="n">
        <f aca="false">IFERROR(AVERAGEIF(D30:W30,"&lt;&gt;0"),"")</f>
        <v>8000</v>
      </c>
    </row>
    <row r="31" customFormat="false" ht="15" hidden="false" customHeight="false" outlineLevel="0" collapsed="false">
      <c r="A31" s="3" t="n">
        <v>27</v>
      </c>
      <c r="B31" s="3" t="s">
        <v>427</v>
      </c>
      <c r="C31" s="3" t="s">
        <v>471</v>
      </c>
      <c r="D31" s="32" t="n">
        <v>10500</v>
      </c>
      <c r="E31" s="32" t="n">
        <v>10500</v>
      </c>
      <c r="F31" s="32" t="n">
        <v>10500</v>
      </c>
      <c r="G31" s="32" t="n">
        <v>10500</v>
      </c>
      <c r="H31" s="32" t="n">
        <v>0</v>
      </c>
      <c r="I31" s="32" t="n">
        <v>10500</v>
      </c>
      <c r="J31" s="32" t="n">
        <v>10500</v>
      </c>
      <c r="K31" s="32" t="n">
        <v>10500</v>
      </c>
      <c r="L31" s="32" t="n">
        <v>10500</v>
      </c>
      <c r="M31" s="32" t="n">
        <v>10500</v>
      </c>
      <c r="N31" s="32" t="n">
        <v>10500</v>
      </c>
      <c r="O31" s="32" t="n">
        <v>10500</v>
      </c>
      <c r="P31" s="32" t="n">
        <v>10500</v>
      </c>
      <c r="Q31" s="32" t="n">
        <v>10500</v>
      </c>
      <c r="R31" s="32" t="n">
        <v>10500</v>
      </c>
      <c r="S31" s="32" t="n">
        <v>10500</v>
      </c>
      <c r="T31" s="32" t="n">
        <v>10500</v>
      </c>
      <c r="U31" s="32" t="n">
        <v>10500</v>
      </c>
      <c r="V31" s="32" t="n">
        <v>10500</v>
      </c>
      <c r="W31" s="32" t="n">
        <v>10500</v>
      </c>
      <c r="X31" s="13" t="n">
        <f aca="false">IFERROR(AVERAGEIF(D31:H31,"&lt;&gt;0"),"")</f>
        <v>10500</v>
      </c>
      <c r="Y31" s="13" t="n">
        <f aca="false">IFERROR(AVERAGEIF(I31:M31,"&lt;&gt;0"),"")</f>
        <v>10500</v>
      </c>
      <c r="Z31" s="13" t="n">
        <f aca="false">IFERROR(AVERAGEIF(N31:R31,"&lt;&gt;0"),"")</f>
        <v>10500</v>
      </c>
      <c r="AA31" s="13" t="n">
        <f aca="false">IFERROR(AVERAGEIF(S31:W31,"&lt;&gt;0"),"")</f>
        <v>10500</v>
      </c>
      <c r="AB31" s="13" t="n">
        <f aca="false">IFERROR(AVERAGEIF(D31:W31,"&lt;&gt;0"),"")</f>
        <v>10500</v>
      </c>
    </row>
    <row r="32" customFormat="false" ht="15" hidden="false" customHeight="false" outlineLevel="0" collapsed="false">
      <c r="A32" s="3" t="n">
        <v>28</v>
      </c>
      <c r="B32" s="3" t="s">
        <v>422</v>
      </c>
      <c r="C32" s="3" t="s">
        <v>471</v>
      </c>
      <c r="D32" s="32" t="n">
        <v>42000</v>
      </c>
      <c r="E32" s="32" t="n">
        <v>42000</v>
      </c>
      <c r="F32" s="32" t="n">
        <v>42000</v>
      </c>
      <c r="G32" s="32" t="n">
        <v>42000</v>
      </c>
      <c r="H32" s="32" t="n">
        <v>0</v>
      </c>
      <c r="I32" s="32" t="n">
        <v>42000</v>
      </c>
      <c r="J32" s="32" t="n">
        <v>42000</v>
      </c>
      <c r="K32" s="32" t="n">
        <v>42000</v>
      </c>
      <c r="L32" s="32" t="n">
        <v>42000</v>
      </c>
      <c r="M32" s="32" t="n">
        <v>42000</v>
      </c>
      <c r="N32" s="32" t="n">
        <v>42000</v>
      </c>
      <c r="O32" s="32" t="n">
        <v>42000</v>
      </c>
      <c r="P32" s="32" t="n">
        <v>42000</v>
      </c>
      <c r="Q32" s="32" t="n">
        <v>42000</v>
      </c>
      <c r="R32" s="32" t="n">
        <v>42000</v>
      </c>
      <c r="S32" s="32" t="n">
        <v>42000</v>
      </c>
      <c r="T32" s="32" t="n">
        <v>42000</v>
      </c>
      <c r="U32" s="32" t="n">
        <v>42000</v>
      </c>
      <c r="V32" s="32" t="n">
        <v>42000</v>
      </c>
      <c r="W32" s="32" t="n">
        <v>42000</v>
      </c>
      <c r="X32" s="13" t="n">
        <f aca="false">IFERROR(AVERAGEIF(D32:H32,"&lt;&gt;0"),"")</f>
        <v>42000</v>
      </c>
      <c r="Y32" s="13" t="n">
        <f aca="false">IFERROR(AVERAGEIF(I32:M32,"&lt;&gt;0"),"")</f>
        <v>42000</v>
      </c>
      <c r="Z32" s="13" t="n">
        <f aca="false">IFERROR(AVERAGEIF(N32:R32,"&lt;&gt;0"),"")</f>
        <v>42000</v>
      </c>
      <c r="AA32" s="13" t="n">
        <f aca="false">IFERROR(AVERAGEIF(S32:W32,"&lt;&gt;0"),"")</f>
        <v>42000</v>
      </c>
      <c r="AB32" s="13" t="n">
        <f aca="false">IFERROR(AVERAGEIF(D32:W32,"&lt;&gt;0"),"")</f>
        <v>42000</v>
      </c>
    </row>
    <row r="33" customFormat="false" ht="15" hidden="false" customHeight="false" outlineLevel="0" collapsed="false">
      <c r="A33" s="3" t="n">
        <v>29</v>
      </c>
      <c r="B33" s="3" t="s">
        <v>433</v>
      </c>
      <c r="C33" s="3" t="s">
        <v>471</v>
      </c>
      <c r="D33" s="32" t="n">
        <v>8000</v>
      </c>
      <c r="E33" s="32" t="n">
        <v>8000</v>
      </c>
      <c r="F33" s="32" t="n">
        <v>8000</v>
      </c>
      <c r="G33" s="32" t="n">
        <v>8000</v>
      </c>
      <c r="H33" s="32" t="n">
        <v>0</v>
      </c>
      <c r="I33" s="32" t="n">
        <v>8000</v>
      </c>
      <c r="J33" s="32" t="n">
        <v>8000</v>
      </c>
      <c r="K33" s="32" t="n">
        <v>8000</v>
      </c>
      <c r="L33" s="32" t="n">
        <v>8000</v>
      </c>
      <c r="M33" s="32" t="n">
        <v>8000</v>
      </c>
      <c r="N33" s="32" t="n">
        <v>8000</v>
      </c>
      <c r="O33" s="32" t="n">
        <v>8000</v>
      </c>
      <c r="P33" s="32" t="n">
        <v>8000</v>
      </c>
      <c r="Q33" s="32" t="n">
        <v>8000</v>
      </c>
      <c r="R33" s="32" t="n">
        <v>8000</v>
      </c>
      <c r="S33" s="32" t="n">
        <v>8000</v>
      </c>
      <c r="T33" s="32" t="n">
        <v>8000</v>
      </c>
      <c r="U33" s="32" t="n">
        <v>8000</v>
      </c>
      <c r="V33" s="32" t="n">
        <v>8000</v>
      </c>
      <c r="W33" s="32" t="n">
        <v>8000</v>
      </c>
      <c r="X33" s="13" t="n">
        <f aca="false">IFERROR(AVERAGEIF(D33:H33,"&lt;&gt;0"),"")</f>
        <v>8000</v>
      </c>
      <c r="Y33" s="13" t="n">
        <f aca="false">IFERROR(AVERAGEIF(I33:M33,"&lt;&gt;0"),"")</f>
        <v>8000</v>
      </c>
      <c r="Z33" s="13" t="n">
        <f aca="false">IFERROR(AVERAGEIF(N33:R33,"&lt;&gt;0"),"")</f>
        <v>8000</v>
      </c>
      <c r="AA33" s="13" t="n">
        <f aca="false">IFERROR(AVERAGEIF(S33:W33,"&lt;&gt;0"),"")</f>
        <v>8000</v>
      </c>
      <c r="AB33" s="13" t="n">
        <f aca="false">IFERROR(AVERAGEIF(D33:W33,"&lt;&gt;0"),"")</f>
        <v>8000</v>
      </c>
    </row>
    <row r="34" customFormat="false" ht="15" hidden="false" customHeight="false" outlineLevel="0" collapsed="false">
      <c r="A34" s="3" t="n">
        <v>30</v>
      </c>
      <c r="B34" s="3" t="s">
        <v>411</v>
      </c>
      <c r="C34" s="3" t="s">
        <v>471</v>
      </c>
      <c r="D34" s="32" t="n">
        <v>6000</v>
      </c>
      <c r="E34" s="32" t="n">
        <v>6000</v>
      </c>
      <c r="F34" s="32" t="n">
        <v>6000</v>
      </c>
      <c r="G34" s="32" t="n">
        <v>6000</v>
      </c>
      <c r="H34" s="32" t="n">
        <v>0</v>
      </c>
      <c r="I34" s="32" t="n">
        <v>6000</v>
      </c>
      <c r="J34" s="32" t="n">
        <v>6000</v>
      </c>
      <c r="K34" s="32" t="n">
        <v>6000</v>
      </c>
      <c r="L34" s="32" t="n">
        <v>6000</v>
      </c>
      <c r="M34" s="32" t="n">
        <v>6000</v>
      </c>
      <c r="N34" s="32" t="n">
        <v>6000</v>
      </c>
      <c r="O34" s="32" t="n">
        <v>6000</v>
      </c>
      <c r="P34" s="32" t="n">
        <v>6000</v>
      </c>
      <c r="Q34" s="32" t="n">
        <v>6000</v>
      </c>
      <c r="R34" s="32" t="n">
        <v>6000</v>
      </c>
      <c r="S34" s="32" t="n">
        <v>6000</v>
      </c>
      <c r="T34" s="32" t="n">
        <v>6000</v>
      </c>
      <c r="U34" s="32" t="n">
        <v>6000</v>
      </c>
      <c r="V34" s="32" t="n">
        <v>6000</v>
      </c>
      <c r="W34" s="32" t="n">
        <v>6000</v>
      </c>
      <c r="X34" s="13" t="n">
        <f aca="false">IFERROR(AVERAGEIF(D34:H34,"&lt;&gt;0"),"")</f>
        <v>6000</v>
      </c>
      <c r="Y34" s="13" t="n">
        <f aca="false">IFERROR(AVERAGEIF(I34:M34,"&lt;&gt;0"),"")</f>
        <v>6000</v>
      </c>
      <c r="Z34" s="13" t="n">
        <f aca="false">IFERROR(AVERAGEIF(N34:R34,"&lt;&gt;0"),"")</f>
        <v>6000</v>
      </c>
      <c r="AA34" s="13" t="n">
        <f aca="false">IFERROR(AVERAGEIF(S34:W34,"&lt;&gt;0"),"")</f>
        <v>6000</v>
      </c>
      <c r="AB34" s="13" t="n">
        <f aca="false">IFERROR(AVERAGEIF(D34:W34,"&lt;&gt;0"),"")</f>
        <v>6000</v>
      </c>
    </row>
    <row r="35" customFormat="false" ht="15" hidden="false" customHeight="false" outlineLevel="0" collapsed="false">
      <c r="A35" s="3" t="n">
        <v>31</v>
      </c>
      <c r="B35" s="3" t="s">
        <v>416</v>
      </c>
      <c r="C35" s="3" t="s">
        <v>471</v>
      </c>
      <c r="D35" s="32" t="n">
        <v>61000</v>
      </c>
      <c r="E35" s="32" t="n">
        <v>61000</v>
      </c>
      <c r="F35" s="32" t="n">
        <v>61000</v>
      </c>
      <c r="G35" s="32" t="n">
        <v>61000</v>
      </c>
      <c r="H35" s="32" t="n">
        <v>0</v>
      </c>
      <c r="I35" s="32" t="n">
        <v>61000</v>
      </c>
      <c r="J35" s="32" t="n">
        <v>61000</v>
      </c>
      <c r="K35" s="32" t="n">
        <v>61000</v>
      </c>
      <c r="L35" s="32" t="n">
        <v>61000</v>
      </c>
      <c r="M35" s="32" t="n">
        <v>61000</v>
      </c>
      <c r="N35" s="32" t="n">
        <v>61000</v>
      </c>
      <c r="O35" s="32" t="n">
        <v>61000</v>
      </c>
      <c r="P35" s="32" t="n">
        <v>61000</v>
      </c>
      <c r="Q35" s="32" t="n">
        <v>61000</v>
      </c>
      <c r="R35" s="32" t="n">
        <v>61000</v>
      </c>
      <c r="S35" s="32" t="n">
        <v>61000</v>
      </c>
      <c r="T35" s="32" t="n">
        <v>61000</v>
      </c>
      <c r="U35" s="32" t="n">
        <v>61000</v>
      </c>
      <c r="V35" s="32" t="n">
        <v>61000</v>
      </c>
      <c r="W35" s="32" t="n">
        <v>61000</v>
      </c>
      <c r="X35" s="13" t="n">
        <f aca="false">IFERROR(AVERAGEIF(D35:H35,"&lt;&gt;0"),"")</f>
        <v>61000</v>
      </c>
      <c r="Y35" s="13" t="n">
        <f aca="false">IFERROR(AVERAGEIF(I35:M35,"&lt;&gt;0"),"")</f>
        <v>61000</v>
      </c>
      <c r="Z35" s="13" t="n">
        <f aca="false">IFERROR(AVERAGEIF(N35:R35,"&lt;&gt;0"),"")</f>
        <v>61000</v>
      </c>
      <c r="AA35" s="13" t="n">
        <f aca="false">IFERROR(AVERAGEIF(S35:W35,"&lt;&gt;0"),"")</f>
        <v>61000</v>
      </c>
      <c r="AB35" s="13" t="n">
        <f aca="false">IFERROR(AVERAGEIF(D35:W35,"&lt;&gt;0"),"")</f>
        <v>61000</v>
      </c>
    </row>
    <row r="36" customFormat="false" ht="15" hidden="false" customHeight="false" outlineLevel="0" collapsed="false">
      <c r="A36" s="3" t="n">
        <v>32</v>
      </c>
      <c r="B36" s="3" t="s">
        <v>417</v>
      </c>
      <c r="C36" s="3" t="s">
        <v>471</v>
      </c>
      <c r="D36" s="32" t="n">
        <v>12000</v>
      </c>
      <c r="E36" s="32" t="n">
        <v>12000</v>
      </c>
      <c r="F36" s="32" t="n">
        <v>12000</v>
      </c>
      <c r="G36" s="32" t="n">
        <v>12000</v>
      </c>
      <c r="H36" s="32" t="n">
        <v>0</v>
      </c>
      <c r="I36" s="32" t="n">
        <v>12000</v>
      </c>
      <c r="J36" s="32" t="n">
        <v>12000</v>
      </c>
      <c r="K36" s="32" t="n">
        <v>12000</v>
      </c>
      <c r="L36" s="32" t="n">
        <v>12000</v>
      </c>
      <c r="M36" s="32" t="n">
        <v>12000</v>
      </c>
      <c r="N36" s="32" t="n">
        <v>12000</v>
      </c>
      <c r="O36" s="32" t="n">
        <v>12000</v>
      </c>
      <c r="P36" s="32" t="n">
        <v>12000</v>
      </c>
      <c r="Q36" s="32" t="n">
        <v>12000</v>
      </c>
      <c r="R36" s="32" t="n">
        <v>12000</v>
      </c>
      <c r="S36" s="32" t="n">
        <v>12000</v>
      </c>
      <c r="T36" s="32" t="n">
        <v>12000</v>
      </c>
      <c r="U36" s="32" t="n">
        <v>12000</v>
      </c>
      <c r="V36" s="32" t="n">
        <v>12000</v>
      </c>
      <c r="W36" s="32" t="n">
        <v>12000</v>
      </c>
      <c r="X36" s="13" t="n">
        <f aca="false">IFERROR(AVERAGEIF(D36:H36,"&lt;&gt;0"),"")</f>
        <v>12000</v>
      </c>
      <c r="Y36" s="13" t="n">
        <f aca="false">IFERROR(AVERAGEIF(I36:M36,"&lt;&gt;0"),"")</f>
        <v>12000</v>
      </c>
      <c r="Z36" s="13" t="n">
        <f aca="false">IFERROR(AVERAGEIF(N36:R36,"&lt;&gt;0"),"")</f>
        <v>12000</v>
      </c>
      <c r="AA36" s="13" t="n">
        <f aca="false">IFERROR(AVERAGEIF(S36:W36,"&lt;&gt;0"),"")</f>
        <v>12000</v>
      </c>
      <c r="AB36" s="13" t="n">
        <f aca="false">IFERROR(AVERAGEIF(D36:W36,"&lt;&gt;0"),"")</f>
        <v>12000</v>
      </c>
    </row>
    <row r="37" customFormat="false" ht="15" hidden="false" customHeight="false" outlineLevel="0" collapsed="false">
      <c r="A37" s="3" t="n">
        <v>33</v>
      </c>
      <c r="B37" s="3" t="s">
        <v>434</v>
      </c>
      <c r="C37" s="3" t="s">
        <v>471</v>
      </c>
      <c r="D37" s="32" t="n">
        <v>8000</v>
      </c>
      <c r="E37" s="32" t="n">
        <v>8000</v>
      </c>
      <c r="F37" s="32" t="n">
        <v>8000</v>
      </c>
      <c r="G37" s="32" t="n">
        <v>8000</v>
      </c>
      <c r="H37" s="32" t="n">
        <v>0</v>
      </c>
      <c r="I37" s="32" t="n">
        <v>8000</v>
      </c>
      <c r="J37" s="32" t="n">
        <v>8000</v>
      </c>
      <c r="K37" s="32" t="n">
        <v>8000</v>
      </c>
      <c r="L37" s="32" t="n">
        <v>8000</v>
      </c>
      <c r="M37" s="32" t="n">
        <v>8000</v>
      </c>
      <c r="N37" s="32" t="n">
        <v>8000</v>
      </c>
      <c r="O37" s="32" t="n">
        <v>8000</v>
      </c>
      <c r="P37" s="32" t="n">
        <v>8000</v>
      </c>
      <c r="Q37" s="32" t="n">
        <v>8000</v>
      </c>
      <c r="R37" s="32" t="n">
        <v>8000</v>
      </c>
      <c r="S37" s="32" t="n">
        <v>8000</v>
      </c>
      <c r="T37" s="32" t="n">
        <v>8000</v>
      </c>
      <c r="U37" s="32" t="n">
        <v>8000</v>
      </c>
      <c r="V37" s="32" t="n">
        <v>8000</v>
      </c>
      <c r="W37" s="32" t="n">
        <v>8000</v>
      </c>
      <c r="X37" s="13" t="n">
        <f aca="false">IFERROR(AVERAGEIF(D37:H37,"&lt;&gt;0"),"")</f>
        <v>8000</v>
      </c>
      <c r="Y37" s="13" t="n">
        <f aca="false">IFERROR(AVERAGEIF(I37:M37,"&lt;&gt;0"),"")</f>
        <v>8000</v>
      </c>
      <c r="Z37" s="13" t="n">
        <f aca="false">IFERROR(AVERAGEIF(N37:R37,"&lt;&gt;0"),"")</f>
        <v>8000</v>
      </c>
      <c r="AA37" s="13" t="n">
        <f aca="false">IFERROR(AVERAGEIF(S37:W37,"&lt;&gt;0"),"")</f>
        <v>8000</v>
      </c>
      <c r="AB37" s="13" t="n">
        <f aca="false">IFERROR(AVERAGEIF(D37:W37,"&lt;&gt;0"),"")</f>
        <v>8000</v>
      </c>
    </row>
    <row r="38" customFormat="false" ht="15" hidden="false" customHeight="false" outlineLevel="0" collapsed="false">
      <c r="A38" s="3" t="n">
        <v>34</v>
      </c>
      <c r="B38" s="3" t="s">
        <v>477</v>
      </c>
      <c r="C38" s="3" t="s">
        <v>471</v>
      </c>
      <c r="D38" s="32" t="n">
        <v>5000</v>
      </c>
      <c r="E38" s="32" t="n">
        <v>5000</v>
      </c>
      <c r="F38" s="32" t="n">
        <v>5000</v>
      </c>
      <c r="G38" s="32" t="n">
        <v>5000</v>
      </c>
      <c r="H38" s="32" t="n">
        <v>0</v>
      </c>
      <c r="I38" s="32" t="n">
        <v>4000</v>
      </c>
      <c r="J38" s="32" t="n">
        <v>4000</v>
      </c>
      <c r="K38" s="32" t="n">
        <v>4000</v>
      </c>
      <c r="L38" s="32" t="n">
        <v>4000</v>
      </c>
      <c r="M38" s="32" t="n">
        <v>4000</v>
      </c>
      <c r="N38" s="32" t="n">
        <v>4000</v>
      </c>
      <c r="O38" s="32" t="n">
        <v>4000</v>
      </c>
      <c r="P38" s="32" t="n">
        <v>4000</v>
      </c>
      <c r="Q38" s="32" t="n">
        <v>4000</v>
      </c>
      <c r="R38" s="32" t="n">
        <v>4000</v>
      </c>
      <c r="S38" s="32" t="n">
        <v>4000</v>
      </c>
      <c r="T38" s="32" t="n">
        <v>4000</v>
      </c>
      <c r="U38" s="32" t="n">
        <v>4000</v>
      </c>
      <c r="V38" s="32" t="n">
        <v>4000</v>
      </c>
      <c r="W38" s="32" t="n">
        <v>4000</v>
      </c>
      <c r="X38" s="13" t="n">
        <f aca="false">IFERROR(AVERAGEIF(D38:H38,"&lt;&gt;0"),"")</f>
        <v>5000</v>
      </c>
      <c r="Y38" s="13" t="n">
        <f aca="false">IFERROR(AVERAGEIF(I38:M38,"&lt;&gt;0"),"")</f>
        <v>4000</v>
      </c>
      <c r="Z38" s="13" t="n">
        <f aca="false">IFERROR(AVERAGEIF(N38:R38,"&lt;&gt;0"),"")</f>
        <v>4000</v>
      </c>
      <c r="AA38" s="13" t="n">
        <f aca="false">IFERROR(AVERAGEIF(S38:W38,"&lt;&gt;0"),"")</f>
        <v>4000</v>
      </c>
      <c r="AB38" s="13" t="n">
        <f aca="false">IFERROR(AVERAGEIF(D38:W38,"&lt;&gt;0"),"")</f>
        <v>4210.52631578947</v>
      </c>
    </row>
    <row r="39" customFormat="false" ht="15" hidden="false" customHeight="false" outlineLevel="0" collapsed="false">
      <c r="A39" s="3" t="n">
        <v>35</v>
      </c>
      <c r="B39" s="3" t="s">
        <v>478</v>
      </c>
      <c r="C39" s="3" t="s">
        <v>471</v>
      </c>
      <c r="D39" s="32" t="n">
        <v>12000</v>
      </c>
      <c r="E39" s="32" t="n">
        <v>12000</v>
      </c>
      <c r="F39" s="32" t="n">
        <v>12000</v>
      </c>
      <c r="G39" s="32" t="n">
        <v>12000</v>
      </c>
      <c r="H39" s="32" t="n">
        <v>0</v>
      </c>
      <c r="I39" s="32" t="n">
        <v>12000</v>
      </c>
      <c r="J39" s="32" t="n">
        <v>12000</v>
      </c>
      <c r="K39" s="32" t="n">
        <v>12000</v>
      </c>
      <c r="L39" s="32" t="n">
        <v>12000</v>
      </c>
      <c r="M39" s="32" t="n">
        <v>12000</v>
      </c>
      <c r="N39" s="32" t="n">
        <v>12000</v>
      </c>
      <c r="O39" s="32" t="n">
        <v>12000</v>
      </c>
      <c r="P39" s="32" t="n">
        <v>12000</v>
      </c>
      <c r="Q39" s="32" t="n">
        <v>12000</v>
      </c>
      <c r="R39" s="32" t="n">
        <v>12000</v>
      </c>
      <c r="S39" s="32" t="n">
        <v>12000</v>
      </c>
      <c r="T39" s="32" t="n">
        <v>12000</v>
      </c>
      <c r="U39" s="32" t="n">
        <v>12000</v>
      </c>
      <c r="V39" s="32" t="n">
        <v>12000</v>
      </c>
      <c r="W39" s="32" t="n">
        <v>12000</v>
      </c>
      <c r="X39" s="13" t="n">
        <f aca="false">IFERROR(AVERAGEIF(D39:H39,"&lt;&gt;0"),"")</f>
        <v>12000</v>
      </c>
      <c r="Y39" s="13" t="n">
        <f aca="false">IFERROR(AVERAGEIF(I39:M39,"&lt;&gt;0"),"")</f>
        <v>12000</v>
      </c>
      <c r="Z39" s="13" t="n">
        <f aca="false">IFERROR(AVERAGEIF(N39:R39,"&lt;&gt;0"),"")</f>
        <v>12000</v>
      </c>
      <c r="AA39" s="13" t="n">
        <f aca="false">IFERROR(AVERAGEIF(S39:W39,"&lt;&gt;0"),"")</f>
        <v>12000</v>
      </c>
      <c r="AB39" s="13" t="n">
        <f aca="false">IFERROR(AVERAGEIF(D39:W39,"&lt;&gt;0"),"")</f>
        <v>12000</v>
      </c>
    </row>
    <row r="40" customFormat="false" ht="15" hidden="false" customHeight="false" outlineLevel="0" collapsed="false">
      <c r="A40" s="3" t="n">
        <v>36</v>
      </c>
      <c r="B40" s="3" t="s">
        <v>479</v>
      </c>
      <c r="C40" s="3" t="s">
        <v>471</v>
      </c>
      <c r="D40" s="32" t="n">
        <v>4000</v>
      </c>
      <c r="E40" s="32" t="n">
        <v>4000</v>
      </c>
      <c r="F40" s="32" t="n">
        <v>4000</v>
      </c>
      <c r="G40" s="32" t="n">
        <v>4000</v>
      </c>
      <c r="H40" s="32" t="n">
        <v>0</v>
      </c>
      <c r="I40" s="32" t="n">
        <v>4000</v>
      </c>
      <c r="J40" s="32" t="n">
        <v>4000</v>
      </c>
      <c r="K40" s="32" t="n">
        <v>4000</v>
      </c>
      <c r="L40" s="32" t="n">
        <v>4000</v>
      </c>
      <c r="M40" s="32" t="n">
        <v>4000</v>
      </c>
      <c r="N40" s="32" t="n">
        <v>4000</v>
      </c>
      <c r="O40" s="32" t="n">
        <v>4000</v>
      </c>
      <c r="P40" s="32" t="n">
        <v>4000</v>
      </c>
      <c r="Q40" s="32" t="n">
        <v>4000</v>
      </c>
      <c r="R40" s="32" t="n">
        <v>4000</v>
      </c>
      <c r="S40" s="32" t="n">
        <v>4000</v>
      </c>
      <c r="T40" s="32" t="n">
        <v>4000</v>
      </c>
      <c r="U40" s="32" t="n">
        <v>4000</v>
      </c>
      <c r="V40" s="32" t="n">
        <v>4000</v>
      </c>
      <c r="W40" s="32" t="n">
        <v>4000</v>
      </c>
      <c r="X40" s="13" t="n">
        <f aca="false">IFERROR(AVERAGEIF(D40:H40,"&lt;&gt;0"),"")</f>
        <v>4000</v>
      </c>
      <c r="Y40" s="13" t="n">
        <f aca="false">IFERROR(AVERAGEIF(I40:M40,"&lt;&gt;0"),"")</f>
        <v>4000</v>
      </c>
      <c r="Z40" s="13" t="n">
        <f aca="false">IFERROR(AVERAGEIF(N40:R40,"&lt;&gt;0"),"")</f>
        <v>4000</v>
      </c>
      <c r="AA40" s="13" t="n">
        <f aca="false">IFERROR(AVERAGEIF(S40:W40,"&lt;&gt;0"),"")</f>
        <v>4000</v>
      </c>
      <c r="AB40" s="13" t="n">
        <f aca="false">IFERROR(AVERAGEIF(D40:W40,"&lt;&gt;0"),"")</f>
        <v>4000</v>
      </c>
    </row>
    <row r="41" customFormat="false" ht="15" hidden="false" customHeight="false" outlineLevel="0" collapsed="false">
      <c r="A41" s="3" t="n">
        <v>37</v>
      </c>
      <c r="B41" s="3" t="s">
        <v>480</v>
      </c>
      <c r="C41" s="3" t="s">
        <v>471</v>
      </c>
      <c r="D41" s="32" t="n">
        <v>2000</v>
      </c>
      <c r="E41" s="32" t="n">
        <v>2000</v>
      </c>
      <c r="F41" s="32" t="n">
        <v>2000</v>
      </c>
      <c r="G41" s="32" t="n">
        <v>2000</v>
      </c>
      <c r="H41" s="32" t="n">
        <v>0</v>
      </c>
      <c r="I41" s="32" t="n">
        <v>2000</v>
      </c>
      <c r="J41" s="32" t="n">
        <v>2000</v>
      </c>
      <c r="K41" s="32" t="n">
        <v>2000</v>
      </c>
      <c r="L41" s="32" t="n">
        <v>2000</v>
      </c>
      <c r="M41" s="32" t="n">
        <v>2000</v>
      </c>
      <c r="N41" s="32" t="n">
        <v>2000</v>
      </c>
      <c r="O41" s="32" t="n">
        <v>2000</v>
      </c>
      <c r="P41" s="32" t="n">
        <v>2000</v>
      </c>
      <c r="Q41" s="32" t="n">
        <v>2000</v>
      </c>
      <c r="R41" s="32" t="n">
        <v>2000</v>
      </c>
      <c r="S41" s="32" t="n">
        <v>2000</v>
      </c>
      <c r="T41" s="32" t="n">
        <v>2000</v>
      </c>
      <c r="U41" s="32" t="n">
        <v>2000</v>
      </c>
      <c r="V41" s="32" t="n">
        <v>2000</v>
      </c>
      <c r="W41" s="32" t="n">
        <v>2000</v>
      </c>
      <c r="X41" s="13" t="n">
        <f aca="false">IFERROR(AVERAGEIF(D41:H41,"&lt;&gt;0"),"")</f>
        <v>2000</v>
      </c>
      <c r="Y41" s="13" t="n">
        <f aca="false">IFERROR(AVERAGEIF(I41:M41,"&lt;&gt;0"),"")</f>
        <v>2000</v>
      </c>
      <c r="Z41" s="13" t="n">
        <f aca="false">IFERROR(AVERAGEIF(N41:R41,"&lt;&gt;0"),"")</f>
        <v>2000</v>
      </c>
      <c r="AA41" s="13" t="n">
        <f aca="false">IFERROR(AVERAGEIF(S41:W41,"&lt;&gt;0"),"")</f>
        <v>2000</v>
      </c>
      <c r="AB41" s="13" t="n">
        <f aca="false">IFERROR(AVERAGEIF(D41:W41,"&lt;&gt;0"),"")</f>
        <v>2000</v>
      </c>
    </row>
    <row r="42" customFormat="false" ht="15" hidden="false" customHeight="false" outlineLevel="0" collapsed="false">
      <c r="A42" s="3" t="n">
        <v>38</v>
      </c>
      <c r="B42" s="3" t="s">
        <v>481</v>
      </c>
      <c r="C42" s="3" t="s">
        <v>471</v>
      </c>
      <c r="D42" s="32" t="n">
        <v>5000</v>
      </c>
      <c r="E42" s="32" t="n">
        <v>5000</v>
      </c>
      <c r="F42" s="32" t="n">
        <v>5000</v>
      </c>
      <c r="G42" s="32" t="n">
        <v>5000</v>
      </c>
      <c r="H42" s="32" t="n">
        <v>0</v>
      </c>
      <c r="I42" s="32" t="n">
        <v>5000</v>
      </c>
      <c r="J42" s="32" t="n">
        <v>5000</v>
      </c>
      <c r="K42" s="32" t="n">
        <v>5000</v>
      </c>
      <c r="L42" s="32" t="n">
        <v>5000</v>
      </c>
      <c r="M42" s="32" t="n">
        <v>5000</v>
      </c>
      <c r="N42" s="32" t="n">
        <v>5000</v>
      </c>
      <c r="O42" s="32" t="n">
        <v>5000</v>
      </c>
      <c r="P42" s="32" t="n">
        <v>5000</v>
      </c>
      <c r="Q42" s="32" t="n">
        <v>5000</v>
      </c>
      <c r="R42" s="32" t="n">
        <v>5000</v>
      </c>
      <c r="S42" s="32" t="n">
        <v>5000</v>
      </c>
      <c r="T42" s="32" t="n">
        <v>5000</v>
      </c>
      <c r="U42" s="32" t="n">
        <v>5000</v>
      </c>
      <c r="V42" s="32" t="n">
        <v>5000</v>
      </c>
      <c r="W42" s="32" t="n">
        <v>5000</v>
      </c>
      <c r="X42" s="13" t="n">
        <f aca="false">IFERROR(AVERAGEIF(D42:H42,"&lt;&gt;0"),"")</f>
        <v>5000</v>
      </c>
      <c r="Y42" s="13" t="n">
        <f aca="false">IFERROR(AVERAGEIF(I42:M42,"&lt;&gt;0"),"")</f>
        <v>5000</v>
      </c>
      <c r="Z42" s="13" t="n">
        <f aca="false">IFERROR(AVERAGEIF(N42:R42,"&lt;&gt;0"),"")</f>
        <v>5000</v>
      </c>
      <c r="AA42" s="13" t="n">
        <f aca="false">IFERROR(AVERAGEIF(S42:W42,"&lt;&gt;0"),"")</f>
        <v>5000</v>
      </c>
      <c r="AB42" s="13" t="n">
        <f aca="false">IFERROR(AVERAGEIF(D42:W42,"&lt;&gt;0"),"")</f>
        <v>5000</v>
      </c>
    </row>
    <row r="43" customFormat="false" ht="15" hidden="false" customHeight="false" outlineLevel="0" collapsed="false">
      <c r="A43" s="3" t="n">
        <v>39</v>
      </c>
      <c r="B43" s="3" t="s">
        <v>482</v>
      </c>
      <c r="C43" s="3" t="s">
        <v>471</v>
      </c>
      <c r="D43" s="32" t="n">
        <v>5000</v>
      </c>
      <c r="E43" s="32" t="n">
        <v>5000</v>
      </c>
      <c r="F43" s="32" t="n">
        <v>5000</v>
      </c>
      <c r="G43" s="32" t="n">
        <v>5000</v>
      </c>
      <c r="H43" s="32" t="n">
        <v>0</v>
      </c>
      <c r="I43" s="32" t="n">
        <v>5000</v>
      </c>
      <c r="J43" s="32" t="n">
        <v>5000</v>
      </c>
      <c r="K43" s="32" t="n">
        <v>5000</v>
      </c>
      <c r="L43" s="32" t="n">
        <v>5000</v>
      </c>
      <c r="M43" s="32" t="n">
        <v>5000</v>
      </c>
      <c r="N43" s="32" t="n">
        <v>5000</v>
      </c>
      <c r="O43" s="32" t="n">
        <v>5000</v>
      </c>
      <c r="P43" s="32" t="n">
        <v>5000</v>
      </c>
      <c r="Q43" s="32" t="n">
        <v>5000</v>
      </c>
      <c r="R43" s="32" t="n">
        <v>5000</v>
      </c>
      <c r="S43" s="32" t="n">
        <v>5000</v>
      </c>
      <c r="T43" s="32" t="n">
        <v>5000</v>
      </c>
      <c r="U43" s="32" t="n">
        <v>5000</v>
      </c>
      <c r="V43" s="32" t="n">
        <v>5000</v>
      </c>
      <c r="W43" s="32" t="n">
        <v>5000</v>
      </c>
      <c r="X43" s="13" t="n">
        <f aca="false">IFERROR(AVERAGEIF(D43:H43,"&lt;&gt;0"),"")</f>
        <v>5000</v>
      </c>
      <c r="Y43" s="13" t="n">
        <f aca="false">IFERROR(AVERAGEIF(I43:M43,"&lt;&gt;0"),"")</f>
        <v>5000</v>
      </c>
      <c r="Z43" s="13" t="n">
        <f aca="false">IFERROR(AVERAGEIF(N43:R43,"&lt;&gt;0"),"")</f>
        <v>5000</v>
      </c>
      <c r="AA43" s="13" t="n">
        <f aca="false">IFERROR(AVERAGEIF(S43:W43,"&lt;&gt;0"),"")</f>
        <v>5000</v>
      </c>
      <c r="AB43" s="13" t="n">
        <f aca="false">IFERROR(AVERAGEIF(D43:W43,"&lt;&gt;0"),"")</f>
        <v>5000</v>
      </c>
    </row>
    <row r="44" customFormat="false" ht="15" hidden="false" customHeight="false" outlineLevel="0" collapsed="false">
      <c r="A44" s="3" t="n">
        <v>40</v>
      </c>
      <c r="B44" s="3" t="s">
        <v>483</v>
      </c>
      <c r="C44" s="3" t="s">
        <v>471</v>
      </c>
      <c r="D44" s="32" t="n">
        <v>4000</v>
      </c>
      <c r="E44" s="32" t="n">
        <v>4000</v>
      </c>
      <c r="F44" s="32" t="n">
        <v>4000</v>
      </c>
      <c r="G44" s="32" t="n">
        <v>4000</v>
      </c>
      <c r="H44" s="32" t="n">
        <v>0</v>
      </c>
      <c r="I44" s="32" t="n">
        <v>4000</v>
      </c>
      <c r="J44" s="32" t="n">
        <v>4000</v>
      </c>
      <c r="K44" s="32" t="n">
        <v>4000</v>
      </c>
      <c r="L44" s="32" t="n">
        <v>4000</v>
      </c>
      <c r="M44" s="32" t="n">
        <v>4000</v>
      </c>
      <c r="N44" s="32" t="n">
        <v>4000</v>
      </c>
      <c r="O44" s="32" t="n">
        <v>4000</v>
      </c>
      <c r="P44" s="32" t="n">
        <v>4000</v>
      </c>
      <c r="Q44" s="32" t="n">
        <v>4000</v>
      </c>
      <c r="R44" s="32" t="n">
        <v>4000</v>
      </c>
      <c r="S44" s="32" t="n">
        <v>4000</v>
      </c>
      <c r="T44" s="32" t="n">
        <v>4000</v>
      </c>
      <c r="U44" s="32" t="n">
        <v>4000</v>
      </c>
      <c r="V44" s="32" t="n">
        <v>4000</v>
      </c>
      <c r="W44" s="32" t="n">
        <v>4000</v>
      </c>
      <c r="X44" s="13" t="n">
        <f aca="false">IFERROR(AVERAGEIF(D44:H44,"&lt;&gt;0"),"")</f>
        <v>4000</v>
      </c>
      <c r="Y44" s="13" t="n">
        <f aca="false">IFERROR(AVERAGEIF(I44:M44,"&lt;&gt;0"),"")</f>
        <v>4000</v>
      </c>
      <c r="Z44" s="13" t="n">
        <f aca="false">IFERROR(AVERAGEIF(N44:R44,"&lt;&gt;0"),"")</f>
        <v>4000</v>
      </c>
      <c r="AA44" s="13" t="n">
        <f aca="false">IFERROR(AVERAGEIF(S44:W44,"&lt;&gt;0"),"")</f>
        <v>4000</v>
      </c>
      <c r="AB44" s="13" t="n">
        <f aca="false">IFERROR(AVERAGEIF(D44:W44,"&lt;&gt;0"),"")</f>
        <v>4000</v>
      </c>
    </row>
    <row r="45" customFormat="false" ht="15" hidden="false" customHeight="false" outlineLevel="0" collapsed="false">
      <c r="A45" s="3" t="n">
        <v>41</v>
      </c>
      <c r="B45" s="3" t="s">
        <v>484</v>
      </c>
      <c r="C45" s="3" t="s">
        <v>471</v>
      </c>
      <c r="D45" s="32" t="n">
        <v>60000</v>
      </c>
      <c r="E45" s="32" t="n">
        <v>60000</v>
      </c>
      <c r="F45" s="32" t="n">
        <v>60000</v>
      </c>
      <c r="G45" s="32" t="n">
        <v>60000</v>
      </c>
      <c r="H45" s="32" t="n">
        <v>0</v>
      </c>
      <c r="I45" s="32" t="n">
        <v>60000</v>
      </c>
      <c r="J45" s="32" t="n">
        <v>60000</v>
      </c>
      <c r="K45" s="32" t="n">
        <v>60000</v>
      </c>
      <c r="L45" s="32" t="n">
        <v>60000</v>
      </c>
      <c r="M45" s="32" t="n">
        <v>60000</v>
      </c>
      <c r="N45" s="32" t="n">
        <v>60000</v>
      </c>
      <c r="O45" s="32" t="n">
        <v>60000</v>
      </c>
      <c r="P45" s="32" t="n">
        <v>60000</v>
      </c>
      <c r="Q45" s="32" t="n">
        <v>60000</v>
      </c>
      <c r="R45" s="32" t="n">
        <v>60000</v>
      </c>
      <c r="S45" s="32" t="n">
        <v>60000</v>
      </c>
      <c r="T45" s="32" t="n">
        <v>60000</v>
      </c>
      <c r="U45" s="32" t="n">
        <v>60000</v>
      </c>
      <c r="V45" s="32" t="n">
        <v>60000</v>
      </c>
      <c r="W45" s="32" t="n">
        <v>60000</v>
      </c>
      <c r="X45" s="13" t="n">
        <f aca="false">IFERROR(AVERAGEIF(D45:H45,"&lt;&gt;0"),"")</f>
        <v>60000</v>
      </c>
      <c r="Y45" s="13" t="n">
        <f aca="false">IFERROR(AVERAGEIF(I45:M45,"&lt;&gt;0"),"")</f>
        <v>60000</v>
      </c>
      <c r="Z45" s="13" t="n">
        <f aca="false">IFERROR(AVERAGEIF(N45:R45,"&lt;&gt;0"),"")</f>
        <v>60000</v>
      </c>
      <c r="AA45" s="13" t="n">
        <f aca="false">IFERROR(AVERAGEIF(S45:W45,"&lt;&gt;0"),"")</f>
        <v>60000</v>
      </c>
      <c r="AB45" s="13" t="n">
        <f aca="false">IFERROR(AVERAGEIF(D45:W45,"&lt;&gt;0"),"")</f>
        <v>60000</v>
      </c>
    </row>
    <row r="46" customFormat="false" ht="15" hidden="false" customHeight="false" outlineLevel="0" collapsed="false">
      <c r="A46" s="3" t="n">
        <v>42</v>
      </c>
      <c r="B46" s="3" t="s">
        <v>485</v>
      </c>
      <c r="C46" s="3" t="s">
        <v>471</v>
      </c>
      <c r="D46" s="32" t="n">
        <v>35000</v>
      </c>
      <c r="E46" s="32" t="n">
        <v>35000</v>
      </c>
      <c r="F46" s="32" t="n">
        <v>35000</v>
      </c>
      <c r="G46" s="32" t="n">
        <v>35000</v>
      </c>
      <c r="H46" s="32" t="n">
        <v>0</v>
      </c>
      <c r="I46" s="32" t="n">
        <v>35000</v>
      </c>
      <c r="J46" s="32" t="n">
        <v>35000</v>
      </c>
      <c r="K46" s="32" t="n">
        <v>35000</v>
      </c>
      <c r="L46" s="32" t="n">
        <v>35000</v>
      </c>
      <c r="M46" s="32" t="n">
        <v>35000</v>
      </c>
      <c r="N46" s="32" t="n">
        <v>35000</v>
      </c>
      <c r="O46" s="32" t="n">
        <v>35000</v>
      </c>
      <c r="P46" s="32" t="n">
        <v>35000</v>
      </c>
      <c r="Q46" s="32" t="n">
        <v>35000</v>
      </c>
      <c r="R46" s="32" t="n">
        <v>35000</v>
      </c>
      <c r="S46" s="32" t="n">
        <v>35000</v>
      </c>
      <c r="T46" s="32" t="n">
        <v>35000</v>
      </c>
      <c r="U46" s="32" t="n">
        <v>35000</v>
      </c>
      <c r="V46" s="32" t="n">
        <v>35000</v>
      </c>
      <c r="W46" s="32" t="n">
        <v>35000</v>
      </c>
      <c r="X46" s="13" t="n">
        <f aca="false">IFERROR(AVERAGEIF(D46:H46,"&lt;&gt;0"),"")</f>
        <v>35000</v>
      </c>
      <c r="Y46" s="13" t="n">
        <f aca="false">IFERROR(AVERAGEIF(I46:M46,"&lt;&gt;0"),"")</f>
        <v>35000</v>
      </c>
      <c r="Z46" s="13" t="n">
        <f aca="false">IFERROR(AVERAGEIF(N46:R46,"&lt;&gt;0"),"")</f>
        <v>35000</v>
      </c>
      <c r="AA46" s="13" t="n">
        <f aca="false">IFERROR(AVERAGEIF(S46:W46,"&lt;&gt;0"),"")</f>
        <v>35000</v>
      </c>
      <c r="AB46" s="13" t="n">
        <f aca="false">IFERROR(AVERAGEIF(D46:W46,"&lt;&gt;0"),"")</f>
        <v>35000</v>
      </c>
    </row>
    <row r="47" customFormat="false" ht="15" hidden="false" customHeight="false" outlineLevel="0" collapsed="false">
      <c r="A47" s="3" t="n">
        <v>43</v>
      </c>
      <c r="B47" s="3" t="s">
        <v>486</v>
      </c>
      <c r="C47" s="3" t="s">
        <v>471</v>
      </c>
      <c r="D47" s="32" t="n">
        <v>27000</v>
      </c>
      <c r="E47" s="32" t="n">
        <v>27000</v>
      </c>
      <c r="F47" s="32" t="n">
        <v>27000</v>
      </c>
      <c r="G47" s="32" t="n">
        <v>27000</v>
      </c>
      <c r="H47" s="32" t="n">
        <v>0</v>
      </c>
      <c r="I47" s="32" t="n">
        <v>27000</v>
      </c>
      <c r="J47" s="32" t="n">
        <v>27000</v>
      </c>
      <c r="K47" s="32" t="n">
        <v>27000</v>
      </c>
      <c r="L47" s="32" t="n">
        <v>27000</v>
      </c>
      <c r="M47" s="32" t="n">
        <v>27000</v>
      </c>
      <c r="N47" s="32" t="n">
        <v>27000</v>
      </c>
      <c r="O47" s="32" t="n">
        <v>27000</v>
      </c>
      <c r="P47" s="32" t="n">
        <v>27000</v>
      </c>
      <c r="Q47" s="32" t="n">
        <v>27000</v>
      </c>
      <c r="R47" s="32" t="n">
        <v>27000</v>
      </c>
      <c r="S47" s="32" t="n">
        <v>27000</v>
      </c>
      <c r="T47" s="32" t="n">
        <v>27000</v>
      </c>
      <c r="U47" s="32" t="n">
        <v>27000</v>
      </c>
      <c r="V47" s="32" t="n">
        <v>27000</v>
      </c>
      <c r="W47" s="32" t="n">
        <v>27000</v>
      </c>
      <c r="X47" s="13" t="n">
        <f aca="false">IFERROR(AVERAGEIF(D47:H47,"&lt;&gt;0"),"")</f>
        <v>27000</v>
      </c>
      <c r="Y47" s="13" t="n">
        <f aca="false">IFERROR(AVERAGEIF(I47:M47,"&lt;&gt;0"),"")</f>
        <v>27000</v>
      </c>
      <c r="Z47" s="13" t="n">
        <f aca="false">IFERROR(AVERAGEIF(N47:R47,"&lt;&gt;0"),"")</f>
        <v>27000</v>
      </c>
      <c r="AA47" s="13" t="n">
        <f aca="false">IFERROR(AVERAGEIF(S47:W47,"&lt;&gt;0"),"")</f>
        <v>27000</v>
      </c>
      <c r="AB47" s="13" t="n">
        <f aca="false">IFERROR(AVERAGEIF(D47:W47,"&lt;&gt;0"),"")</f>
        <v>27000</v>
      </c>
    </row>
    <row r="48" customFormat="false" ht="15" hidden="false" customHeight="false" outlineLevel="0" collapsed="false">
      <c r="A48" s="3" t="n">
        <v>44</v>
      </c>
      <c r="B48" s="3" t="s">
        <v>487</v>
      </c>
      <c r="C48" s="3" t="s">
        <v>471</v>
      </c>
      <c r="D48" s="32" t="n">
        <v>14000</v>
      </c>
      <c r="E48" s="32" t="n">
        <v>14000</v>
      </c>
      <c r="F48" s="32" t="n">
        <v>14000</v>
      </c>
      <c r="G48" s="32" t="n">
        <v>14000</v>
      </c>
      <c r="H48" s="32" t="n">
        <v>0</v>
      </c>
      <c r="I48" s="32" t="n">
        <v>14000</v>
      </c>
      <c r="J48" s="32" t="n">
        <v>14000</v>
      </c>
      <c r="K48" s="32" t="n">
        <v>14000</v>
      </c>
      <c r="L48" s="32" t="n">
        <v>14000</v>
      </c>
      <c r="M48" s="32" t="n">
        <v>14000</v>
      </c>
      <c r="N48" s="32" t="n">
        <v>14000</v>
      </c>
      <c r="O48" s="32" t="n">
        <v>14000</v>
      </c>
      <c r="P48" s="32" t="n">
        <v>14000</v>
      </c>
      <c r="Q48" s="32" t="n">
        <v>14000</v>
      </c>
      <c r="R48" s="32" t="n">
        <v>14000</v>
      </c>
      <c r="S48" s="32" t="n">
        <v>14000</v>
      </c>
      <c r="T48" s="32" t="n">
        <v>14000</v>
      </c>
      <c r="U48" s="32" t="n">
        <v>14000</v>
      </c>
      <c r="V48" s="32" t="n">
        <v>14000</v>
      </c>
      <c r="W48" s="32" t="n">
        <v>14000</v>
      </c>
      <c r="X48" s="13" t="n">
        <f aca="false">IFERROR(AVERAGEIF(D48:H48,"&lt;&gt;0"),"")</f>
        <v>14000</v>
      </c>
      <c r="Y48" s="13" t="n">
        <f aca="false">IFERROR(AVERAGEIF(I48:M48,"&lt;&gt;0"),"")</f>
        <v>14000</v>
      </c>
      <c r="Z48" s="13" t="n">
        <f aca="false">IFERROR(AVERAGEIF(N48:R48,"&lt;&gt;0"),"")</f>
        <v>14000</v>
      </c>
      <c r="AA48" s="13" t="n">
        <f aca="false">IFERROR(AVERAGEIF(S48:W48,"&lt;&gt;0"),"")</f>
        <v>14000</v>
      </c>
      <c r="AB48" s="13" t="n">
        <f aca="false">IFERROR(AVERAGEIF(D48:W48,"&lt;&gt;0"),"")</f>
        <v>14000</v>
      </c>
    </row>
  </sheetData>
  <mergeCells count="1">
    <mergeCell ref="A1:A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4"/>
    <col collapsed="false" customWidth="true" hidden="false" outlineLevel="0" max="26" min="4" style="0" width="9"/>
    <col collapsed="false" customWidth="true" hidden="false" outlineLevel="0" max="32" min="27" style="0" width="14"/>
  </cols>
  <sheetData>
    <row r="1" customFormat="false" ht="16.15" hidden="false" customHeight="false" outlineLevel="0" collapsed="false">
      <c r="A1" s="1" t="s">
        <v>726</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customFormat="false" ht="15" hidden="false" customHeight="false" outlineLevel="0" collapsed="false">
      <c r="A2" s="7" t="s">
        <v>443</v>
      </c>
    </row>
    <row r="4" customFormat="false" ht="19.4" hidden="false" customHeight="false" outlineLevel="0" collapsed="false">
      <c r="A4" s="10" t="s">
        <v>1</v>
      </c>
      <c r="B4" s="10" t="s">
        <v>444</v>
      </c>
      <c r="C4" s="10" t="s">
        <v>445</v>
      </c>
      <c r="D4" s="10" t="s">
        <v>727</v>
      </c>
      <c r="E4" s="10" t="s">
        <v>728</v>
      </c>
      <c r="F4" s="10" t="s">
        <v>729</v>
      </c>
      <c r="G4" s="10" t="s">
        <v>730</v>
      </c>
      <c r="H4" s="10" t="s">
        <v>731</v>
      </c>
      <c r="I4" s="10" t="s">
        <v>732</v>
      </c>
      <c r="J4" s="10" t="s">
        <v>733</v>
      </c>
      <c r="K4" s="10" t="s">
        <v>734</v>
      </c>
      <c r="L4" s="10" t="s">
        <v>735</v>
      </c>
      <c r="M4" s="10" t="s">
        <v>736</v>
      </c>
      <c r="N4" s="10" t="s">
        <v>737</v>
      </c>
      <c r="O4" s="10" t="s">
        <v>738</v>
      </c>
      <c r="P4" s="10" t="s">
        <v>739</v>
      </c>
      <c r="Q4" s="10" t="s">
        <v>740</v>
      </c>
      <c r="R4" s="10" t="s">
        <v>741</v>
      </c>
      <c r="S4" s="10" t="s">
        <v>742</v>
      </c>
      <c r="T4" s="10" t="s">
        <v>743</v>
      </c>
      <c r="U4" s="10" t="s">
        <v>744</v>
      </c>
      <c r="V4" s="10" t="s">
        <v>745</v>
      </c>
      <c r="W4" s="10" t="s">
        <v>746</v>
      </c>
      <c r="X4" s="10" t="s">
        <v>747</v>
      </c>
      <c r="Y4" s="10" t="s">
        <v>748</v>
      </c>
      <c r="Z4" s="10" t="s">
        <v>749</v>
      </c>
      <c r="AA4" s="10" t="s">
        <v>512</v>
      </c>
      <c r="AB4" s="10" t="s">
        <v>513</v>
      </c>
      <c r="AC4" s="10" t="s">
        <v>514</v>
      </c>
      <c r="AD4" s="10" t="s">
        <v>515</v>
      </c>
      <c r="AE4" s="10" t="s">
        <v>516</v>
      </c>
      <c r="AF4" s="10" t="s">
        <v>750</v>
      </c>
    </row>
    <row r="5" customFormat="false" ht="15" hidden="false" customHeight="false" outlineLevel="0" collapsed="false">
      <c r="A5" s="3" t="n">
        <v>1</v>
      </c>
      <c r="B5" s="3" t="s">
        <v>407</v>
      </c>
      <c r="C5" s="3" t="s">
        <v>471</v>
      </c>
      <c r="D5" s="32" t="n">
        <v>12500</v>
      </c>
      <c r="E5" s="32" t="n">
        <v>12500</v>
      </c>
      <c r="F5" s="32" t="n">
        <v>12500</v>
      </c>
      <c r="G5" s="32" t="n">
        <v>12500</v>
      </c>
      <c r="H5" s="32" t="n">
        <v>12500</v>
      </c>
      <c r="I5" s="32" t="n">
        <v>12500</v>
      </c>
      <c r="J5" s="32" t="n">
        <v>12500</v>
      </c>
      <c r="K5" s="32" t="n">
        <v>12500</v>
      </c>
      <c r="L5" s="32" t="n">
        <v>12500</v>
      </c>
      <c r="M5" s="32" t="n">
        <v>12500</v>
      </c>
      <c r="N5" s="32" t="n">
        <v>12500</v>
      </c>
      <c r="O5" s="32" t="n">
        <v>12500</v>
      </c>
      <c r="P5" s="32" t="n">
        <v>12500</v>
      </c>
      <c r="Q5" s="32" t="n">
        <v>12500</v>
      </c>
      <c r="R5" s="32" t="n">
        <v>12500</v>
      </c>
      <c r="S5" s="32" t="n">
        <v>12500</v>
      </c>
      <c r="T5" s="32" t="n">
        <v>12500</v>
      </c>
      <c r="U5" s="32" t="n">
        <v>12500</v>
      </c>
      <c r="V5" s="32" t="n">
        <v>12500</v>
      </c>
      <c r="W5" s="32" t="n">
        <v>12500</v>
      </c>
      <c r="X5" s="32" t="n">
        <v>12500</v>
      </c>
      <c r="Y5" s="32" t="n">
        <v>12500</v>
      </c>
      <c r="Z5" s="32" t="n">
        <v>12500</v>
      </c>
      <c r="AA5" s="13" t="n">
        <f aca="false">IFERROR(AVERAGEIF(D5:F5,"&lt;&gt;0"),"")</f>
        <v>12500</v>
      </c>
      <c r="AB5" s="13" t="n">
        <f aca="false">IFERROR(AVERAGEIF(G5:K5,"&lt;&gt;0"),"")</f>
        <v>12500</v>
      </c>
      <c r="AC5" s="13" t="n">
        <f aca="false">IFERROR(AVERAGEIF(L5:P5,"&lt;&gt;0"),"")</f>
        <v>12500</v>
      </c>
      <c r="AD5" s="13" t="n">
        <f aca="false">IFERROR(AVERAGEIF(Q5:U5,"&lt;&gt;0"),"")</f>
        <v>12500</v>
      </c>
      <c r="AE5" s="13" t="n">
        <f aca="false">IFERROR(AVERAGEIF(V5:Z5,"&lt;&gt;0"),"")</f>
        <v>12500</v>
      </c>
      <c r="AF5" s="13" t="n">
        <f aca="false">IFERROR(AVERAGEIF(D5:Z5,"&lt;&gt;0"),"")</f>
        <v>12500</v>
      </c>
    </row>
    <row r="6" customFormat="false" ht="15" hidden="false" customHeight="false" outlineLevel="0" collapsed="false">
      <c r="A6" s="3" t="n">
        <v>2</v>
      </c>
      <c r="B6" s="3" t="s">
        <v>408</v>
      </c>
      <c r="C6" s="3" t="s">
        <v>471</v>
      </c>
      <c r="D6" s="32" t="n">
        <v>14000</v>
      </c>
      <c r="E6" s="32" t="n">
        <v>14000</v>
      </c>
      <c r="F6" s="32" t="n">
        <v>14000</v>
      </c>
      <c r="G6" s="32" t="n">
        <v>14000</v>
      </c>
      <c r="H6" s="32" t="n">
        <v>14000</v>
      </c>
      <c r="I6" s="32" t="n">
        <v>14000</v>
      </c>
      <c r="J6" s="32" t="n">
        <v>14000</v>
      </c>
      <c r="K6" s="32" t="n">
        <v>14000</v>
      </c>
      <c r="L6" s="32" t="n">
        <v>14000</v>
      </c>
      <c r="M6" s="32" t="n">
        <v>14000</v>
      </c>
      <c r="N6" s="32" t="n">
        <v>14000</v>
      </c>
      <c r="O6" s="32" t="n">
        <v>14000</v>
      </c>
      <c r="P6" s="32" t="n">
        <v>14000</v>
      </c>
      <c r="Q6" s="32" t="n">
        <v>14000</v>
      </c>
      <c r="R6" s="32" t="n">
        <v>14000</v>
      </c>
      <c r="S6" s="32" t="n">
        <v>14000</v>
      </c>
      <c r="T6" s="32" t="n">
        <v>14000</v>
      </c>
      <c r="U6" s="32" t="n">
        <v>14000</v>
      </c>
      <c r="V6" s="32" t="n">
        <v>14000</v>
      </c>
      <c r="W6" s="32" t="n">
        <v>14000</v>
      </c>
      <c r="X6" s="32" t="n">
        <v>14000</v>
      </c>
      <c r="Y6" s="32" t="n">
        <v>14000</v>
      </c>
      <c r="Z6" s="32" t="n">
        <v>14000</v>
      </c>
      <c r="AA6" s="13" t="n">
        <f aca="false">IFERROR(AVERAGEIF(D6:F6,"&lt;&gt;0"),"")</f>
        <v>14000</v>
      </c>
      <c r="AB6" s="13" t="n">
        <f aca="false">IFERROR(AVERAGEIF(G6:K6,"&lt;&gt;0"),"")</f>
        <v>14000</v>
      </c>
      <c r="AC6" s="13" t="n">
        <f aca="false">IFERROR(AVERAGEIF(L6:P6,"&lt;&gt;0"),"")</f>
        <v>14000</v>
      </c>
      <c r="AD6" s="13" t="n">
        <f aca="false">IFERROR(AVERAGEIF(Q6:U6,"&lt;&gt;0"),"")</f>
        <v>14000</v>
      </c>
      <c r="AE6" s="13" t="n">
        <f aca="false">IFERROR(AVERAGEIF(V6:Z6,"&lt;&gt;0"),"")</f>
        <v>14000</v>
      </c>
      <c r="AF6" s="13" t="n">
        <f aca="false">IFERROR(AVERAGEIF(D6:Z6,"&lt;&gt;0"),"")</f>
        <v>14000</v>
      </c>
    </row>
    <row r="7" customFormat="false" ht="15" hidden="false" customHeight="false" outlineLevel="0" collapsed="false">
      <c r="A7" s="3" t="n">
        <v>3</v>
      </c>
      <c r="B7" s="3" t="s">
        <v>409</v>
      </c>
      <c r="C7" s="3" t="s">
        <v>471</v>
      </c>
      <c r="D7" s="32" t="n">
        <v>12500</v>
      </c>
      <c r="E7" s="32" t="n">
        <v>12500</v>
      </c>
      <c r="F7" s="32" t="n">
        <v>12500</v>
      </c>
      <c r="G7" s="32" t="n">
        <v>12500</v>
      </c>
      <c r="H7" s="32" t="n">
        <v>12500</v>
      </c>
      <c r="I7" s="32" t="n">
        <v>12500</v>
      </c>
      <c r="J7" s="32" t="n">
        <v>12500</v>
      </c>
      <c r="K7" s="32" t="n">
        <v>12500</v>
      </c>
      <c r="L7" s="32" t="n">
        <v>12500</v>
      </c>
      <c r="M7" s="32" t="n">
        <v>12500</v>
      </c>
      <c r="N7" s="32" t="n">
        <v>12500</v>
      </c>
      <c r="O7" s="32" t="n">
        <v>12500</v>
      </c>
      <c r="P7" s="32" t="n">
        <v>12500</v>
      </c>
      <c r="Q7" s="32" t="n">
        <v>12500</v>
      </c>
      <c r="R7" s="32" t="n">
        <v>12500</v>
      </c>
      <c r="S7" s="32" t="n">
        <v>12500</v>
      </c>
      <c r="T7" s="32" t="n">
        <v>12500</v>
      </c>
      <c r="U7" s="32" t="n">
        <v>12500</v>
      </c>
      <c r="V7" s="32" t="n">
        <v>12500</v>
      </c>
      <c r="W7" s="32" t="n">
        <v>12500</v>
      </c>
      <c r="X7" s="32" t="n">
        <v>12500</v>
      </c>
      <c r="Y7" s="32" t="n">
        <v>12500</v>
      </c>
      <c r="Z7" s="32" t="n">
        <v>12500</v>
      </c>
      <c r="AA7" s="13" t="n">
        <f aca="false">IFERROR(AVERAGEIF(D7:F7,"&lt;&gt;0"),"")</f>
        <v>12500</v>
      </c>
      <c r="AB7" s="13" t="n">
        <f aca="false">IFERROR(AVERAGEIF(G7:K7,"&lt;&gt;0"),"")</f>
        <v>12500</v>
      </c>
      <c r="AC7" s="13" t="n">
        <f aca="false">IFERROR(AVERAGEIF(L7:P7,"&lt;&gt;0"),"")</f>
        <v>12500</v>
      </c>
      <c r="AD7" s="13" t="n">
        <f aca="false">IFERROR(AVERAGEIF(Q7:U7,"&lt;&gt;0"),"")</f>
        <v>12500</v>
      </c>
      <c r="AE7" s="13" t="n">
        <f aca="false">IFERROR(AVERAGEIF(V7:Z7,"&lt;&gt;0"),"")</f>
        <v>12500</v>
      </c>
      <c r="AF7" s="13" t="n">
        <f aca="false">IFERROR(AVERAGEIF(D7:Z7,"&lt;&gt;0"),"")</f>
        <v>12500</v>
      </c>
    </row>
    <row r="8" customFormat="false" ht="15" hidden="false" customHeight="false" outlineLevel="0" collapsed="false">
      <c r="A8" s="3" t="n">
        <v>4</v>
      </c>
      <c r="B8" s="3" t="s">
        <v>472</v>
      </c>
      <c r="C8" s="3" t="s">
        <v>471</v>
      </c>
      <c r="D8" s="32" t="n">
        <v>11000</v>
      </c>
      <c r="E8" s="32" t="n">
        <v>11000</v>
      </c>
      <c r="F8" s="32" t="n">
        <v>11000</v>
      </c>
      <c r="G8" s="32" t="n">
        <v>11000</v>
      </c>
      <c r="H8" s="32" t="n">
        <v>11000</v>
      </c>
      <c r="I8" s="32" t="n">
        <v>11000</v>
      </c>
      <c r="J8" s="32" t="n">
        <v>11000</v>
      </c>
      <c r="K8" s="32" t="n">
        <v>11000</v>
      </c>
      <c r="L8" s="32" t="n">
        <v>11000</v>
      </c>
      <c r="M8" s="32" t="n">
        <v>11000</v>
      </c>
      <c r="N8" s="32" t="n">
        <v>11000</v>
      </c>
      <c r="O8" s="32" t="n">
        <v>11000</v>
      </c>
      <c r="P8" s="32" t="n">
        <v>11000</v>
      </c>
      <c r="Q8" s="32" t="n">
        <v>11000</v>
      </c>
      <c r="R8" s="32" t="n">
        <v>11000</v>
      </c>
      <c r="S8" s="32" t="n">
        <v>11000</v>
      </c>
      <c r="T8" s="32" t="n">
        <v>11000</v>
      </c>
      <c r="U8" s="32" t="n">
        <v>11000</v>
      </c>
      <c r="V8" s="32" t="n">
        <v>11000</v>
      </c>
      <c r="W8" s="32" t="n">
        <v>11000</v>
      </c>
      <c r="X8" s="32" t="n">
        <v>11000</v>
      </c>
      <c r="Y8" s="32" t="n">
        <v>11000</v>
      </c>
      <c r="Z8" s="32" t="n">
        <v>11000</v>
      </c>
      <c r="AA8" s="13" t="n">
        <f aca="false">IFERROR(AVERAGEIF(D8:F8,"&lt;&gt;0"),"")</f>
        <v>11000</v>
      </c>
      <c r="AB8" s="13" t="n">
        <f aca="false">IFERROR(AVERAGEIF(G8:K8,"&lt;&gt;0"),"")</f>
        <v>11000</v>
      </c>
      <c r="AC8" s="13" t="n">
        <f aca="false">IFERROR(AVERAGEIF(L8:P8,"&lt;&gt;0"),"")</f>
        <v>11000</v>
      </c>
      <c r="AD8" s="13" t="n">
        <f aca="false">IFERROR(AVERAGEIF(Q8:U8,"&lt;&gt;0"),"")</f>
        <v>11000</v>
      </c>
      <c r="AE8" s="13" t="n">
        <f aca="false">IFERROR(AVERAGEIF(V8:Z8,"&lt;&gt;0"),"")</f>
        <v>11000</v>
      </c>
      <c r="AF8" s="13" t="n">
        <f aca="false">IFERROR(AVERAGEIF(D8:Z8,"&lt;&gt;0"),"")</f>
        <v>11000</v>
      </c>
    </row>
    <row r="9" customFormat="false" ht="15" hidden="false" customHeight="false" outlineLevel="0" collapsed="false">
      <c r="A9" s="3" t="n">
        <v>5</v>
      </c>
      <c r="B9" s="3" t="s">
        <v>428</v>
      </c>
      <c r="C9" s="3" t="s">
        <v>471</v>
      </c>
      <c r="D9" s="32" t="n">
        <v>24000</v>
      </c>
      <c r="E9" s="32" t="n">
        <v>24000</v>
      </c>
      <c r="F9" s="32" t="n">
        <v>24000</v>
      </c>
      <c r="G9" s="32" t="n">
        <v>24000</v>
      </c>
      <c r="H9" s="32" t="n">
        <v>24000</v>
      </c>
      <c r="I9" s="32" t="n">
        <v>24000</v>
      </c>
      <c r="J9" s="32" t="n">
        <v>24000</v>
      </c>
      <c r="K9" s="32" t="n">
        <v>21000</v>
      </c>
      <c r="L9" s="32" t="n">
        <v>21000</v>
      </c>
      <c r="M9" s="32" t="n">
        <v>21000</v>
      </c>
      <c r="N9" s="32" t="n">
        <v>21000</v>
      </c>
      <c r="O9" s="32" t="n">
        <v>21000</v>
      </c>
      <c r="P9" s="32" t="n">
        <v>21000</v>
      </c>
      <c r="Q9" s="32" t="n">
        <v>21000</v>
      </c>
      <c r="R9" s="32" t="n">
        <v>21000</v>
      </c>
      <c r="S9" s="32" t="n">
        <v>21000</v>
      </c>
      <c r="T9" s="32" t="n">
        <v>21000</v>
      </c>
      <c r="U9" s="32" t="n">
        <v>21000</v>
      </c>
      <c r="V9" s="32" t="n">
        <v>21000</v>
      </c>
      <c r="W9" s="32" t="n">
        <v>23000</v>
      </c>
      <c r="X9" s="32" t="n">
        <v>23000</v>
      </c>
      <c r="Y9" s="32" t="n">
        <v>23000</v>
      </c>
      <c r="Z9" s="32" t="n">
        <v>23000</v>
      </c>
      <c r="AA9" s="13" t="n">
        <f aca="false">IFERROR(AVERAGEIF(D9:F9,"&lt;&gt;0"),"")</f>
        <v>24000</v>
      </c>
      <c r="AB9" s="13" t="n">
        <f aca="false">IFERROR(AVERAGEIF(G9:K9,"&lt;&gt;0"),"")</f>
        <v>23400</v>
      </c>
      <c r="AC9" s="13" t="n">
        <f aca="false">IFERROR(AVERAGEIF(L9:P9,"&lt;&gt;0"),"")</f>
        <v>21000</v>
      </c>
      <c r="AD9" s="13" t="n">
        <f aca="false">IFERROR(AVERAGEIF(Q9:U9,"&lt;&gt;0"),"")</f>
        <v>21000</v>
      </c>
      <c r="AE9" s="13" t="n">
        <f aca="false">IFERROR(AVERAGEIF(V9:Z9,"&lt;&gt;0"),"")</f>
        <v>22600</v>
      </c>
      <c r="AF9" s="13" t="n">
        <f aca="false">IFERROR(AVERAGEIF(D9:Z9,"&lt;&gt;0"),"")</f>
        <v>22260.8695652174</v>
      </c>
    </row>
    <row r="10" customFormat="false" ht="15" hidden="false" customHeight="false" outlineLevel="0" collapsed="false">
      <c r="A10" s="3" t="n">
        <v>6</v>
      </c>
      <c r="B10" s="3" t="s">
        <v>429</v>
      </c>
      <c r="C10" s="3" t="s">
        <v>471</v>
      </c>
      <c r="D10" s="32" t="n">
        <v>24000</v>
      </c>
      <c r="E10" s="32" t="n">
        <v>24000</v>
      </c>
      <c r="F10" s="32" t="n">
        <v>24000</v>
      </c>
      <c r="G10" s="32" t="n">
        <v>24000</v>
      </c>
      <c r="H10" s="32" t="n">
        <v>24000</v>
      </c>
      <c r="I10" s="32" t="n">
        <v>24000</v>
      </c>
      <c r="J10" s="32" t="n">
        <v>24000</v>
      </c>
      <c r="K10" s="32" t="n">
        <v>22000</v>
      </c>
      <c r="L10" s="32" t="n">
        <v>22000</v>
      </c>
      <c r="M10" s="32" t="n">
        <v>22000</v>
      </c>
      <c r="N10" s="32" t="n">
        <v>22000</v>
      </c>
      <c r="O10" s="32" t="n">
        <v>22000</v>
      </c>
      <c r="P10" s="32" t="n">
        <v>22000</v>
      </c>
      <c r="Q10" s="32" t="n">
        <v>22000</v>
      </c>
      <c r="R10" s="32" t="n">
        <v>22000</v>
      </c>
      <c r="S10" s="32" t="n">
        <v>24000</v>
      </c>
      <c r="T10" s="32" t="n">
        <v>24000</v>
      </c>
      <c r="U10" s="32" t="n">
        <v>24000</v>
      </c>
      <c r="V10" s="32" t="n">
        <v>24000</v>
      </c>
      <c r="W10" s="32" t="n">
        <v>26000</v>
      </c>
      <c r="X10" s="32" t="n">
        <v>26000</v>
      </c>
      <c r="Y10" s="32" t="n">
        <v>26000</v>
      </c>
      <c r="Z10" s="32" t="n">
        <v>26000</v>
      </c>
      <c r="AA10" s="13" t="n">
        <f aca="false">IFERROR(AVERAGEIF(D10:F10,"&lt;&gt;0"),"")</f>
        <v>24000</v>
      </c>
      <c r="AB10" s="13" t="n">
        <f aca="false">IFERROR(AVERAGEIF(G10:K10,"&lt;&gt;0"),"")</f>
        <v>23600</v>
      </c>
      <c r="AC10" s="13" t="n">
        <f aca="false">IFERROR(AVERAGEIF(L10:P10,"&lt;&gt;0"),"")</f>
        <v>22000</v>
      </c>
      <c r="AD10" s="13" t="n">
        <f aca="false">IFERROR(AVERAGEIF(Q10:U10,"&lt;&gt;0"),"")</f>
        <v>23200</v>
      </c>
      <c r="AE10" s="13" t="n">
        <f aca="false">IFERROR(AVERAGEIF(V10:Z10,"&lt;&gt;0"),"")</f>
        <v>25600</v>
      </c>
      <c r="AF10" s="13" t="n">
        <f aca="false">IFERROR(AVERAGEIF(D10:Z10,"&lt;&gt;0"),"")</f>
        <v>23652.1739130435</v>
      </c>
    </row>
    <row r="11" customFormat="false" ht="15" hidden="false" customHeight="false" outlineLevel="0" collapsed="false">
      <c r="A11" s="3" t="n">
        <v>7</v>
      </c>
      <c r="B11" s="3" t="s">
        <v>418</v>
      </c>
      <c r="C11" s="3" t="s">
        <v>471</v>
      </c>
      <c r="D11" s="32" t="n">
        <v>26000</v>
      </c>
      <c r="E11" s="32" t="n">
        <v>26000</v>
      </c>
      <c r="F11" s="32" t="n">
        <v>26000</v>
      </c>
      <c r="G11" s="32" t="n">
        <v>26000</v>
      </c>
      <c r="H11" s="32" t="n">
        <v>26000</v>
      </c>
      <c r="I11" s="32" t="n">
        <v>26000</v>
      </c>
      <c r="J11" s="32" t="n">
        <v>26000</v>
      </c>
      <c r="K11" s="32" t="n">
        <v>22000</v>
      </c>
      <c r="L11" s="32" t="n">
        <v>22000</v>
      </c>
      <c r="M11" s="32" t="n">
        <v>22000</v>
      </c>
      <c r="N11" s="32" t="n">
        <v>22000</v>
      </c>
      <c r="O11" s="32" t="n">
        <v>22000</v>
      </c>
      <c r="P11" s="32" t="n">
        <v>22000</v>
      </c>
      <c r="Q11" s="32" t="n">
        <v>22000</v>
      </c>
      <c r="R11" s="32" t="n">
        <v>22000</v>
      </c>
      <c r="S11" s="32" t="n">
        <v>24000</v>
      </c>
      <c r="T11" s="32" t="n">
        <v>24000</v>
      </c>
      <c r="U11" s="32" t="n">
        <v>24000</v>
      </c>
      <c r="V11" s="32" t="n">
        <v>24000</v>
      </c>
      <c r="W11" s="32" t="n">
        <v>24000</v>
      </c>
      <c r="X11" s="32" t="n">
        <v>24000</v>
      </c>
      <c r="Y11" s="32" t="n">
        <v>24000</v>
      </c>
      <c r="Z11" s="32" t="n">
        <v>24000</v>
      </c>
      <c r="AA11" s="13" t="n">
        <f aca="false">IFERROR(AVERAGEIF(D11:F11,"&lt;&gt;0"),"")</f>
        <v>26000</v>
      </c>
      <c r="AB11" s="13" t="n">
        <f aca="false">IFERROR(AVERAGEIF(G11:K11,"&lt;&gt;0"),"")</f>
        <v>25200</v>
      </c>
      <c r="AC11" s="13" t="n">
        <f aca="false">IFERROR(AVERAGEIF(L11:P11,"&lt;&gt;0"),"")</f>
        <v>22000</v>
      </c>
      <c r="AD11" s="13" t="n">
        <f aca="false">IFERROR(AVERAGEIF(Q11:U11,"&lt;&gt;0"),"")</f>
        <v>23200</v>
      </c>
      <c r="AE11" s="13" t="n">
        <f aca="false">IFERROR(AVERAGEIF(V11:Z11,"&lt;&gt;0"),"")</f>
        <v>24000</v>
      </c>
      <c r="AF11" s="13" t="n">
        <f aca="false">IFERROR(AVERAGEIF(D11:Z11,"&lt;&gt;0"),"")</f>
        <v>23913.0434782609</v>
      </c>
    </row>
    <row r="12" customFormat="false" ht="15" hidden="false" customHeight="false" outlineLevel="0" collapsed="false">
      <c r="A12" s="3" t="n">
        <v>8</v>
      </c>
      <c r="B12" s="3" t="s">
        <v>423</v>
      </c>
      <c r="C12" s="3" t="s">
        <v>471</v>
      </c>
      <c r="D12" s="32" t="n">
        <v>25000</v>
      </c>
      <c r="E12" s="32" t="n">
        <v>25000</v>
      </c>
      <c r="F12" s="32" t="n">
        <v>25000</v>
      </c>
      <c r="G12" s="32" t="n">
        <v>25000</v>
      </c>
      <c r="H12" s="32" t="n">
        <v>25000</v>
      </c>
      <c r="I12" s="32" t="n">
        <v>25000</v>
      </c>
      <c r="J12" s="32" t="n">
        <v>25000</v>
      </c>
      <c r="K12" s="32" t="n">
        <v>22000</v>
      </c>
      <c r="L12" s="32" t="n">
        <v>22000</v>
      </c>
      <c r="M12" s="32" t="n">
        <v>22000</v>
      </c>
      <c r="N12" s="32" t="n">
        <v>22000</v>
      </c>
      <c r="O12" s="32" t="n">
        <v>22000</v>
      </c>
      <c r="P12" s="32" t="n">
        <v>22000</v>
      </c>
      <c r="Q12" s="32" t="n">
        <v>22000</v>
      </c>
      <c r="R12" s="32" t="n">
        <v>22000</v>
      </c>
      <c r="S12" s="32" t="n">
        <v>24000</v>
      </c>
      <c r="T12" s="32" t="n">
        <v>24000</v>
      </c>
      <c r="U12" s="32" t="n">
        <v>24000</v>
      </c>
      <c r="V12" s="32" t="n">
        <v>24000</v>
      </c>
      <c r="W12" s="32" t="n">
        <v>24000</v>
      </c>
      <c r="X12" s="32" t="n">
        <v>24000</v>
      </c>
      <c r="Y12" s="32" t="n">
        <v>24000</v>
      </c>
      <c r="Z12" s="32" t="n">
        <v>24000</v>
      </c>
      <c r="AA12" s="13" t="n">
        <f aca="false">IFERROR(AVERAGEIF(D12:F12,"&lt;&gt;0"),"")</f>
        <v>25000</v>
      </c>
      <c r="AB12" s="13" t="n">
        <f aca="false">IFERROR(AVERAGEIF(G12:K12,"&lt;&gt;0"),"")</f>
        <v>24400</v>
      </c>
      <c r="AC12" s="13" t="n">
        <f aca="false">IFERROR(AVERAGEIF(L12:P12,"&lt;&gt;0"),"")</f>
        <v>22000</v>
      </c>
      <c r="AD12" s="13" t="n">
        <f aca="false">IFERROR(AVERAGEIF(Q12:U12,"&lt;&gt;0"),"")</f>
        <v>23200</v>
      </c>
      <c r="AE12" s="13" t="n">
        <f aca="false">IFERROR(AVERAGEIF(V12:Z12,"&lt;&gt;0"),"")</f>
        <v>24000</v>
      </c>
      <c r="AF12" s="13" t="n">
        <f aca="false">IFERROR(AVERAGEIF(D12:Z12,"&lt;&gt;0"),"")</f>
        <v>23608.6956521739</v>
      </c>
    </row>
    <row r="13" customFormat="false" ht="15" hidden="false" customHeight="false" outlineLevel="0" collapsed="false">
      <c r="A13" s="3" t="n">
        <v>9</v>
      </c>
      <c r="B13" s="3" t="s">
        <v>420</v>
      </c>
      <c r="C13" s="3" t="s">
        <v>471</v>
      </c>
      <c r="D13" s="32" t="n">
        <v>15000</v>
      </c>
      <c r="E13" s="32" t="n">
        <v>15000</v>
      </c>
      <c r="F13" s="32" t="n">
        <v>15000</v>
      </c>
      <c r="G13" s="32" t="n">
        <v>15000</v>
      </c>
      <c r="H13" s="32" t="n">
        <v>15000</v>
      </c>
      <c r="I13" s="32" t="n">
        <v>15000</v>
      </c>
      <c r="J13" s="32" t="n">
        <v>15000</v>
      </c>
      <c r="K13" s="32" t="n">
        <v>15000</v>
      </c>
      <c r="L13" s="32" t="n">
        <v>15000</v>
      </c>
      <c r="M13" s="32" t="n">
        <v>15000</v>
      </c>
      <c r="N13" s="32" t="n">
        <v>15000</v>
      </c>
      <c r="O13" s="32" t="n">
        <v>15000</v>
      </c>
      <c r="P13" s="32" t="n">
        <v>15000</v>
      </c>
      <c r="Q13" s="32" t="n">
        <v>15000</v>
      </c>
      <c r="R13" s="32" t="n">
        <v>15000</v>
      </c>
      <c r="S13" s="32" t="n">
        <v>15000</v>
      </c>
      <c r="T13" s="32" t="n">
        <v>15000</v>
      </c>
      <c r="U13" s="32" t="n">
        <v>15000</v>
      </c>
      <c r="V13" s="32" t="n">
        <v>15000</v>
      </c>
      <c r="W13" s="32" t="n">
        <v>15000</v>
      </c>
      <c r="X13" s="32" t="n">
        <v>15000</v>
      </c>
      <c r="Y13" s="32" t="n">
        <v>15000</v>
      </c>
      <c r="Z13" s="32" t="n">
        <v>15000</v>
      </c>
      <c r="AA13" s="13" t="n">
        <f aca="false">IFERROR(AVERAGEIF(D13:F13,"&lt;&gt;0"),"")</f>
        <v>15000</v>
      </c>
      <c r="AB13" s="13" t="n">
        <f aca="false">IFERROR(AVERAGEIF(G13:K13,"&lt;&gt;0"),"")</f>
        <v>15000</v>
      </c>
      <c r="AC13" s="13" t="n">
        <f aca="false">IFERROR(AVERAGEIF(L13:P13,"&lt;&gt;0"),"")</f>
        <v>15000</v>
      </c>
      <c r="AD13" s="13" t="n">
        <f aca="false">IFERROR(AVERAGEIF(Q13:U13,"&lt;&gt;0"),"")</f>
        <v>15000</v>
      </c>
      <c r="AE13" s="13" t="n">
        <f aca="false">IFERROR(AVERAGEIF(V13:Z13,"&lt;&gt;0"),"")</f>
        <v>15000</v>
      </c>
      <c r="AF13" s="13" t="n">
        <f aca="false">IFERROR(AVERAGEIF(D13:Z13,"&lt;&gt;0"),"")</f>
        <v>15000</v>
      </c>
    </row>
    <row r="14" customFormat="false" ht="15" hidden="false" customHeight="false" outlineLevel="0" collapsed="false">
      <c r="A14" s="3" t="n">
        <v>10</v>
      </c>
      <c r="B14" s="3" t="s">
        <v>413</v>
      </c>
      <c r="C14" s="3" t="s">
        <v>471</v>
      </c>
      <c r="D14" s="32" t="n">
        <v>15000</v>
      </c>
      <c r="E14" s="32" t="n">
        <v>15000</v>
      </c>
      <c r="F14" s="32" t="n">
        <v>15000</v>
      </c>
      <c r="G14" s="32" t="n">
        <v>15000</v>
      </c>
      <c r="H14" s="32" t="n">
        <v>15000</v>
      </c>
      <c r="I14" s="32" t="n">
        <v>15000</v>
      </c>
      <c r="J14" s="32" t="n">
        <v>15000</v>
      </c>
      <c r="K14" s="32" t="n">
        <v>15000</v>
      </c>
      <c r="L14" s="32" t="n">
        <v>15000</v>
      </c>
      <c r="M14" s="32" t="n">
        <v>15000</v>
      </c>
      <c r="N14" s="32" t="n">
        <v>15000</v>
      </c>
      <c r="O14" s="32" t="n">
        <v>15000</v>
      </c>
      <c r="P14" s="32" t="n">
        <v>15000</v>
      </c>
      <c r="Q14" s="32" t="n">
        <v>15000</v>
      </c>
      <c r="R14" s="32" t="n">
        <v>15000</v>
      </c>
      <c r="S14" s="32" t="n">
        <v>15000</v>
      </c>
      <c r="T14" s="32" t="n">
        <v>15000</v>
      </c>
      <c r="U14" s="32" t="n">
        <v>15000</v>
      </c>
      <c r="V14" s="32" t="n">
        <v>15000</v>
      </c>
      <c r="W14" s="32" t="n">
        <v>15000</v>
      </c>
      <c r="X14" s="32" t="n">
        <v>15000</v>
      </c>
      <c r="Y14" s="32" t="n">
        <v>15000</v>
      </c>
      <c r="Z14" s="32" t="n">
        <v>15000</v>
      </c>
      <c r="AA14" s="13" t="n">
        <f aca="false">IFERROR(AVERAGEIF(D14:F14,"&lt;&gt;0"),"")</f>
        <v>15000</v>
      </c>
      <c r="AB14" s="13" t="n">
        <f aca="false">IFERROR(AVERAGEIF(G14:K14,"&lt;&gt;0"),"")</f>
        <v>15000</v>
      </c>
      <c r="AC14" s="13" t="n">
        <f aca="false">IFERROR(AVERAGEIF(L14:P14,"&lt;&gt;0"),"")</f>
        <v>15000</v>
      </c>
      <c r="AD14" s="13" t="n">
        <f aca="false">IFERROR(AVERAGEIF(Q14:U14,"&lt;&gt;0"),"")</f>
        <v>15000</v>
      </c>
      <c r="AE14" s="13" t="n">
        <f aca="false">IFERROR(AVERAGEIF(V14:Z14,"&lt;&gt;0"),"")</f>
        <v>15000</v>
      </c>
      <c r="AF14" s="13" t="n">
        <f aca="false">IFERROR(AVERAGEIF(D14:Z14,"&lt;&gt;0"),"")</f>
        <v>15000</v>
      </c>
    </row>
    <row r="15" customFormat="false" ht="15" hidden="false" customHeight="false" outlineLevel="0" collapsed="false">
      <c r="A15" s="3" t="n">
        <v>11</v>
      </c>
      <c r="B15" s="3" t="s">
        <v>414</v>
      </c>
      <c r="C15" s="3" t="s">
        <v>471</v>
      </c>
      <c r="D15" s="32" t="n">
        <v>18000</v>
      </c>
      <c r="E15" s="32" t="n">
        <v>18000</v>
      </c>
      <c r="F15" s="32" t="n">
        <v>18000</v>
      </c>
      <c r="G15" s="32" t="n">
        <v>18000</v>
      </c>
      <c r="H15" s="32" t="n">
        <v>18000</v>
      </c>
      <c r="I15" s="32" t="n">
        <v>18000</v>
      </c>
      <c r="J15" s="32" t="n">
        <v>18000</v>
      </c>
      <c r="K15" s="32" t="n">
        <v>18000</v>
      </c>
      <c r="L15" s="32" t="n">
        <v>18000</v>
      </c>
      <c r="M15" s="32" t="n">
        <v>18000</v>
      </c>
      <c r="N15" s="32" t="n">
        <v>18000</v>
      </c>
      <c r="O15" s="32" t="n">
        <v>18000</v>
      </c>
      <c r="P15" s="32" t="n">
        <v>18000</v>
      </c>
      <c r="Q15" s="32" t="n">
        <v>18000</v>
      </c>
      <c r="R15" s="32" t="n">
        <v>18000</v>
      </c>
      <c r="S15" s="32" t="n">
        <v>18000</v>
      </c>
      <c r="T15" s="32" t="n">
        <v>18000</v>
      </c>
      <c r="U15" s="32" t="n">
        <v>18000</v>
      </c>
      <c r="V15" s="32" t="n">
        <v>18000</v>
      </c>
      <c r="W15" s="32" t="n">
        <v>18000</v>
      </c>
      <c r="X15" s="32" t="n">
        <v>18000</v>
      </c>
      <c r="Y15" s="32" t="n">
        <v>18000</v>
      </c>
      <c r="Z15" s="32" t="n">
        <v>18000</v>
      </c>
      <c r="AA15" s="13" t="n">
        <f aca="false">IFERROR(AVERAGEIF(D15:F15,"&lt;&gt;0"),"")</f>
        <v>18000</v>
      </c>
      <c r="AB15" s="13" t="n">
        <f aca="false">IFERROR(AVERAGEIF(G15:K15,"&lt;&gt;0"),"")</f>
        <v>18000</v>
      </c>
      <c r="AC15" s="13" t="n">
        <f aca="false">IFERROR(AVERAGEIF(L15:P15,"&lt;&gt;0"),"")</f>
        <v>18000</v>
      </c>
      <c r="AD15" s="13" t="n">
        <f aca="false">IFERROR(AVERAGEIF(Q15:U15,"&lt;&gt;0"),"")</f>
        <v>18000</v>
      </c>
      <c r="AE15" s="13" t="n">
        <f aca="false">IFERROR(AVERAGEIF(V15:Z15,"&lt;&gt;0"),"")</f>
        <v>18000</v>
      </c>
      <c r="AF15" s="13" t="n">
        <f aca="false">IFERROR(AVERAGEIF(D15:Z15,"&lt;&gt;0"),"")</f>
        <v>18000</v>
      </c>
    </row>
    <row r="16" customFormat="false" ht="15" hidden="false" customHeight="false" outlineLevel="0" collapsed="false">
      <c r="A16" s="3" t="n">
        <v>12</v>
      </c>
      <c r="B16" s="3" t="s">
        <v>415</v>
      </c>
      <c r="C16" s="3" t="s">
        <v>471</v>
      </c>
      <c r="D16" s="32" t="n">
        <v>15700</v>
      </c>
      <c r="E16" s="32" t="n">
        <v>15700</v>
      </c>
      <c r="F16" s="32" t="n">
        <v>15700</v>
      </c>
      <c r="G16" s="32" t="n">
        <v>15700</v>
      </c>
      <c r="H16" s="32" t="n">
        <v>15700</v>
      </c>
      <c r="I16" s="32" t="n">
        <v>15700</v>
      </c>
      <c r="J16" s="32" t="n">
        <v>15700</v>
      </c>
      <c r="K16" s="32" t="n">
        <v>15700</v>
      </c>
      <c r="L16" s="32" t="n">
        <v>15700</v>
      </c>
      <c r="M16" s="32" t="n">
        <v>15700</v>
      </c>
      <c r="N16" s="32" t="n">
        <v>15700</v>
      </c>
      <c r="O16" s="32" t="n">
        <v>15700</v>
      </c>
      <c r="P16" s="32" t="n">
        <v>15700</v>
      </c>
      <c r="Q16" s="32" t="n">
        <v>15700</v>
      </c>
      <c r="R16" s="32" t="n">
        <v>15700</v>
      </c>
      <c r="S16" s="32" t="n">
        <v>15700</v>
      </c>
      <c r="T16" s="32" t="n">
        <v>15700</v>
      </c>
      <c r="U16" s="32" t="n">
        <v>15700</v>
      </c>
      <c r="V16" s="32" t="n">
        <v>15700</v>
      </c>
      <c r="W16" s="32" t="n">
        <v>15700</v>
      </c>
      <c r="X16" s="32" t="n">
        <v>15700</v>
      </c>
      <c r="Y16" s="32" t="n">
        <v>15700</v>
      </c>
      <c r="Z16" s="32" t="n">
        <v>15700</v>
      </c>
      <c r="AA16" s="13" t="n">
        <f aca="false">IFERROR(AVERAGEIF(D16:F16,"&lt;&gt;0"),"")</f>
        <v>15700</v>
      </c>
      <c r="AB16" s="13" t="n">
        <f aca="false">IFERROR(AVERAGEIF(G16:K16,"&lt;&gt;0"),"")</f>
        <v>15700</v>
      </c>
      <c r="AC16" s="13" t="n">
        <f aca="false">IFERROR(AVERAGEIF(L16:P16,"&lt;&gt;0"),"")</f>
        <v>15700</v>
      </c>
      <c r="AD16" s="13" t="n">
        <f aca="false">IFERROR(AVERAGEIF(Q16:U16,"&lt;&gt;0"),"")</f>
        <v>15700</v>
      </c>
      <c r="AE16" s="13" t="n">
        <f aca="false">IFERROR(AVERAGEIF(V16:Z16,"&lt;&gt;0"),"")</f>
        <v>15700</v>
      </c>
      <c r="AF16" s="13" t="n">
        <f aca="false">IFERROR(AVERAGEIF(D16:Z16,"&lt;&gt;0"),"")</f>
        <v>15700</v>
      </c>
    </row>
    <row r="17" customFormat="false" ht="15" hidden="false" customHeight="false" outlineLevel="0" collapsed="false">
      <c r="A17" s="3" t="n">
        <v>13</v>
      </c>
      <c r="B17" s="3" t="s">
        <v>410</v>
      </c>
      <c r="C17" s="3" t="s">
        <v>471</v>
      </c>
      <c r="D17" s="32" t="n">
        <v>11000</v>
      </c>
      <c r="E17" s="32" t="n">
        <v>11000</v>
      </c>
      <c r="F17" s="32" t="n">
        <v>11000</v>
      </c>
      <c r="G17" s="32" t="n">
        <v>11000</v>
      </c>
      <c r="H17" s="32" t="n">
        <v>11000</v>
      </c>
      <c r="I17" s="32" t="n">
        <v>11000</v>
      </c>
      <c r="J17" s="32" t="n">
        <v>11000</v>
      </c>
      <c r="K17" s="32" t="n">
        <v>10500</v>
      </c>
      <c r="L17" s="32" t="n">
        <v>10500</v>
      </c>
      <c r="M17" s="32" t="n">
        <v>10500</v>
      </c>
      <c r="N17" s="32" t="n">
        <v>10500</v>
      </c>
      <c r="O17" s="32" t="n">
        <v>10500</v>
      </c>
      <c r="P17" s="32" t="n">
        <v>10500</v>
      </c>
      <c r="Q17" s="32" t="n">
        <v>10500</v>
      </c>
      <c r="R17" s="32" t="n">
        <v>10500</v>
      </c>
      <c r="S17" s="32" t="n">
        <v>11000</v>
      </c>
      <c r="T17" s="32" t="n">
        <v>11000</v>
      </c>
      <c r="U17" s="32" t="n">
        <v>11000</v>
      </c>
      <c r="V17" s="32" t="n">
        <v>11000</v>
      </c>
      <c r="W17" s="32" t="n">
        <v>11000</v>
      </c>
      <c r="X17" s="32" t="n">
        <v>11000</v>
      </c>
      <c r="Y17" s="32" t="n">
        <v>11000</v>
      </c>
      <c r="Z17" s="32" t="n">
        <v>11000</v>
      </c>
      <c r="AA17" s="13" t="n">
        <f aca="false">IFERROR(AVERAGEIF(D17:F17,"&lt;&gt;0"),"")</f>
        <v>11000</v>
      </c>
      <c r="AB17" s="13" t="n">
        <f aca="false">IFERROR(AVERAGEIF(G17:K17,"&lt;&gt;0"),"")</f>
        <v>10900</v>
      </c>
      <c r="AC17" s="13" t="n">
        <f aca="false">IFERROR(AVERAGEIF(L17:P17,"&lt;&gt;0"),"")</f>
        <v>10500</v>
      </c>
      <c r="AD17" s="13" t="n">
        <f aca="false">IFERROR(AVERAGEIF(Q17:U17,"&lt;&gt;0"),"")</f>
        <v>10800</v>
      </c>
      <c r="AE17" s="13" t="n">
        <f aca="false">IFERROR(AVERAGEIF(V17:Z17,"&lt;&gt;0"),"")</f>
        <v>11000</v>
      </c>
      <c r="AF17" s="13" t="n">
        <f aca="false">IFERROR(AVERAGEIF(D17:Z17,"&lt;&gt;0"),"")</f>
        <v>10826.0869565217</v>
      </c>
    </row>
    <row r="18" customFormat="false" ht="15" hidden="false" customHeight="false" outlineLevel="0" collapsed="false">
      <c r="A18" s="3" t="n">
        <v>14</v>
      </c>
      <c r="B18" s="3" t="s">
        <v>412</v>
      </c>
      <c r="C18" s="3" t="s">
        <v>471</v>
      </c>
      <c r="D18" s="32" t="n">
        <v>29000</v>
      </c>
      <c r="E18" s="32" t="n">
        <v>29000</v>
      </c>
      <c r="F18" s="32" t="n">
        <v>29000</v>
      </c>
      <c r="G18" s="32" t="n">
        <v>29000</v>
      </c>
      <c r="H18" s="32" t="n">
        <v>29000</v>
      </c>
      <c r="I18" s="32" t="n">
        <v>29000</v>
      </c>
      <c r="J18" s="32" t="n">
        <v>29000</v>
      </c>
      <c r="K18" s="32" t="n">
        <v>25000</v>
      </c>
      <c r="L18" s="32" t="n">
        <v>25000</v>
      </c>
      <c r="M18" s="32" t="n">
        <v>25000</v>
      </c>
      <c r="N18" s="32" t="n">
        <v>25000</v>
      </c>
      <c r="O18" s="32" t="n">
        <v>25000</v>
      </c>
      <c r="P18" s="32" t="n">
        <v>25000</v>
      </c>
      <c r="Q18" s="32" t="n">
        <v>25000</v>
      </c>
      <c r="R18" s="32" t="n">
        <v>25000</v>
      </c>
      <c r="S18" s="32" t="n">
        <v>27000</v>
      </c>
      <c r="T18" s="32" t="n">
        <v>27000</v>
      </c>
      <c r="U18" s="32" t="n">
        <v>27000</v>
      </c>
      <c r="V18" s="32" t="n">
        <v>27000</v>
      </c>
      <c r="W18" s="32" t="n">
        <v>28000</v>
      </c>
      <c r="X18" s="32" t="n">
        <v>28000</v>
      </c>
      <c r="Y18" s="32" t="n">
        <v>28000</v>
      </c>
      <c r="Z18" s="32" t="n">
        <v>28000</v>
      </c>
      <c r="AA18" s="13" t="n">
        <f aca="false">IFERROR(AVERAGEIF(D18:F18,"&lt;&gt;0"),"")</f>
        <v>29000</v>
      </c>
      <c r="AB18" s="13" t="n">
        <f aca="false">IFERROR(AVERAGEIF(G18:K18,"&lt;&gt;0"),"")</f>
        <v>28200</v>
      </c>
      <c r="AC18" s="13" t="n">
        <f aca="false">IFERROR(AVERAGEIF(L18:P18,"&lt;&gt;0"),"")</f>
        <v>25000</v>
      </c>
      <c r="AD18" s="13" t="n">
        <f aca="false">IFERROR(AVERAGEIF(Q18:U18,"&lt;&gt;0"),"")</f>
        <v>26200</v>
      </c>
      <c r="AE18" s="13" t="n">
        <f aca="false">IFERROR(AVERAGEIF(V18:Z18,"&lt;&gt;0"),"")</f>
        <v>27800</v>
      </c>
      <c r="AF18" s="13" t="n">
        <f aca="false">IFERROR(AVERAGEIF(D18:Z18,"&lt;&gt;0"),"")</f>
        <v>27086.9565217391</v>
      </c>
    </row>
    <row r="19" customFormat="false" ht="15" hidden="false" customHeight="false" outlineLevel="0" collapsed="false">
      <c r="A19" s="3" t="n">
        <v>15</v>
      </c>
      <c r="B19" s="3" t="s">
        <v>419</v>
      </c>
      <c r="C19" s="3" t="s">
        <v>471</v>
      </c>
      <c r="D19" s="32" t="n">
        <v>25000</v>
      </c>
      <c r="E19" s="32" t="n">
        <v>25000</v>
      </c>
      <c r="F19" s="32" t="n">
        <v>25000</v>
      </c>
      <c r="G19" s="32" t="n">
        <v>25000</v>
      </c>
      <c r="H19" s="32" t="n">
        <v>25000</v>
      </c>
      <c r="I19" s="32" t="n">
        <v>25000</v>
      </c>
      <c r="J19" s="32" t="n">
        <v>25000</v>
      </c>
      <c r="K19" s="32" t="n">
        <v>23000</v>
      </c>
      <c r="L19" s="32" t="n">
        <v>23000</v>
      </c>
      <c r="M19" s="32" t="n">
        <v>23000</v>
      </c>
      <c r="N19" s="32" t="n">
        <v>23000</v>
      </c>
      <c r="O19" s="32" t="n">
        <v>23000</v>
      </c>
      <c r="P19" s="32" t="n">
        <v>23000</v>
      </c>
      <c r="Q19" s="32" t="n">
        <v>23000</v>
      </c>
      <c r="R19" s="32" t="n">
        <v>23000</v>
      </c>
      <c r="S19" s="32" t="n">
        <v>24000</v>
      </c>
      <c r="T19" s="32" t="n">
        <v>26000</v>
      </c>
      <c r="U19" s="32" t="n">
        <v>26000</v>
      </c>
      <c r="V19" s="32" t="n">
        <v>26000</v>
      </c>
      <c r="W19" s="32" t="n">
        <v>27000</v>
      </c>
      <c r="X19" s="32" t="n">
        <v>27000</v>
      </c>
      <c r="Y19" s="32" t="n">
        <v>27000</v>
      </c>
      <c r="Z19" s="32" t="n">
        <v>27000</v>
      </c>
      <c r="AA19" s="13" t="n">
        <f aca="false">IFERROR(AVERAGEIF(D19:F19,"&lt;&gt;0"),"")</f>
        <v>25000</v>
      </c>
      <c r="AB19" s="13" t="n">
        <f aca="false">IFERROR(AVERAGEIF(G19:K19,"&lt;&gt;0"),"")</f>
        <v>24600</v>
      </c>
      <c r="AC19" s="13" t="n">
        <f aca="false">IFERROR(AVERAGEIF(L19:P19,"&lt;&gt;0"),"")</f>
        <v>23000</v>
      </c>
      <c r="AD19" s="13" t="n">
        <f aca="false">IFERROR(AVERAGEIF(Q19:U19,"&lt;&gt;0"),"")</f>
        <v>24400</v>
      </c>
      <c r="AE19" s="13" t="n">
        <f aca="false">IFERROR(AVERAGEIF(V19:Z19,"&lt;&gt;0"),"")</f>
        <v>26800</v>
      </c>
      <c r="AF19" s="13" t="n">
        <f aca="false">IFERROR(AVERAGEIF(D19:Z19,"&lt;&gt;0"),"")</f>
        <v>24739.1304347826</v>
      </c>
    </row>
    <row r="20" customFormat="false" ht="15" hidden="false" customHeight="false" outlineLevel="0" collapsed="false">
      <c r="A20" s="3" t="n">
        <v>16</v>
      </c>
      <c r="B20" s="3" t="s">
        <v>430</v>
      </c>
      <c r="C20" s="3" t="s">
        <v>471</v>
      </c>
      <c r="D20" s="32" t="n">
        <v>90000</v>
      </c>
      <c r="E20" s="32" t="n">
        <v>90000</v>
      </c>
      <c r="F20" s="32" t="n">
        <v>90000</v>
      </c>
      <c r="G20" s="32" t="n">
        <v>90000</v>
      </c>
      <c r="H20" s="32" t="n">
        <v>90000</v>
      </c>
      <c r="I20" s="32" t="n">
        <v>90000</v>
      </c>
      <c r="J20" s="32" t="n">
        <v>90000</v>
      </c>
      <c r="K20" s="32" t="n">
        <v>90000</v>
      </c>
      <c r="L20" s="32" t="n">
        <v>90000</v>
      </c>
      <c r="M20" s="32" t="n">
        <v>90000</v>
      </c>
      <c r="N20" s="32" t="n">
        <v>90000</v>
      </c>
      <c r="O20" s="32" t="n">
        <v>90000</v>
      </c>
      <c r="P20" s="32" t="n">
        <v>90000</v>
      </c>
      <c r="Q20" s="32" t="n">
        <v>90000</v>
      </c>
      <c r="R20" s="32" t="n">
        <v>90000</v>
      </c>
      <c r="S20" s="32" t="n">
        <v>90000</v>
      </c>
      <c r="T20" s="32" t="n">
        <v>90000</v>
      </c>
      <c r="U20" s="32" t="n">
        <v>90000</v>
      </c>
      <c r="V20" s="32" t="n">
        <v>90000</v>
      </c>
      <c r="W20" s="32" t="n">
        <v>90000</v>
      </c>
      <c r="X20" s="32" t="n">
        <v>90000</v>
      </c>
      <c r="Y20" s="32" t="n">
        <v>90000</v>
      </c>
      <c r="Z20" s="32" t="n">
        <v>90000</v>
      </c>
      <c r="AA20" s="13" t="n">
        <f aca="false">IFERROR(AVERAGEIF(D20:F20,"&lt;&gt;0"),"")</f>
        <v>90000</v>
      </c>
      <c r="AB20" s="13" t="n">
        <f aca="false">IFERROR(AVERAGEIF(G20:K20,"&lt;&gt;0"),"")</f>
        <v>90000</v>
      </c>
      <c r="AC20" s="13" t="n">
        <f aca="false">IFERROR(AVERAGEIF(L20:P20,"&lt;&gt;0"),"")</f>
        <v>90000</v>
      </c>
      <c r="AD20" s="13" t="n">
        <f aca="false">IFERROR(AVERAGEIF(Q20:U20,"&lt;&gt;0"),"")</f>
        <v>90000</v>
      </c>
      <c r="AE20" s="13" t="n">
        <f aca="false">IFERROR(AVERAGEIF(V20:Z20,"&lt;&gt;0"),"")</f>
        <v>90000</v>
      </c>
      <c r="AF20" s="13" t="n">
        <f aca="false">IFERROR(AVERAGEIF(D20:Z20,"&lt;&gt;0"),"")</f>
        <v>90000</v>
      </c>
    </row>
    <row r="21" customFormat="false" ht="15" hidden="false" customHeight="false" outlineLevel="0" collapsed="false">
      <c r="A21" s="3" t="n">
        <v>17</v>
      </c>
      <c r="B21" s="3" t="s">
        <v>431</v>
      </c>
      <c r="C21" s="3" t="s">
        <v>471</v>
      </c>
      <c r="D21" s="32" t="n">
        <v>60000</v>
      </c>
      <c r="E21" s="32" t="n">
        <v>60000</v>
      </c>
      <c r="F21" s="32" t="n">
        <v>60000</v>
      </c>
      <c r="G21" s="32" t="n">
        <v>60000</v>
      </c>
      <c r="H21" s="32" t="n">
        <v>60000</v>
      </c>
      <c r="I21" s="32" t="n">
        <v>60000</v>
      </c>
      <c r="J21" s="32" t="n">
        <v>60000</v>
      </c>
      <c r="K21" s="32" t="n">
        <v>60000</v>
      </c>
      <c r="L21" s="32" t="n">
        <v>60000</v>
      </c>
      <c r="M21" s="32" t="n">
        <v>60000</v>
      </c>
      <c r="N21" s="32" t="n">
        <v>60000</v>
      </c>
      <c r="O21" s="32" t="n">
        <v>60000</v>
      </c>
      <c r="P21" s="32" t="n">
        <v>60000</v>
      </c>
      <c r="Q21" s="32" t="n">
        <v>60000</v>
      </c>
      <c r="R21" s="32" t="n">
        <v>60000</v>
      </c>
      <c r="S21" s="32" t="n">
        <v>60000</v>
      </c>
      <c r="T21" s="32" t="n">
        <v>60000</v>
      </c>
      <c r="U21" s="32" t="n">
        <v>60000</v>
      </c>
      <c r="V21" s="32" t="n">
        <v>60000</v>
      </c>
      <c r="W21" s="32" t="n">
        <v>60000</v>
      </c>
      <c r="X21" s="32" t="n">
        <v>60000</v>
      </c>
      <c r="Y21" s="32" t="n">
        <v>60000</v>
      </c>
      <c r="Z21" s="32" t="n">
        <v>60000</v>
      </c>
      <c r="AA21" s="13" t="n">
        <f aca="false">IFERROR(AVERAGEIF(D21:F21,"&lt;&gt;0"),"")</f>
        <v>60000</v>
      </c>
      <c r="AB21" s="13" t="n">
        <f aca="false">IFERROR(AVERAGEIF(G21:K21,"&lt;&gt;0"),"")</f>
        <v>60000</v>
      </c>
      <c r="AC21" s="13" t="n">
        <f aca="false">IFERROR(AVERAGEIF(L21:P21,"&lt;&gt;0"),"")</f>
        <v>60000</v>
      </c>
      <c r="AD21" s="13" t="n">
        <f aca="false">IFERROR(AVERAGEIF(Q21:U21,"&lt;&gt;0"),"")</f>
        <v>60000</v>
      </c>
      <c r="AE21" s="13" t="n">
        <f aca="false">IFERROR(AVERAGEIF(V21:Z21,"&lt;&gt;0"),"")</f>
        <v>60000</v>
      </c>
      <c r="AF21" s="13" t="n">
        <f aca="false">IFERROR(AVERAGEIF(D21:Z21,"&lt;&gt;0"),"")</f>
        <v>60000</v>
      </c>
    </row>
    <row r="22" customFormat="false" ht="15" hidden="false" customHeight="false" outlineLevel="0" collapsed="false">
      <c r="A22" s="3" t="n">
        <v>18</v>
      </c>
      <c r="B22" s="3" t="s">
        <v>432</v>
      </c>
      <c r="C22" s="3" t="s">
        <v>471</v>
      </c>
      <c r="D22" s="32" t="n">
        <v>55000</v>
      </c>
      <c r="E22" s="32" t="n">
        <v>55000</v>
      </c>
      <c r="F22" s="32" t="n">
        <v>55000</v>
      </c>
      <c r="G22" s="32" t="n">
        <v>55000</v>
      </c>
      <c r="H22" s="32" t="n">
        <v>55000</v>
      </c>
      <c r="I22" s="32" t="n">
        <v>55000</v>
      </c>
      <c r="J22" s="32" t="n">
        <v>55000</v>
      </c>
      <c r="K22" s="32" t="n">
        <v>55000</v>
      </c>
      <c r="L22" s="32" t="n">
        <v>55000</v>
      </c>
      <c r="M22" s="32" t="n">
        <v>55000</v>
      </c>
      <c r="N22" s="32" t="n">
        <v>55000</v>
      </c>
      <c r="O22" s="32" t="n">
        <v>55000</v>
      </c>
      <c r="P22" s="32" t="n">
        <v>55000</v>
      </c>
      <c r="Q22" s="32" t="n">
        <v>55000</v>
      </c>
      <c r="R22" s="32" t="n">
        <v>55000</v>
      </c>
      <c r="S22" s="32" t="n">
        <v>55000</v>
      </c>
      <c r="T22" s="32" t="n">
        <v>55000</v>
      </c>
      <c r="U22" s="32" t="n">
        <v>55000</v>
      </c>
      <c r="V22" s="32" t="n">
        <v>55000</v>
      </c>
      <c r="W22" s="32" t="n">
        <v>55000</v>
      </c>
      <c r="X22" s="32" t="n">
        <v>55000</v>
      </c>
      <c r="Y22" s="32" t="n">
        <v>55000</v>
      </c>
      <c r="Z22" s="32" t="n">
        <v>55000</v>
      </c>
      <c r="AA22" s="13" t="n">
        <f aca="false">IFERROR(AVERAGEIF(D22:F22,"&lt;&gt;0"),"")</f>
        <v>55000</v>
      </c>
      <c r="AB22" s="13" t="n">
        <f aca="false">IFERROR(AVERAGEIF(G22:K22,"&lt;&gt;0"),"")</f>
        <v>55000</v>
      </c>
      <c r="AC22" s="13" t="n">
        <f aca="false">IFERROR(AVERAGEIF(L22:P22,"&lt;&gt;0"),"")</f>
        <v>55000</v>
      </c>
      <c r="AD22" s="13" t="n">
        <f aca="false">IFERROR(AVERAGEIF(Q22:U22,"&lt;&gt;0"),"")</f>
        <v>55000</v>
      </c>
      <c r="AE22" s="13" t="n">
        <f aca="false">IFERROR(AVERAGEIF(V22:Z22,"&lt;&gt;0"),"")</f>
        <v>55000</v>
      </c>
      <c r="AF22" s="13" t="n">
        <f aca="false">IFERROR(AVERAGEIF(D22:Z22,"&lt;&gt;0"),"")</f>
        <v>55000</v>
      </c>
    </row>
    <row r="23" customFormat="false" ht="15" hidden="false" customHeight="false" outlineLevel="0" collapsed="false">
      <c r="A23" s="3" t="n">
        <v>19</v>
      </c>
      <c r="B23" s="3" t="s">
        <v>473</v>
      </c>
      <c r="C23" s="3" t="s">
        <v>471</v>
      </c>
      <c r="D23" s="32" t="n">
        <v>28000</v>
      </c>
      <c r="E23" s="32" t="n">
        <v>28000</v>
      </c>
      <c r="F23" s="32" t="n">
        <v>28000</v>
      </c>
      <c r="G23" s="32" t="n">
        <v>28000</v>
      </c>
      <c r="H23" s="32" t="n">
        <v>28000</v>
      </c>
      <c r="I23" s="32" t="n">
        <v>28000</v>
      </c>
      <c r="J23" s="32" t="n">
        <v>28000</v>
      </c>
      <c r="K23" s="32" t="n">
        <v>28000</v>
      </c>
      <c r="L23" s="32" t="n">
        <v>28000</v>
      </c>
      <c r="M23" s="32" t="n">
        <v>28000</v>
      </c>
      <c r="N23" s="32" t="n">
        <v>28000</v>
      </c>
      <c r="O23" s="32" t="n">
        <v>28000</v>
      </c>
      <c r="P23" s="32" t="n">
        <v>28000</v>
      </c>
      <c r="Q23" s="32" t="n">
        <v>28000</v>
      </c>
      <c r="R23" s="32" t="n">
        <v>28000</v>
      </c>
      <c r="S23" s="32" t="n">
        <v>28000</v>
      </c>
      <c r="T23" s="32" t="n">
        <v>28000</v>
      </c>
      <c r="U23" s="32" t="n">
        <v>28000</v>
      </c>
      <c r="V23" s="32" t="n">
        <v>28000</v>
      </c>
      <c r="W23" s="32" t="n">
        <v>28000</v>
      </c>
      <c r="X23" s="32" t="n">
        <v>28000</v>
      </c>
      <c r="Y23" s="32" t="n">
        <v>28000</v>
      </c>
      <c r="Z23" s="32" t="n">
        <v>28000</v>
      </c>
      <c r="AA23" s="13" t="n">
        <f aca="false">IFERROR(AVERAGEIF(D23:F23,"&lt;&gt;0"),"")</f>
        <v>28000</v>
      </c>
      <c r="AB23" s="13" t="n">
        <f aca="false">IFERROR(AVERAGEIF(G23:K23,"&lt;&gt;0"),"")</f>
        <v>28000</v>
      </c>
      <c r="AC23" s="13" t="n">
        <f aca="false">IFERROR(AVERAGEIF(L23:P23,"&lt;&gt;0"),"")</f>
        <v>28000</v>
      </c>
      <c r="AD23" s="13" t="n">
        <f aca="false">IFERROR(AVERAGEIF(Q23:U23,"&lt;&gt;0"),"")</f>
        <v>28000</v>
      </c>
      <c r="AE23" s="13" t="n">
        <f aca="false">IFERROR(AVERAGEIF(V23:Z23,"&lt;&gt;0"),"")</f>
        <v>28000</v>
      </c>
      <c r="AF23" s="13" t="n">
        <f aca="false">IFERROR(AVERAGEIF(D23:Z23,"&lt;&gt;0"),"")</f>
        <v>28000</v>
      </c>
    </row>
    <row r="24" customFormat="false" ht="15" hidden="false" customHeight="false" outlineLevel="0" collapsed="false">
      <c r="A24" s="3" t="n">
        <v>20</v>
      </c>
      <c r="B24" s="3" t="s">
        <v>421</v>
      </c>
      <c r="C24" s="3" t="s">
        <v>471</v>
      </c>
      <c r="D24" s="32" t="n">
        <v>28000</v>
      </c>
      <c r="E24" s="32" t="n">
        <v>28000</v>
      </c>
      <c r="F24" s="32" t="n">
        <v>28000</v>
      </c>
      <c r="G24" s="32" t="n">
        <v>28000</v>
      </c>
      <c r="H24" s="32" t="n">
        <v>28000</v>
      </c>
      <c r="I24" s="32" t="n">
        <v>28000</v>
      </c>
      <c r="J24" s="32" t="n">
        <v>28000</v>
      </c>
      <c r="K24" s="32" t="n">
        <v>28000</v>
      </c>
      <c r="L24" s="32" t="n">
        <v>28000</v>
      </c>
      <c r="M24" s="32" t="n">
        <v>28000</v>
      </c>
      <c r="N24" s="32" t="n">
        <v>28000</v>
      </c>
      <c r="O24" s="32" t="n">
        <v>28000</v>
      </c>
      <c r="P24" s="32" t="n">
        <v>28000</v>
      </c>
      <c r="Q24" s="32" t="n">
        <v>28000</v>
      </c>
      <c r="R24" s="32" t="n">
        <v>28000</v>
      </c>
      <c r="S24" s="32" t="n">
        <v>28000</v>
      </c>
      <c r="T24" s="32" t="n">
        <v>28000</v>
      </c>
      <c r="U24" s="32" t="n">
        <v>28000</v>
      </c>
      <c r="V24" s="32" t="n">
        <v>28000</v>
      </c>
      <c r="W24" s="32" t="n">
        <v>28000</v>
      </c>
      <c r="X24" s="32" t="n">
        <v>28000</v>
      </c>
      <c r="Y24" s="32" t="n">
        <v>28000</v>
      </c>
      <c r="Z24" s="32" t="n">
        <v>28000</v>
      </c>
      <c r="AA24" s="13" t="n">
        <f aca="false">IFERROR(AVERAGEIF(D24:F24,"&lt;&gt;0"),"")</f>
        <v>28000</v>
      </c>
      <c r="AB24" s="13" t="n">
        <f aca="false">IFERROR(AVERAGEIF(G24:K24,"&lt;&gt;0"),"")</f>
        <v>28000</v>
      </c>
      <c r="AC24" s="13" t="n">
        <f aca="false">IFERROR(AVERAGEIF(L24:P24,"&lt;&gt;0"),"")</f>
        <v>28000</v>
      </c>
      <c r="AD24" s="13" t="n">
        <f aca="false">IFERROR(AVERAGEIF(Q24:U24,"&lt;&gt;0"),"")</f>
        <v>28000</v>
      </c>
      <c r="AE24" s="13" t="n">
        <f aca="false">IFERROR(AVERAGEIF(V24:Z24,"&lt;&gt;0"),"")</f>
        <v>28000</v>
      </c>
      <c r="AF24" s="13" t="n">
        <f aca="false">IFERROR(AVERAGEIF(D24:Z24,"&lt;&gt;0"),"")</f>
        <v>28000</v>
      </c>
    </row>
    <row r="25" customFormat="false" ht="15" hidden="false" customHeight="false" outlineLevel="0" collapsed="false">
      <c r="A25" s="3" t="n">
        <v>21</v>
      </c>
      <c r="B25" s="3" t="s">
        <v>474</v>
      </c>
      <c r="C25" s="3" t="s">
        <v>471</v>
      </c>
      <c r="D25" s="32" t="n">
        <v>60000</v>
      </c>
      <c r="E25" s="32" t="n">
        <v>60000</v>
      </c>
      <c r="F25" s="32" t="n">
        <v>60000</v>
      </c>
      <c r="G25" s="32" t="n">
        <v>60000</v>
      </c>
      <c r="H25" s="32" t="n">
        <v>60000</v>
      </c>
      <c r="I25" s="32" t="n">
        <v>60000</v>
      </c>
      <c r="J25" s="32" t="n">
        <v>60000</v>
      </c>
      <c r="K25" s="32" t="n">
        <v>60000</v>
      </c>
      <c r="L25" s="32" t="n">
        <v>60000</v>
      </c>
      <c r="M25" s="32" t="n">
        <v>60000</v>
      </c>
      <c r="N25" s="32" t="n">
        <v>60000</v>
      </c>
      <c r="O25" s="32" t="n">
        <v>60000</v>
      </c>
      <c r="P25" s="32" t="n">
        <v>60000</v>
      </c>
      <c r="Q25" s="32" t="n">
        <v>60000</v>
      </c>
      <c r="R25" s="32" t="n">
        <v>60000</v>
      </c>
      <c r="S25" s="32" t="n">
        <v>60000</v>
      </c>
      <c r="T25" s="32" t="n">
        <v>60000</v>
      </c>
      <c r="U25" s="32" t="n">
        <v>60000</v>
      </c>
      <c r="V25" s="32" t="n">
        <v>60000</v>
      </c>
      <c r="W25" s="32" t="n">
        <v>60000</v>
      </c>
      <c r="X25" s="32" t="n">
        <v>60000</v>
      </c>
      <c r="Y25" s="32" t="n">
        <v>60000</v>
      </c>
      <c r="Z25" s="32" t="n">
        <v>60000</v>
      </c>
      <c r="AA25" s="13" t="n">
        <f aca="false">IFERROR(AVERAGEIF(D25:F25,"&lt;&gt;0"),"")</f>
        <v>60000</v>
      </c>
      <c r="AB25" s="13" t="n">
        <f aca="false">IFERROR(AVERAGEIF(G25:K25,"&lt;&gt;0"),"")</f>
        <v>60000</v>
      </c>
      <c r="AC25" s="13" t="n">
        <f aca="false">IFERROR(AVERAGEIF(L25:P25,"&lt;&gt;0"),"")</f>
        <v>60000</v>
      </c>
      <c r="AD25" s="13" t="n">
        <f aca="false">IFERROR(AVERAGEIF(Q25:U25,"&lt;&gt;0"),"")</f>
        <v>60000</v>
      </c>
      <c r="AE25" s="13" t="n">
        <f aca="false">IFERROR(AVERAGEIF(V25:Z25,"&lt;&gt;0"),"")</f>
        <v>60000</v>
      </c>
      <c r="AF25" s="13" t="n">
        <f aca="false">IFERROR(AVERAGEIF(D25:Z25,"&lt;&gt;0"),"")</f>
        <v>60000</v>
      </c>
    </row>
    <row r="26" customFormat="false" ht="15" hidden="false" customHeight="false" outlineLevel="0" collapsed="false">
      <c r="A26" s="3" t="n">
        <v>22</v>
      </c>
      <c r="B26" s="3" t="s">
        <v>426</v>
      </c>
      <c r="C26" s="3" t="s">
        <v>471</v>
      </c>
      <c r="D26" s="32" t="n">
        <v>2800</v>
      </c>
      <c r="E26" s="32" t="n">
        <v>2800</v>
      </c>
      <c r="F26" s="32" t="n">
        <v>2800</v>
      </c>
      <c r="G26" s="32" t="n">
        <v>2800</v>
      </c>
      <c r="H26" s="32" t="n">
        <v>2800</v>
      </c>
      <c r="I26" s="32" t="n">
        <v>2800</v>
      </c>
      <c r="J26" s="32" t="n">
        <v>2800</v>
      </c>
      <c r="K26" s="32" t="n">
        <v>2800</v>
      </c>
      <c r="L26" s="32" t="n">
        <v>2800</v>
      </c>
      <c r="M26" s="32" t="n">
        <v>2800</v>
      </c>
      <c r="N26" s="32" t="n">
        <v>2800</v>
      </c>
      <c r="O26" s="32" t="n">
        <v>2800</v>
      </c>
      <c r="P26" s="32" t="n">
        <v>2800</v>
      </c>
      <c r="Q26" s="32" t="n">
        <v>2800</v>
      </c>
      <c r="R26" s="32" t="n">
        <v>2800</v>
      </c>
      <c r="S26" s="32" t="n">
        <v>2800</v>
      </c>
      <c r="T26" s="32" t="n">
        <v>2800</v>
      </c>
      <c r="U26" s="32" t="n">
        <v>2800</v>
      </c>
      <c r="V26" s="32" t="n">
        <v>2800</v>
      </c>
      <c r="W26" s="32" t="n">
        <v>2800</v>
      </c>
      <c r="X26" s="32" t="n">
        <v>2800</v>
      </c>
      <c r="Y26" s="32" t="n">
        <v>2800</v>
      </c>
      <c r="Z26" s="32" t="n">
        <v>2800</v>
      </c>
      <c r="AA26" s="13" t="n">
        <f aca="false">IFERROR(AVERAGEIF(D26:F26,"&lt;&gt;0"),"")</f>
        <v>2800</v>
      </c>
      <c r="AB26" s="13" t="n">
        <f aca="false">IFERROR(AVERAGEIF(G26:K26,"&lt;&gt;0"),"")</f>
        <v>2800</v>
      </c>
      <c r="AC26" s="13" t="n">
        <f aca="false">IFERROR(AVERAGEIF(L26:P26,"&lt;&gt;0"),"")</f>
        <v>2800</v>
      </c>
      <c r="AD26" s="13" t="n">
        <f aca="false">IFERROR(AVERAGEIF(Q26:U26,"&lt;&gt;0"),"")</f>
        <v>2800</v>
      </c>
      <c r="AE26" s="13" t="n">
        <f aca="false">IFERROR(AVERAGEIF(V26:Z26,"&lt;&gt;0"),"")</f>
        <v>2800</v>
      </c>
      <c r="AF26" s="13" t="n">
        <f aca="false">IFERROR(AVERAGEIF(D26:Z26,"&lt;&gt;0"),"")</f>
        <v>2800</v>
      </c>
    </row>
    <row r="27" customFormat="false" ht="15" hidden="false" customHeight="false" outlineLevel="0" collapsed="false">
      <c r="A27" s="3" t="n">
        <v>23</v>
      </c>
      <c r="B27" s="3" t="s">
        <v>424</v>
      </c>
      <c r="C27" s="3" t="s">
        <v>471</v>
      </c>
      <c r="D27" s="32" t="n">
        <v>24000</v>
      </c>
      <c r="E27" s="32" t="n">
        <v>24000</v>
      </c>
      <c r="F27" s="32" t="n">
        <v>24000</v>
      </c>
      <c r="G27" s="32" t="n">
        <v>24000</v>
      </c>
      <c r="H27" s="32" t="n">
        <v>24000</v>
      </c>
      <c r="I27" s="32" t="n">
        <v>24000</v>
      </c>
      <c r="J27" s="32" t="n">
        <v>24000</v>
      </c>
      <c r="K27" s="32" t="n">
        <v>22000</v>
      </c>
      <c r="L27" s="32" t="n">
        <v>22000</v>
      </c>
      <c r="M27" s="32" t="n">
        <v>22000</v>
      </c>
      <c r="N27" s="32" t="n">
        <v>22000</v>
      </c>
      <c r="O27" s="32" t="n">
        <v>22000</v>
      </c>
      <c r="P27" s="32" t="n">
        <v>22000</v>
      </c>
      <c r="Q27" s="32" t="n">
        <v>22000</v>
      </c>
      <c r="R27" s="32" t="n">
        <v>22000</v>
      </c>
      <c r="S27" s="32" t="n">
        <v>24000</v>
      </c>
      <c r="T27" s="32" t="n">
        <v>24000</v>
      </c>
      <c r="U27" s="32" t="n">
        <v>24000</v>
      </c>
      <c r="V27" s="32" t="n">
        <v>24000</v>
      </c>
      <c r="W27" s="32" t="n">
        <v>24000</v>
      </c>
      <c r="X27" s="32" t="n">
        <v>24000</v>
      </c>
      <c r="Y27" s="32" t="n">
        <v>24000</v>
      </c>
      <c r="Z27" s="32" t="n">
        <v>24000</v>
      </c>
      <c r="AA27" s="13" t="n">
        <f aca="false">IFERROR(AVERAGEIF(D27:F27,"&lt;&gt;0"),"")</f>
        <v>24000</v>
      </c>
      <c r="AB27" s="13" t="n">
        <f aca="false">IFERROR(AVERAGEIF(G27:K27,"&lt;&gt;0"),"")</f>
        <v>23600</v>
      </c>
      <c r="AC27" s="13" t="n">
        <f aca="false">IFERROR(AVERAGEIF(L27:P27,"&lt;&gt;0"),"")</f>
        <v>22000</v>
      </c>
      <c r="AD27" s="13" t="n">
        <f aca="false">IFERROR(AVERAGEIF(Q27:U27,"&lt;&gt;0"),"")</f>
        <v>23200</v>
      </c>
      <c r="AE27" s="13" t="n">
        <f aca="false">IFERROR(AVERAGEIF(V27:Z27,"&lt;&gt;0"),"")</f>
        <v>24000</v>
      </c>
      <c r="AF27" s="13" t="n">
        <f aca="false">IFERROR(AVERAGEIF(D27:Z27,"&lt;&gt;0"),"")</f>
        <v>23304.347826087</v>
      </c>
    </row>
    <row r="28" customFormat="false" ht="15" hidden="false" customHeight="false" outlineLevel="0" collapsed="false">
      <c r="A28" s="3" t="n">
        <v>24</v>
      </c>
      <c r="B28" s="3" t="s">
        <v>425</v>
      </c>
      <c r="C28" s="3" t="s">
        <v>471</v>
      </c>
      <c r="D28" s="32" t="n">
        <v>30000</v>
      </c>
      <c r="E28" s="32" t="n">
        <v>30000</v>
      </c>
      <c r="F28" s="32" t="n">
        <v>30000</v>
      </c>
      <c r="G28" s="32" t="n">
        <v>30000</v>
      </c>
      <c r="H28" s="32" t="n">
        <v>30000</v>
      </c>
      <c r="I28" s="32" t="n">
        <v>30000</v>
      </c>
      <c r="J28" s="32" t="n">
        <v>30000</v>
      </c>
      <c r="K28" s="32" t="n">
        <v>30000</v>
      </c>
      <c r="L28" s="32" t="n">
        <v>30000</v>
      </c>
      <c r="M28" s="32" t="n">
        <v>30000</v>
      </c>
      <c r="N28" s="32" t="n">
        <v>30000</v>
      </c>
      <c r="O28" s="32" t="n">
        <v>30000</v>
      </c>
      <c r="P28" s="32" t="n">
        <v>30000</v>
      </c>
      <c r="Q28" s="32" t="n">
        <v>30000</v>
      </c>
      <c r="R28" s="32" t="n">
        <v>30000</v>
      </c>
      <c r="S28" s="32" t="n">
        <v>30000</v>
      </c>
      <c r="T28" s="32" t="n">
        <v>30000</v>
      </c>
      <c r="U28" s="32" t="n">
        <v>30000</v>
      </c>
      <c r="V28" s="32" t="n">
        <v>30000</v>
      </c>
      <c r="W28" s="32" t="n">
        <v>30000</v>
      </c>
      <c r="X28" s="32" t="n">
        <v>30000</v>
      </c>
      <c r="Y28" s="32" t="n">
        <v>30000</v>
      </c>
      <c r="Z28" s="32" t="n">
        <v>30000</v>
      </c>
      <c r="AA28" s="13" t="n">
        <f aca="false">IFERROR(AVERAGEIF(D28:F28,"&lt;&gt;0"),"")</f>
        <v>30000</v>
      </c>
      <c r="AB28" s="13" t="n">
        <f aca="false">IFERROR(AVERAGEIF(G28:K28,"&lt;&gt;0"),"")</f>
        <v>30000</v>
      </c>
      <c r="AC28" s="13" t="n">
        <f aca="false">IFERROR(AVERAGEIF(L28:P28,"&lt;&gt;0"),"")</f>
        <v>30000</v>
      </c>
      <c r="AD28" s="13" t="n">
        <f aca="false">IFERROR(AVERAGEIF(Q28:U28,"&lt;&gt;0"),"")</f>
        <v>30000</v>
      </c>
      <c r="AE28" s="13" t="n">
        <f aca="false">IFERROR(AVERAGEIF(V28:Z28,"&lt;&gt;0"),"")</f>
        <v>30000</v>
      </c>
      <c r="AF28" s="13" t="n">
        <f aca="false">IFERROR(AVERAGEIF(D28:Z28,"&lt;&gt;0"),"")</f>
        <v>30000</v>
      </c>
    </row>
    <row r="29" customFormat="false" ht="15" hidden="false" customHeight="false" outlineLevel="0" collapsed="false">
      <c r="A29" s="3" t="n">
        <v>25</v>
      </c>
      <c r="B29" s="3" t="s">
        <v>475</v>
      </c>
      <c r="C29" s="3" t="s">
        <v>471</v>
      </c>
      <c r="D29" s="32" t="n">
        <v>27000</v>
      </c>
      <c r="E29" s="32" t="n">
        <v>27000</v>
      </c>
      <c r="F29" s="32" t="n">
        <v>27000</v>
      </c>
      <c r="G29" s="32" t="n">
        <v>27000</v>
      </c>
      <c r="H29" s="32" t="n">
        <v>27000</v>
      </c>
      <c r="I29" s="32" t="n">
        <v>27000</v>
      </c>
      <c r="J29" s="32" t="n">
        <v>27000</v>
      </c>
      <c r="K29" s="32" t="n">
        <v>27000</v>
      </c>
      <c r="L29" s="32" t="n">
        <v>27000</v>
      </c>
      <c r="M29" s="32" t="n">
        <v>27000</v>
      </c>
      <c r="N29" s="32" t="n">
        <v>27000</v>
      </c>
      <c r="O29" s="32" t="n">
        <v>27000</v>
      </c>
      <c r="P29" s="32" t="n">
        <v>27000</v>
      </c>
      <c r="Q29" s="32" t="n">
        <v>27000</v>
      </c>
      <c r="R29" s="32" t="n">
        <v>27000</v>
      </c>
      <c r="S29" s="32" t="n">
        <v>27000</v>
      </c>
      <c r="T29" s="32" t="n">
        <v>27000</v>
      </c>
      <c r="U29" s="32" t="n">
        <v>27000</v>
      </c>
      <c r="V29" s="32" t="n">
        <v>27000</v>
      </c>
      <c r="W29" s="32" t="n">
        <v>27000</v>
      </c>
      <c r="X29" s="32" t="n">
        <v>27000</v>
      </c>
      <c r="Y29" s="32" t="n">
        <v>27000</v>
      </c>
      <c r="Z29" s="32" t="n">
        <v>27000</v>
      </c>
      <c r="AA29" s="13" t="n">
        <f aca="false">IFERROR(AVERAGEIF(D29:F29,"&lt;&gt;0"),"")</f>
        <v>27000</v>
      </c>
      <c r="AB29" s="13" t="n">
        <f aca="false">IFERROR(AVERAGEIF(G29:K29,"&lt;&gt;0"),"")</f>
        <v>27000</v>
      </c>
      <c r="AC29" s="13" t="n">
        <f aca="false">IFERROR(AVERAGEIF(L29:P29,"&lt;&gt;0"),"")</f>
        <v>27000</v>
      </c>
      <c r="AD29" s="13" t="n">
        <f aca="false">IFERROR(AVERAGEIF(Q29:U29,"&lt;&gt;0"),"")</f>
        <v>27000</v>
      </c>
      <c r="AE29" s="13" t="n">
        <f aca="false">IFERROR(AVERAGEIF(V29:Z29,"&lt;&gt;0"),"")</f>
        <v>27000</v>
      </c>
      <c r="AF29" s="13" t="n">
        <f aca="false">IFERROR(AVERAGEIF(D29:Z29,"&lt;&gt;0"),"")</f>
        <v>27000</v>
      </c>
    </row>
    <row r="30" customFormat="false" ht="15" hidden="false" customHeight="false" outlineLevel="0" collapsed="false">
      <c r="A30" s="3" t="n">
        <v>26</v>
      </c>
      <c r="B30" s="3" t="s">
        <v>476</v>
      </c>
      <c r="C30" s="3" t="s">
        <v>471</v>
      </c>
      <c r="D30" s="32" t="n">
        <v>8000</v>
      </c>
      <c r="E30" s="32" t="n">
        <v>8000</v>
      </c>
      <c r="F30" s="32" t="n">
        <v>8000</v>
      </c>
      <c r="G30" s="32" t="n">
        <v>8000</v>
      </c>
      <c r="H30" s="32" t="n">
        <v>8000</v>
      </c>
      <c r="I30" s="32" t="n">
        <v>8000</v>
      </c>
      <c r="J30" s="32" t="n">
        <v>8000</v>
      </c>
      <c r="K30" s="32" t="n">
        <v>8000</v>
      </c>
      <c r="L30" s="32" t="n">
        <v>8000</v>
      </c>
      <c r="M30" s="32" t="n">
        <v>8000</v>
      </c>
      <c r="N30" s="32" t="n">
        <v>8000</v>
      </c>
      <c r="O30" s="32" t="n">
        <v>8000</v>
      </c>
      <c r="P30" s="32" t="n">
        <v>8000</v>
      </c>
      <c r="Q30" s="32" t="n">
        <v>8000</v>
      </c>
      <c r="R30" s="32" t="n">
        <v>8000</v>
      </c>
      <c r="S30" s="32" t="n">
        <v>8000</v>
      </c>
      <c r="T30" s="32" t="n">
        <v>8000</v>
      </c>
      <c r="U30" s="32" t="n">
        <v>8000</v>
      </c>
      <c r="V30" s="32" t="n">
        <v>8000</v>
      </c>
      <c r="W30" s="32" t="n">
        <v>8000</v>
      </c>
      <c r="X30" s="32" t="n">
        <v>8000</v>
      </c>
      <c r="Y30" s="32" t="n">
        <v>8000</v>
      </c>
      <c r="Z30" s="32" t="n">
        <v>8000</v>
      </c>
      <c r="AA30" s="13" t="n">
        <f aca="false">IFERROR(AVERAGEIF(D30:F30,"&lt;&gt;0"),"")</f>
        <v>8000</v>
      </c>
      <c r="AB30" s="13" t="n">
        <f aca="false">IFERROR(AVERAGEIF(G30:K30,"&lt;&gt;0"),"")</f>
        <v>8000</v>
      </c>
      <c r="AC30" s="13" t="n">
        <f aca="false">IFERROR(AVERAGEIF(L30:P30,"&lt;&gt;0"),"")</f>
        <v>8000</v>
      </c>
      <c r="AD30" s="13" t="n">
        <f aca="false">IFERROR(AVERAGEIF(Q30:U30,"&lt;&gt;0"),"")</f>
        <v>8000</v>
      </c>
      <c r="AE30" s="13" t="n">
        <f aca="false">IFERROR(AVERAGEIF(V30:Z30,"&lt;&gt;0"),"")</f>
        <v>8000</v>
      </c>
      <c r="AF30" s="13" t="n">
        <f aca="false">IFERROR(AVERAGEIF(D30:Z30,"&lt;&gt;0"),"")</f>
        <v>8000</v>
      </c>
    </row>
    <row r="31" customFormat="false" ht="15" hidden="false" customHeight="false" outlineLevel="0" collapsed="false">
      <c r="A31" s="3" t="n">
        <v>27</v>
      </c>
      <c r="B31" s="3" t="s">
        <v>427</v>
      </c>
      <c r="C31" s="3" t="s">
        <v>471</v>
      </c>
      <c r="D31" s="32" t="n">
        <v>10500</v>
      </c>
      <c r="E31" s="32" t="n">
        <v>10500</v>
      </c>
      <c r="F31" s="32" t="n">
        <v>10500</v>
      </c>
      <c r="G31" s="32" t="n">
        <v>10500</v>
      </c>
      <c r="H31" s="32" t="n">
        <v>10500</v>
      </c>
      <c r="I31" s="32" t="n">
        <v>10500</v>
      </c>
      <c r="J31" s="32" t="n">
        <v>10500</v>
      </c>
      <c r="K31" s="32" t="n">
        <v>10500</v>
      </c>
      <c r="L31" s="32" t="n">
        <v>10500</v>
      </c>
      <c r="M31" s="32" t="n">
        <v>10500</v>
      </c>
      <c r="N31" s="32" t="n">
        <v>10500</v>
      </c>
      <c r="O31" s="32" t="n">
        <v>10500</v>
      </c>
      <c r="P31" s="32" t="n">
        <v>10500</v>
      </c>
      <c r="Q31" s="32" t="n">
        <v>10500</v>
      </c>
      <c r="R31" s="32" t="n">
        <v>10500</v>
      </c>
      <c r="S31" s="32" t="n">
        <v>10500</v>
      </c>
      <c r="T31" s="32" t="n">
        <v>10500</v>
      </c>
      <c r="U31" s="32" t="n">
        <v>10500</v>
      </c>
      <c r="V31" s="32" t="n">
        <v>10500</v>
      </c>
      <c r="W31" s="32" t="n">
        <v>10500</v>
      </c>
      <c r="X31" s="32" t="n">
        <v>10500</v>
      </c>
      <c r="Y31" s="32" t="n">
        <v>10500</v>
      </c>
      <c r="Z31" s="32" t="n">
        <v>10500</v>
      </c>
      <c r="AA31" s="13" t="n">
        <f aca="false">IFERROR(AVERAGEIF(D31:F31,"&lt;&gt;0"),"")</f>
        <v>10500</v>
      </c>
      <c r="AB31" s="13" t="n">
        <f aca="false">IFERROR(AVERAGEIF(G31:K31,"&lt;&gt;0"),"")</f>
        <v>10500</v>
      </c>
      <c r="AC31" s="13" t="n">
        <f aca="false">IFERROR(AVERAGEIF(L31:P31,"&lt;&gt;0"),"")</f>
        <v>10500</v>
      </c>
      <c r="AD31" s="13" t="n">
        <f aca="false">IFERROR(AVERAGEIF(Q31:U31,"&lt;&gt;0"),"")</f>
        <v>10500</v>
      </c>
      <c r="AE31" s="13" t="n">
        <f aca="false">IFERROR(AVERAGEIF(V31:Z31,"&lt;&gt;0"),"")</f>
        <v>10500</v>
      </c>
      <c r="AF31" s="13" t="n">
        <f aca="false">IFERROR(AVERAGEIF(D31:Z31,"&lt;&gt;0"),"")</f>
        <v>10500</v>
      </c>
    </row>
    <row r="32" customFormat="false" ht="15" hidden="false" customHeight="false" outlineLevel="0" collapsed="false">
      <c r="A32" s="3" t="n">
        <v>28</v>
      </c>
      <c r="B32" s="3" t="s">
        <v>422</v>
      </c>
      <c r="C32" s="3" t="s">
        <v>471</v>
      </c>
      <c r="D32" s="32" t="n">
        <v>42000</v>
      </c>
      <c r="E32" s="32" t="n">
        <v>42000</v>
      </c>
      <c r="F32" s="32" t="n">
        <v>42000</v>
      </c>
      <c r="G32" s="32" t="n">
        <v>42000</v>
      </c>
      <c r="H32" s="32" t="n">
        <v>42000</v>
      </c>
      <c r="I32" s="32" t="n">
        <v>42000</v>
      </c>
      <c r="J32" s="32" t="n">
        <v>42000</v>
      </c>
      <c r="K32" s="32" t="n">
        <v>42000</v>
      </c>
      <c r="L32" s="32" t="n">
        <v>42000</v>
      </c>
      <c r="M32" s="32" t="n">
        <v>42000</v>
      </c>
      <c r="N32" s="32" t="n">
        <v>42000</v>
      </c>
      <c r="O32" s="32" t="n">
        <v>42000</v>
      </c>
      <c r="P32" s="32" t="n">
        <v>42000</v>
      </c>
      <c r="Q32" s="32" t="n">
        <v>42000</v>
      </c>
      <c r="R32" s="32" t="n">
        <v>42000</v>
      </c>
      <c r="S32" s="32" t="n">
        <v>42000</v>
      </c>
      <c r="T32" s="32" t="n">
        <v>42000</v>
      </c>
      <c r="U32" s="32" t="n">
        <v>42000</v>
      </c>
      <c r="V32" s="32" t="n">
        <v>42000</v>
      </c>
      <c r="W32" s="32" t="n">
        <v>42000</v>
      </c>
      <c r="X32" s="32" t="n">
        <v>42000</v>
      </c>
      <c r="Y32" s="32" t="n">
        <v>42000</v>
      </c>
      <c r="Z32" s="32" t="n">
        <v>42000</v>
      </c>
      <c r="AA32" s="13" t="n">
        <f aca="false">IFERROR(AVERAGEIF(D32:F32,"&lt;&gt;0"),"")</f>
        <v>42000</v>
      </c>
      <c r="AB32" s="13" t="n">
        <f aca="false">IFERROR(AVERAGEIF(G32:K32,"&lt;&gt;0"),"")</f>
        <v>42000</v>
      </c>
      <c r="AC32" s="13" t="n">
        <f aca="false">IFERROR(AVERAGEIF(L32:P32,"&lt;&gt;0"),"")</f>
        <v>42000</v>
      </c>
      <c r="AD32" s="13" t="n">
        <f aca="false">IFERROR(AVERAGEIF(Q32:U32,"&lt;&gt;0"),"")</f>
        <v>42000</v>
      </c>
      <c r="AE32" s="13" t="n">
        <f aca="false">IFERROR(AVERAGEIF(V32:Z32,"&lt;&gt;0"),"")</f>
        <v>42000</v>
      </c>
      <c r="AF32" s="13" t="n">
        <f aca="false">IFERROR(AVERAGEIF(D32:Z32,"&lt;&gt;0"),"")</f>
        <v>42000</v>
      </c>
    </row>
    <row r="33" customFormat="false" ht="15" hidden="false" customHeight="false" outlineLevel="0" collapsed="false">
      <c r="A33" s="3" t="n">
        <v>29</v>
      </c>
      <c r="B33" s="3" t="s">
        <v>433</v>
      </c>
      <c r="C33" s="3" t="s">
        <v>471</v>
      </c>
      <c r="D33" s="32" t="n">
        <v>8000</v>
      </c>
      <c r="E33" s="32" t="n">
        <v>8000</v>
      </c>
      <c r="F33" s="32" t="n">
        <v>8000</v>
      </c>
      <c r="G33" s="32" t="n">
        <v>8000</v>
      </c>
      <c r="H33" s="32" t="n">
        <v>8000</v>
      </c>
      <c r="I33" s="32" t="n">
        <v>8000</v>
      </c>
      <c r="J33" s="32" t="n">
        <v>8000</v>
      </c>
      <c r="K33" s="32" t="n">
        <v>8000</v>
      </c>
      <c r="L33" s="32" t="n">
        <v>8000</v>
      </c>
      <c r="M33" s="32" t="n">
        <v>8000</v>
      </c>
      <c r="N33" s="32" t="n">
        <v>8000</v>
      </c>
      <c r="O33" s="32" t="n">
        <v>8000</v>
      </c>
      <c r="P33" s="32" t="n">
        <v>8000</v>
      </c>
      <c r="Q33" s="32" t="n">
        <v>8000</v>
      </c>
      <c r="R33" s="32" t="n">
        <v>8000</v>
      </c>
      <c r="S33" s="32" t="n">
        <v>8000</v>
      </c>
      <c r="T33" s="32" t="n">
        <v>8000</v>
      </c>
      <c r="U33" s="32" t="n">
        <v>8000</v>
      </c>
      <c r="V33" s="32" t="n">
        <v>8000</v>
      </c>
      <c r="W33" s="32" t="n">
        <v>8000</v>
      </c>
      <c r="X33" s="32" t="n">
        <v>8000</v>
      </c>
      <c r="Y33" s="32" t="n">
        <v>8000</v>
      </c>
      <c r="Z33" s="32" t="n">
        <v>8000</v>
      </c>
      <c r="AA33" s="13" t="n">
        <f aca="false">IFERROR(AVERAGEIF(D33:F33,"&lt;&gt;0"),"")</f>
        <v>8000</v>
      </c>
      <c r="AB33" s="13" t="n">
        <f aca="false">IFERROR(AVERAGEIF(G33:K33,"&lt;&gt;0"),"")</f>
        <v>8000</v>
      </c>
      <c r="AC33" s="13" t="n">
        <f aca="false">IFERROR(AVERAGEIF(L33:P33,"&lt;&gt;0"),"")</f>
        <v>8000</v>
      </c>
      <c r="AD33" s="13" t="n">
        <f aca="false">IFERROR(AVERAGEIF(Q33:U33,"&lt;&gt;0"),"")</f>
        <v>8000</v>
      </c>
      <c r="AE33" s="13" t="n">
        <f aca="false">IFERROR(AVERAGEIF(V33:Z33,"&lt;&gt;0"),"")</f>
        <v>8000</v>
      </c>
      <c r="AF33" s="13" t="n">
        <f aca="false">IFERROR(AVERAGEIF(D33:Z33,"&lt;&gt;0"),"")</f>
        <v>8000</v>
      </c>
    </row>
    <row r="34" customFormat="false" ht="15" hidden="false" customHeight="false" outlineLevel="0" collapsed="false">
      <c r="A34" s="3" t="n">
        <v>30</v>
      </c>
      <c r="B34" s="3" t="s">
        <v>411</v>
      </c>
      <c r="C34" s="3" t="s">
        <v>471</v>
      </c>
      <c r="D34" s="32" t="n">
        <v>6000</v>
      </c>
      <c r="E34" s="32" t="n">
        <v>6000</v>
      </c>
      <c r="F34" s="32" t="n">
        <v>6000</v>
      </c>
      <c r="G34" s="32" t="n">
        <v>6000</v>
      </c>
      <c r="H34" s="32" t="n">
        <v>6000</v>
      </c>
      <c r="I34" s="32" t="n">
        <v>6000</v>
      </c>
      <c r="J34" s="32" t="n">
        <v>6000</v>
      </c>
      <c r="K34" s="32" t="n">
        <v>6000</v>
      </c>
      <c r="L34" s="32" t="n">
        <v>6000</v>
      </c>
      <c r="M34" s="32" t="n">
        <v>6000</v>
      </c>
      <c r="N34" s="32" t="n">
        <v>6000</v>
      </c>
      <c r="O34" s="32" t="n">
        <v>6000</v>
      </c>
      <c r="P34" s="32" t="n">
        <v>6000</v>
      </c>
      <c r="Q34" s="32" t="n">
        <v>6000</v>
      </c>
      <c r="R34" s="32" t="n">
        <v>6000</v>
      </c>
      <c r="S34" s="32" t="n">
        <v>6000</v>
      </c>
      <c r="T34" s="32" t="n">
        <v>6000</v>
      </c>
      <c r="U34" s="32" t="n">
        <v>6000</v>
      </c>
      <c r="V34" s="32" t="n">
        <v>6000</v>
      </c>
      <c r="W34" s="32" t="n">
        <v>6000</v>
      </c>
      <c r="X34" s="32" t="n">
        <v>6000</v>
      </c>
      <c r="Y34" s="32" t="n">
        <v>6000</v>
      </c>
      <c r="Z34" s="32" t="n">
        <v>6000</v>
      </c>
      <c r="AA34" s="13" t="n">
        <f aca="false">IFERROR(AVERAGEIF(D34:F34,"&lt;&gt;0"),"")</f>
        <v>6000</v>
      </c>
      <c r="AB34" s="13" t="n">
        <f aca="false">IFERROR(AVERAGEIF(G34:K34,"&lt;&gt;0"),"")</f>
        <v>6000</v>
      </c>
      <c r="AC34" s="13" t="n">
        <f aca="false">IFERROR(AVERAGEIF(L34:P34,"&lt;&gt;0"),"")</f>
        <v>6000</v>
      </c>
      <c r="AD34" s="13" t="n">
        <f aca="false">IFERROR(AVERAGEIF(Q34:U34,"&lt;&gt;0"),"")</f>
        <v>6000</v>
      </c>
      <c r="AE34" s="13" t="n">
        <f aca="false">IFERROR(AVERAGEIF(V34:Z34,"&lt;&gt;0"),"")</f>
        <v>6000</v>
      </c>
      <c r="AF34" s="13" t="n">
        <f aca="false">IFERROR(AVERAGEIF(D34:Z34,"&lt;&gt;0"),"")</f>
        <v>6000</v>
      </c>
    </row>
    <row r="35" customFormat="false" ht="15" hidden="false" customHeight="false" outlineLevel="0" collapsed="false">
      <c r="A35" s="3" t="n">
        <v>31</v>
      </c>
      <c r="B35" s="3" t="s">
        <v>416</v>
      </c>
      <c r="C35" s="3" t="s">
        <v>471</v>
      </c>
      <c r="D35" s="32" t="n">
        <v>61000</v>
      </c>
      <c r="E35" s="32" t="n">
        <v>61000</v>
      </c>
      <c r="F35" s="32" t="n">
        <v>61000</v>
      </c>
      <c r="G35" s="32" t="n">
        <v>61000</v>
      </c>
      <c r="H35" s="32" t="n">
        <v>61000</v>
      </c>
      <c r="I35" s="32" t="n">
        <v>61000</v>
      </c>
      <c r="J35" s="32" t="n">
        <v>61000</v>
      </c>
      <c r="K35" s="32" t="n">
        <v>60000</v>
      </c>
      <c r="L35" s="32" t="n">
        <v>60000</v>
      </c>
      <c r="M35" s="32" t="n">
        <v>60000</v>
      </c>
      <c r="N35" s="32" t="n">
        <v>60000</v>
      </c>
      <c r="O35" s="32" t="n">
        <v>60000</v>
      </c>
      <c r="P35" s="32" t="n">
        <v>60000</v>
      </c>
      <c r="Q35" s="32" t="n">
        <v>60000</v>
      </c>
      <c r="R35" s="32" t="n">
        <v>60000</v>
      </c>
      <c r="S35" s="32" t="n">
        <v>61000</v>
      </c>
      <c r="T35" s="32" t="n">
        <v>61000</v>
      </c>
      <c r="U35" s="32" t="n">
        <v>61000</v>
      </c>
      <c r="V35" s="32" t="n">
        <v>61000</v>
      </c>
      <c r="W35" s="32" t="n">
        <v>61000</v>
      </c>
      <c r="X35" s="32" t="n">
        <v>61000</v>
      </c>
      <c r="Y35" s="32" t="n">
        <v>61000</v>
      </c>
      <c r="Z35" s="32" t="n">
        <v>61000</v>
      </c>
      <c r="AA35" s="13" t="n">
        <f aca="false">IFERROR(AVERAGEIF(D35:F35,"&lt;&gt;0"),"")</f>
        <v>61000</v>
      </c>
      <c r="AB35" s="13" t="n">
        <f aca="false">IFERROR(AVERAGEIF(G35:K35,"&lt;&gt;0"),"")</f>
        <v>60800</v>
      </c>
      <c r="AC35" s="13" t="n">
        <f aca="false">IFERROR(AVERAGEIF(L35:P35,"&lt;&gt;0"),"")</f>
        <v>60000</v>
      </c>
      <c r="AD35" s="13" t="n">
        <f aca="false">IFERROR(AVERAGEIF(Q35:U35,"&lt;&gt;0"),"")</f>
        <v>60600</v>
      </c>
      <c r="AE35" s="13" t="n">
        <f aca="false">IFERROR(AVERAGEIF(V35:Z35,"&lt;&gt;0"),"")</f>
        <v>61000</v>
      </c>
      <c r="AF35" s="13" t="n">
        <f aca="false">IFERROR(AVERAGEIF(D35:Z35,"&lt;&gt;0"),"")</f>
        <v>60652.1739130435</v>
      </c>
    </row>
    <row r="36" customFormat="false" ht="15" hidden="false" customHeight="false" outlineLevel="0" collapsed="false">
      <c r="A36" s="3" t="n">
        <v>32</v>
      </c>
      <c r="B36" s="3" t="s">
        <v>417</v>
      </c>
      <c r="C36" s="3" t="s">
        <v>471</v>
      </c>
      <c r="D36" s="32" t="n">
        <v>12000</v>
      </c>
      <c r="E36" s="32" t="n">
        <v>12000</v>
      </c>
      <c r="F36" s="32" t="n">
        <v>12000</v>
      </c>
      <c r="G36" s="32" t="n">
        <v>12000</v>
      </c>
      <c r="H36" s="32" t="n">
        <v>12000</v>
      </c>
      <c r="I36" s="32" t="n">
        <v>12000</v>
      </c>
      <c r="J36" s="32" t="n">
        <v>12000</v>
      </c>
      <c r="K36" s="32" t="n">
        <v>12000</v>
      </c>
      <c r="L36" s="32" t="n">
        <v>12000</v>
      </c>
      <c r="M36" s="32" t="n">
        <v>12000</v>
      </c>
      <c r="N36" s="32" t="n">
        <v>12000</v>
      </c>
      <c r="O36" s="32" t="n">
        <v>12000</v>
      </c>
      <c r="P36" s="32" t="n">
        <v>12000</v>
      </c>
      <c r="Q36" s="32" t="n">
        <v>12000</v>
      </c>
      <c r="R36" s="32" t="n">
        <v>12000</v>
      </c>
      <c r="S36" s="32" t="n">
        <v>12000</v>
      </c>
      <c r="T36" s="32" t="n">
        <v>12000</v>
      </c>
      <c r="U36" s="32" t="n">
        <v>12000</v>
      </c>
      <c r="V36" s="32" t="n">
        <v>12000</v>
      </c>
      <c r="W36" s="32" t="n">
        <v>12000</v>
      </c>
      <c r="X36" s="32" t="n">
        <v>12000</v>
      </c>
      <c r="Y36" s="32" t="n">
        <v>12000</v>
      </c>
      <c r="Z36" s="32" t="n">
        <v>12000</v>
      </c>
      <c r="AA36" s="13" t="n">
        <f aca="false">IFERROR(AVERAGEIF(D36:F36,"&lt;&gt;0"),"")</f>
        <v>12000</v>
      </c>
      <c r="AB36" s="13" t="n">
        <f aca="false">IFERROR(AVERAGEIF(G36:K36,"&lt;&gt;0"),"")</f>
        <v>12000</v>
      </c>
      <c r="AC36" s="13" t="n">
        <f aca="false">IFERROR(AVERAGEIF(L36:P36,"&lt;&gt;0"),"")</f>
        <v>12000</v>
      </c>
      <c r="AD36" s="13" t="n">
        <f aca="false">IFERROR(AVERAGEIF(Q36:U36,"&lt;&gt;0"),"")</f>
        <v>12000</v>
      </c>
      <c r="AE36" s="13" t="n">
        <f aca="false">IFERROR(AVERAGEIF(V36:Z36,"&lt;&gt;0"),"")</f>
        <v>12000</v>
      </c>
      <c r="AF36" s="13" t="n">
        <f aca="false">IFERROR(AVERAGEIF(D36:Z36,"&lt;&gt;0"),"")</f>
        <v>12000</v>
      </c>
    </row>
    <row r="37" customFormat="false" ht="15" hidden="false" customHeight="false" outlineLevel="0" collapsed="false">
      <c r="A37" s="3" t="n">
        <v>33</v>
      </c>
      <c r="B37" s="3" t="s">
        <v>434</v>
      </c>
      <c r="C37" s="3" t="s">
        <v>471</v>
      </c>
      <c r="D37" s="32" t="n">
        <v>8000</v>
      </c>
      <c r="E37" s="32" t="n">
        <v>8000</v>
      </c>
      <c r="F37" s="32" t="n">
        <v>8000</v>
      </c>
      <c r="G37" s="32" t="n">
        <v>8000</v>
      </c>
      <c r="H37" s="32" t="n">
        <v>8000</v>
      </c>
      <c r="I37" s="32" t="n">
        <v>8000</v>
      </c>
      <c r="J37" s="32" t="n">
        <v>8000</v>
      </c>
      <c r="K37" s="32" t="n">
        <v>8000</v>
      </c>
      <c r="L37" s="32" t="n">
        <v>8000</v>
      </c>
      <c r="M37" s="32" t="n">
        <v>8000</v>
      </c>
      <c r="N37" s="32" t="n">
        <v>8000</v>
      </c>
      <c r="O37" s="32" t="n">
        <v>8000</v>
      </c>
      <c r="P37" s="32" t="n">
        <v>8000</v>
      </c>
      <c r="Q37" s="32" t="n">
        <v>8000</v>
      </c>
      <c r="R37" s="32" t="n">
        <v>8000</v>
      </c>
      <c r="S37" s="32" t="n">
        <v>8000</v>
      </c>
      <c r="T37" s="32" t="n">
        <v>8000</v>
      </c>
      <c r="U37" s="32" t="n">
        <v>8000</v>
      </c>
      <c r="V37" s="32" t="n">
        <v>8000</v>
      </c>
      <c r="W37" s="32" t="n">
        <v>8000</v>
      </c>
      <c r="X37" s="32" t="n">
        <v>8000</v>
      </c>
      <c r="Y37" s="32" t="n">
        <v>8000</v>
      </c>
      <c r="Z37" s="32" t="n">
        <v>8000</v>
      </c>
      <c r="AA37" s="13" t="n">
        <f aca="false">IFERROR(AVERAGEIF(D37:F37,"&lt;&gt;0"),"")</f>
        <v>8000</v>
      </c>
      <c r="AB37" s="13" t="n">
        <f aca="false">IFERROR(AVERAGEIF(G37:K37,"&lt;&gt;0"),"")</f>
        <v>8000</v>
      </c>
      <c r="AC37" s="13" t="n">
        <f aca="false">IFERROR(AVERAGEIF(L37:P37,"&lt;&gt;0"),"")</f>
        <v>8000</v>
      </c>
      <c r="AD37" s="13" t="n">
        <f aca="false">IFERROR(AVERAGEIF(Q37:U37,"&lt;&gt;0"),"")</f>
        <v>8000</v>
      </c>
      <c r="AE37" s="13" t="n">
        <f aca="false">IFERROR(AVERAGEIF(V37:Z37,"&lt;&gt;0"),"")</f>
        <v>8000</v>
      </c>
      <c r="AF37" s="13" t="n">
        <f aca="false">IFERROR(AVERAGEIF(D37:Z37,"&lt;&gt;0"),"")</f>
        <v>8000</v>
      </c>
    </row>
    <row r="38" customFormat="false" ht="15" hidden="false" customHeight="false" outlineLevel="0" collapsed="false">
      <c r="A38" s="3" t="n">
        <v>34</v>
      </c>
      <c r="B38" s="3" t="s">
        <v>477</v>
      </c>
      <c r="C38" s="3" t="s">
        <v>471</v>
      </c>
      <c r="D38" s="32" t="n">
        <v>4000</v>
      </c>
      <c r="E38" s="32" t="n">
        <v>4000</v>
      </c>
      <c r="F38" s="32" t="n">
        <v>4000</v>
      </c>
      <c r="G38" s="32" t="n">
        <v>4000</v>
      </c>
      <c r="H38" s="32" t="n">
        <v>4000</v>
      </c>
      <c r="I38" s="32" t="n">
        <v>4000</v>
      </c>
      <c r="J38" s="32" t="n">
        <v>4000</v>
      </c>
      <c r="K38" s="32" t="n">
        <v>4000</v>
      </c>
      <c r="L38" s="32" t="n">
        <v>4000</v>
      </c>
      <c r="M38" s="32" t="n">
        <v>4000</v>
      </c>
      <c r="N38" s="32" t="n">
        <v>4000</v>
      </c>
      <c r="O38" s="32" t="n">
        <v>4000</v>
      </c>
      <c r="P38" s="32" t="n">
        <v>4000</v>
      </c>
      <c r="Q38" s="32" t="n">
        <v>4000</v>
      </c>
      <c r="R38" s="32" t="n">
        <v>4000</v>
      </c>
      <c r="S38" s="32" t="n">
        <v>4000</v>
      </c>
      <c r="T38" s="32" t="n">
        <v>4000</v>
      </c>
      <c r="U38" s="32" t="n">
        <v>4000</v>
      </c>
      <c r="V38" s="32" t="n">
        <v>4000</v>
      </c>
      <c r="W38" s="32" t="n">
        <v>4000</v>
      </c>
      <c r="X38" s="32" t="n">
        <v>4000</v>
      </c>
      <c r="Y38" s="32" t="n">
        <v>4000</v>
      </c>
      <c r="Z38" s="32" t="n">
        <v>4000</v>
      </c>
      <c r="AA38" s="13" t="n">
        <f aca="false">IFERROR(AVERAGEIF(D38:F38,"&lt;&gt;0"),"")</f>
        <v>4000</v>
      </c>
      <c r="AB38" s="13" t="n">
        <f aca="false">IFERROR(AVERAGEIF(G38:K38,"&lt;&gt;0"),"")</f>
        <v>4000</v>
      </c>
      <c r="AC38" s="13" t="n">
        <f aca="false">IFERROR(AVERAGEIF(L38:P38,"&lt;&gt;0"),"")</f>
        <v>4000</v>
      </c>
      <c r="AD38" s="13" t="n">
        <f aca="false">IFERROR(AVERAGEIF(Q38:U38,"&lt;&gt;0"),"")</f>
        <v>4000</v>
      </c>
      <c r="AE38" s="13" t="n">
        <f aca="false">IFERROR(AVERAGEIF(V38:Z38,"&lt;&gt;0"),"")</f>
        <v>4000</v>
      </c>
      <c r="AF38" s="13" t="n">
        <f aca="false">IFERROR(AVERAGEIF(D38:Z38,"&lt;&gt;0"),"")</f>
        <v>4000</v>
      </c>
    </row>
    <row r="39" customFormat="false" ht="15" hidden="false" customHeight="false" outlineLevel="0" collapsed="false">
      <c r="A39" s="3" t="n">
        <v>35</v>
      </c>
      <c r="B39" s="3" t="s">
        <v>478</v>
      </c>
      <c r="C39" s="3" t="s">
        <v>471</v>
      </c>
      <c r="D39" s="32" t="n">
        <v>12000</v>
      </c>
      <c r="E39" s="32" t="n">
        <v>12000</v>
      </c>
      <c r="F39" s="32" t="n">
        <v>12000</v>
      </c>
      <c r="G39" s="32" t="n">
        <v>12000</v>
      </c>
      <c r="H39" s="32" t="n">
        <v>12000</v>
      </c>
      <c r="I39" s="32" t="n">
        <v>12000</v>
      </c>
      <c r="J39" s="32" t="n">
        <v>12000</v>
      </c>
      <c r="K39" s="32" t="n">
        <v>12000</v>
      </c>
      <c r="L39" s="32" t="n">
        <v>12000</v>
      </c>
      <c r="M39" s="32" t="n">
        <v>12000</v>
      </c>
      <c r="N39" s="32" t="n">
        <v>12000</v>
      </c>
      <c r="O39" s="32" t="n">
        <v>12000</v>
      </c>
      <c r="P39" s="32" t="n">
        <v>12000</v>
      </c>
      <c r="Q39" s="32" t="n">
        <v>12000</v>
      </c>
      <c r="R39" s="32" t="n">
        <v>12000</v>
      </c>
      <c r="S39" s="32" t="n">
        <v>12000</v>
      </c>
      <c r="T39" s="32" t="n">
        <v>12000</v>
      </c>
      <c r="U39" s="32" t="n">
        <v>12000</v>
      </c>
      <c r="V39" s="32" t="n">
        <v>12000</v>
      </c>
      <c r="W39" s="32" t="n">
        <v>12000</v>
      </c>
      <c r="X39" s="32" t="n">
        <v>12000</v>
      </c>
      <c r="Y39" s="32" t="n">
        <v>12000</v>
      </c>
      <c r="Z39" s="32" t="n">
        <v>12000</v>
      </c>
      <c r="AA39" s="13" t="n">
        <f aca="false">IFERROR(AVERAGEIF(D39:F39,"&lt;&gt;0"),"")</f>
        <v>12000</v>
      </c>
      <c r="AB39" s="13" t="n">
        <f aca="false">IFERROR(AVERAGEIF(G39:K39,"&lt;&gt;0"),"")</f>
        <v>12000</v>
      </c>
      <c r="AC39" s="13" t="n">
        <f aca="false">IFERROR(AVERAGEIF(L39:P39,"&lt;&gt;0"),"")</f>
        <v>12000</v>
      </c>
      <c r="AD39" s="13" t="n">
        <f aca="false">IFERROR(AVERAGEIF(Q39:U39,"&lt;&gt;0"),"")</f>
        <v>12000</v>
      </c>
      <c r="AE39" s="13" t="n">
        <f aca="false">IFERROR(AVERAGEIF(V39:Z39,"&lt;&gt;0"),"")</f>
        <v>12000</v>
      </c>
      <c r="AF39" s="13" t="n">
        <f aca="false">IFERROR(AVERAGEIF(D39:Z39,"&lt;&gt;0"),"")</f>
        <v>12000</v>
      </c>
    </row>
    <row r="40" customFormat="false" ht="15" hidden="false" customHeight="false" outlineLevel="0" collapsed="false">
      <c r="A40" s="3" t="n">
        <v>36</v>
      </c>
      <c r="B40" s="3" t="s">
        <v>479</v>
      </c>
      <c r="C40" s="3" t="s">
        <v>471</v>
      </c>
      <c r="D40" s="32" t="n">
        <v>4000</v>
      </c>
      <c r="E40" s="32" t="n">
        <v>4000</v>
      </c>
      <c r="F40" s="32" t="n">
        <v>4000</v>
      </c>
      <c r="G40" s="32" t="n">
        <v>4000</v>
      </c>
      <c r="H40" s="32" t="n">
        <v>4000</v>
      </c>
      <c r="I40" s="32" t="n">
        <v>4000</v>
      </c>
      <c r="J40" s="32" t="n">
        <v>4000</v>
      </c>
      <c r="K40" s="32" t="n">
        <v>4000</v>
      </c>
      <c r="L40" s="32" t="n">
        <v>4000</v>
      </c>
      <c r="M40" s="32" t="n">
        <v>4000</v>
      </c>
      <c r="N40" s="32" t="n">
        <v>4000</v>
      </c>
      <c r="O40" s="32" t="n">
        <v>4000</v>
      </c>
      <c r="P40" s="32" t="n">
        <v>4000</v>
      </c>
      <c r="Q40" s="32" t="n">
        <v>4000</v>
      </c>
      <c r="R40" s="32" t="n">
        <v>4000</v>
      </c>
      <c r="S40" s="32" t="n">
        <v>4000</v>
      </c>
      <c r="T40" s="32" t="n">
        <v>4000</v>
      </c>
      <c r="U40" s="32" t="n">
        <v>4000</v>
      </c>
      <c r="V40" s="32" t="n">
        <v>4000</v>
      </c>
      <c r="W40" s="32" t="n">
        <v>4000</v>
      </c>
      <c r="X40" s="32" t="n">
        <v>4000</v>
      </c>
      <c r="Y40" s="32" t="n">
        <v>4000</v>
      </c>
      <c r="Z40" s="32" t="n">
        <v>4000</v>
      </c>
      <c r="AA40" s="13" t="n">
        <f aca="false">IFERROR(AVERAGEIF(D40:F40,"&lt;&gt;0"),"")</f>
        <v>4000</v>
      </c>
      <c r="AB40" s="13" t="n">
        <f aca="false">IFERROR(AVERAGEIF(G40:K40,"&lt;&gt;0"),"")</f>
        <v>4000</v>
      </c>
      <c r="AC40" s="13" t="n">
        <f aca="false">IFERROR(AVERAGEIF(L40:P40,"&lt;&gt;0"),"")</f>
        <v>4000</v>
      </c>
      <c r="AD40" s="13" t="n">
        <f aca="false">IFERROR(AVERAGEIF(Q40:U40,"&lt;&gt;0"),"")</f>
        <v>4000</v>
      </c>
      <c r="AE40" s="13" t="n">
        <f aca="false">IFERROR(AVERAGEIF(V40:Z40,"&lt;&gt;0"),"")</f>
        <v>4000</v>
      </c>
      <c r="AF40" s="13" t="n">
        <f aca="false">IFERROR(AVERAGEIF(D40:Z40,"&lt;&gt;0"),"")</f>
        <v>4000</v>
      </c>
    </row>
    <row r="41" customFormat="false" ht="15" hidden="false" customHeight="false" outlineLevel="0" collapsed="false">
      <c r="A41" s="3" t="n">
        <v>37</v>
      </c>
      <c r="B41" s="3" t="s">
        <v>480</v>
      </c>
      <c r="C41" s="3" t="s">
        <v>471</v>
      </c>
      <c r="D41" s="32" t="n">
        <v>2000</v>
      </c>
      <c r="E41" s="32" t="n">
        <v>2000</v>
      </c>
      <c r="F41" s="32" t="n">
        <v>2000</v>
      </c>
      <c r="G41" s="32" t="n">
        <v>2000</v>
      </c>
      <c r="H41" s="32" t="n">
        <v>2000</v>
      </c>
      <c r="I41" s="32" t="n">
        <v>2000</v>
      </c>
      <c r="J41" s="32" t="n">
        <v>2000</v>
      </c>
      <c r="K41" s="32" t="n">
        <v>2000</v>
      </c>
      <c r="L41" s="32" t="n">
        <v>2000</v>
      </c>
      <c r="M41" s="32" t="n">
        <v>2000</v>
      </c>
      <c r="N41" s="32" t="n">
        <v>2000</v>
      </c>
      <c r="O41" s="32" t="n">
        <v>2000</v>
      </c>
      <c r="P41" s="32" t="n">
        <v>2000</v>
      </c>
      <c r="Q41" s="32" t="n">
        <v>2000</v>
      </c>
      <c r="R41" s="32" t="n">
        <v>2000</v>
      </c>
      <c r="S41" s="32" t="n">
        <v>2000</v>
      </c>
      <c r="T41" s="32" t="n">
        <v>2000</v>
      </c>
      <c r="U41" s="32" t="n">
        <v>2000</v>
      </c>
      <c r="V41" s="32" t="n">
        <v>2000</v>
      </c>
      <c r="W41" s="32" t="n">
        <v>2000</v>
      </c>
      <c r="X41" s="32" t="n">
        <v>2000</v>
      </c>
      <c r="Y41" s="32" t="n">
        <v>2000</v>
      </c>
      <c r="Z41" s="32" t="n">
        <v>2000</v>
      </c>
      <c r="AA41" s="13" t="n">
        <f aca="false">IFERROR(AVERAGEIF(D41:F41,"&lt;&gt;0"),"")</f>
        <v>2000</v>
      </c>
      <c r="AB41" s="13" t="n">
        <f aca="false">IFERROR(AVERAGEIF(G41:K41,"&lt;&gt;0"),"")</f>
        <v>2000</v>
      </c>
      <c r="AC41" s="13" t="n">
        <f aca="false">IFERROR(AVERAGEIF(L41:P41,"&lt;&gt;0"),"")</f>
        <v>2000</v>
      </c>
      <c r="AD41" s="13" t="n">
        <f aca="false">IFERROR(AVERAGEIF(Q41:U41,"&lt;&gt;0"),"")</f>
        <v>2000</v>
      </c>
      <c r="AE41" s="13" t="n">
        <f aca="false">IFERROR(AVERAGEIF(V41:Z41,"&lt;&gt;0"),"")</f>
        <v>2000</v>
      </c>
      <c r="AF41" s="13" t="n">
        <f aca="false">IFERROR(AVERAGEIF(D41:Z41,"&lt;&gt;0"),"")</f>
        <v>2000</v>
      </c>
    </row>
    <row r="42" customFormat="false" ht="15" hidden="false" customHeight="false" outlineLevel="0" collapsed="false">
      <c r="A42" s="3" t="n">
        <v>38</v>
      </c>
      <c r="B42" s="3" t="s">
        <v>481</v>
      </c>
      <c r="C42" s="3" t="s">
        <v>471</v>
      </c>
      <c r="D42" s="32" t="n">
        <v>5000</v>
      </c>
      <c r="E42" s="32" t="n">
        <v>5000</v>
      </c>
      <c r="F42" s="32" t="n">
        <v>5000</v>
      </c>
      <c r="G42" s="32" t="n">
        <v>5000</v>
      </c>
      <c r="H42" s="32" t="n">
        <v>5000</v>
      </c>
      <c r="I42" s="32" t="n">
        <v>5000</v>
      </c>
      <c r="J42" s="32" t="n">
        <v>5000</v>
      </c>
      <c r="K42" s="32" t="n">
        <v>5000</v>
      </c>
      <c r="L42" s="32" t="n">
        <v>5000</v>
      </c>
      <c r="M42" s="32" t="n">
        <v>5000</v>
      </c>
      <c r="N42" s="32" t="n">
        <v>5000</v>
      </c>
      <c r="O42" s="32" t="n">
        <v>5000</v>
      </c>
      <c r="P42" s="32" t="n">
        <v>5000</v>
      </c>
      <c r="Q42" s="32" t="n">
        <v>5000</v>
      </c>
      <c r="R42" s="32" t="n">
        <v>5000</v>
      </c>
      <c r="S42" s="32" t="n">
        <v>5000</v>
      </c>
      <c r="T42" s="32" t="n">
        <v>5000</v>
      </c>
      <c r="U42" s="32" t="n">
        <v>5000</v>
      </c>
      <c r="V42" s="32" t="n">
        <v>5000</v>
      </c>
      <c r="W42" s="32" t="n">
        <v>5000</v>
      </c>
      <c r="X42" s="32" t="n">
        <v>5000</v>
      </c>
      <c r="Y42" s="32" t="n">
        <v>5000</v>
      </c>
      <c r="Z42" s="32" t="n">
        <v>5000</v>
      </c>
      <c r="AA42" s="13" t="n">
        <f aca="false">IFERROR(AVERAGEIF(D42:F42,"&lt;&gt;0"),"")</f>
        <v>5000</v>
      </c>
      <c r="AB42" s="13" t="n">
        <f aca="false">IFERROR(AVERAGEIF(G42:K42,"&lt;&gt;0"),"")</f>
        <v>5000</v>
      </c>
      <c r="AC42" s="13" t="n">
        <f aca="false">IFERROR(AVERAGEIF(L42:P42,"&lt;&gt;0"),"")</f>
        <v>5000</v>
      </c>
      <c r="AD42" s="13" t="n">
        <f aca="false">IFERROR(AVERAGEIF(Q42:U42,"&lt;&gt;0"),"")</f>
        <v>5000</v>
      </c>
      <c r="AE42" s="13" t="n">
        <f aca="false">IFERROR(AVERAGEIF(V42:Z42,"&lt;&gt;0"),"")</f>
        <v>5000</v>
      </c>
      <c r="AF42" s="13" t="n">
        <f aca="false">IFERROR(AVERAGEIF(D42:Z42,"&lt;&gt;0"),"")</f>
        <v>5000</v>
      </c>
    </row>
    <row r="43" customFormat="false" ht="15" hidden="false" customHeight="false" outlineLevel="0" collapsed="false">
      <c r="A43" s="3" t="n">
        <v>39</v>
      </c>
      <c r="B43" s="3" t="s">
        <v>482</v>
      </c>
      <c r="C43" s="3" t="s">
        <v>471</v>
      </c>
      <c r="D43" s="32" t="n">
        <v>5000</v>
      </c>
      <c r="E43" s="32" t="n">
        <v>5000</v>
      </c>
      <c r="F43" s="32" t="n">
        <v>5000</v>
      </c>
      <c r="G43" s="32" t="n">
        <v>5000</v>
      </c>
      <c r="H43" s="32" t="n">
        <v>5000</v>
      </c>
      <c r="I43" s="32" t="n">
        <v>5000</v>
      </c>
      <c r="J43" s="32" t="n">
        <v>5000</v>
      </c>
      <c r="K43" s="32" t="n">
        <v>5000</v>
      </c>
      <c r="L43" s="32" t="n">
        <v>5000</v>
      </c>
      <c r="M43" s="32" t="n">
        <v>5000</v>
      </c>
      <c r="N43" s="32" t="n">
        <v>5000</v>
      </c>
      <c r="O43" s="32" t="n">
        <v>5000</v>
      </c>
      <c r="P43" s="32" t="n">
        <v>5000</v>
      </c>
      <c r="Q43" s="32" t="n">
        <v>5000</v>
      </c>
      <c r="R43" s="32" t="n">
        <v>5000</v>
      </c>
      <c r="S43" s="32" t="n">
        <v>5000</v>
      </c>
      <c r="T43" s="32" t="n">
        <v>5000</v>
      </c>
      <c r="U43" s="32" t="n">
        <v>5000</v>
      </c>
      <c r="V43" s="32" t="n">
        <v>5000</v>
      </c>
      <c r="W43" s="32" t="n">
        <v>5000</v>
      </c>
      <c r="X43" s="32" t="n">
        <v>5000</v>
      </c>
      <c r="Y43" s="32" t="n">
        <v>5000</v>
      </c>
      <c r="Z43" s="32" t="n">
        <v>5000</v>
      </c>
      <c r="AA43" s="13" t="n">
        <f aca="false">IFERROR(AVERAGEIF(D43:F43,"&lt;&gt;0"),"")</f>
        <v>5000</v>
      </c>
      <c r="AB43" s="13" t="n">
        <f aca="false">IFERROR(AVERAGEIF(G43:K43,"&lt;&gt;0"),"")</f>
        <v>5000</v>
      </c>
      <c r="AC43" s="13" t="n">
        <f aca="false">IFERROR(AVERAGEIF(L43:P43,"&lt;&gt;0"),"")</f>
        <v>5000</v>
      </c>
      <c r="AD43" s="13" t="n">
        <f aca="false">IFERROR(AVERAGEIF(Q43:U43,"&lt;&gt;0"),"")</f>
        <v>5000</v>
      </c>
      <c r="AE43" s="13" t="n">
        <f aca="false">IFERROR(AVERAGEIF(V43:Z43,"&lt;&gt;0"),"")</f>
        <v>5000</v>
      </c>
      <c r="AF43" s="13" t="n">
        <f aca="false">IFERROR(AVERAGEIF(D43:Z43,"&lt;&gt;0"),"")</f>
        <v>5000</v>
      </c>
    </row>
    <row r="44" customFormat="false" ht="15" hidden="false" customHeight="false" outlineLevel="0" collapsed="false">
      <c r="A44" s="3" t="n">
        <v>40</v>
      </c>
      <c r="B44" s="3" t="s">
        <v>483</v>
      </c>
      <c r="C44" s="3" t="s">
        <v>471</v>
      </c>
      <c r="D44" s="32" t="n">
        <v>4000</v>
      </c>
      <c r="E44" s="32" t="n">
        <v>4000</v>
      </c>
      <c r="F44" s="32" t="n">
        <v>4000</v>
      </c>
      <c r="G44" s="32" t="n">
        <v>4000</v>
      </c>
      <c r="H44" s="32" t="n">
        <v>4000</v>
      </c>
      <c r="I44" s="32" t="n">
        <v>4000</v>
      </c>
      <c r="J44" s="32" t="n">
        <v>4000</v>
      </c>
      <c r="K44" s="32" t="n">
        <v>4000</v>
      </c>
      <c r="L44" s="32" t="n">
        <v>4000</v>
      </c>
      <c r="M44" s="32" t="n">
        <v>4000</v>
      </c>
      <c r="N44" s="32" t="n">
        <v>4000</v>
      </c>
      <c r="O44" s="32" t="n">
        <v>4000</v>
      </c>
      <c r="P44" s="32" t="n">
        <v>4000</v>
      </c>
      <c r="Q44" s="32" t="n">
        <v>4000</v>
      </c>
      <c r="R44" s="32" t="n">
        <v>4000</v>
      </c>
      <c r="S44" s="32" t="n">
        <v>4000</v>
      </c>
      <c r="T44" s="32" t="n">
        <v>4000</v>
      </c>
      <c r="U44" s="32" t="n">
        <v>4000</v>
      </c>
      <c r="V44" s="32" t="n">
        <v>4000</v>
      </c>
      <c r="W44" s="32" t="n">
        <v>4000</v>
      </c>
      <c r="X44" s="32" t="n">
        <v>4000</v>
      </c>
      <c r="Y44" s="32" t="n">
        <v>4000</v>
      </c>
      <c r="Z44" s="32" t="n">
        <v>4000</v>
      </c>
      <c r="AA44" s="13" t="n">
        <f aca="false">IFERROR(AVERAGEIF(D44:F44,"&lt;&gt;0"),"")</f>
        <v>4000</v>
      </c>
      <c r="AB44" s="13" t="n">
        <f aca="false">IFERROR(AVERAGEIF(G44:K44,"&lt;&gt;0"),"")</f>
        <v>4000</v>
      </c>
      <c r="AC44" s="13" t="n">
        <f aca="false">IFERROR(AVERAGEIF(L44:P44,"&lt;&gt;0"),"")</f>
        <v>4000</v>
      </c>
      <c r="AD44" s="13" t="n">
        <f aca="false">IFERROR(AVERAGEIF(Q44:U44,"&lt;&gt;0"),"")</f>
        <v>4000</v>
      </c>
      <c r="AE44" s="13" t="n">
        <f aca="false">IFERROR(AVERAGEIF(V44:Z44,"&lt;&gt;0"),"")</f>
        <v>4000</v>
      </c>
      <c r="AF44" s="13" t="n">
        <f aca="false">IFERROR(AVERAGEIF(D44:Z44,"&lt;&gt;0"),"")</f>
        <v>4000</v>
      </c>
    </row>
    <row r="45" customFormat="false" ht="15" hidden="false" customHeight="false" outlineLevel="0" collapsed="false">
      <c r="A45" s="3" t="n">
        <v>41</v>
      </c>
      <c r="B45" s="3" t="s">
        <v>484</v>
      </c>
      <c r="C45" s="3" t="s">
        <v>471</v>
      </c>
      <c r="D45" s="32" t="n">
        <v>60000</v>
      </c>
      <c r="E45" s="32" t="n">
        <v>60000</v>
      </c>
      <c r="F45" s="32" t="n">
        <v>60000</v>
      </c>
      <c r="G45" s="32" t="n">
        <v>60000</v>
      </c>
      <c r="H45" s="32" t="n">
        <v>60000</v>
      </c>
      <c r="I45" s="32" t="n">
        <v>60000</v>
      </c>
      <c r="J45" s="32" t="n">
        <v>60000</v>
      </c>
      <c r="K45" s="32" t="n">
        <v>60000</v>
      </c>
      <c r="L45" s="32" t="n">
        <v>60000</v>
      </c>
      <c r="M45" s="32" t="n">
        <v>60000</v>
      </c>
      <c r="N45" s="32" t="n">
        <v>60000</v>
      </c>
      <c r="O45" s="32" t="n">
        <v>60000</v>
      </c>
      <c r="P45" s="32" t="n">
        <v>60000</v>
      </c>
      <c r="Q45" s="32" t="n">
        <v>60000</v>
      </c>
      <c r="R45" s="32" t="n">
        <v>60000</v>
      </c>
      <c r="S45" s="32" t="n">
        <v>60000</v>
      </c>
      <c r="T45" s="32" t="n">
        <v>60000</v>
      </c>
      <c r="U45" s="32" t="n">
        <v>60000</v>
      </c>
      <c r="V45" s="32" t="n">
        <v>60000</v>
      </c>
      <c r="W45" s="32" t="n">
        <v>60000</v>
      </c>
      <c r="X45" s="32" t="n">
        <v>60000</v>
      </c>
      <c r="Y45" s="32" t="n">
        <v>60000</v>
      </c>
      <c r="Z45" s="32" t="n">
        <v>60000</v>
      </c>
      <c r="AA45" s="13" t="n">
        <f aca="false">IFERROR(AVERAGEIF(D45:F45,"&lt;&gt;0"),"")</f>
        <v>60000</v>
      </c>
      <c r="AB45" s="13" t="n">
        <f aca="false">IFERROR(AVERAGEIF(G45:K45,"&lt;&gt;0"),"")</f>
        <v>60000</v>
      </c>
      <c r="AC45" s="13" t="n">
        <f aca="false">IFERROR(AVERAGEIF(L45:P45,"&lt;&gt;0"),"")</f>
        <v>60000</v>
      </c>
      <c r="AD45" s="13" t="n">
        <f aca="false">IFERROR(AVERAGEIF(Q45:U45,"&lt;&gt;0"),"")</f>
        <v>60000</v>
      </c>
      <c r="AE45" s="13" t="n">
        <f aca="false">IFERROR(AVERAGEIF(V45:Z45,"&lt;&gt;0"),"")</f>
        <v>60000</v>
      </c>
      <c r="AF45" s="13" t="n">
        <f aca="false">IFERROR(AVERAGEIF(D45:Z45,"&lt;&gt;0"),"")</f>
        <v>60000</v>
      </c>
    </row>
    <row r="46" customFormat="false" ht="15" hidden="false" customHeight="false" outlineLevel="0" collapsed="false">
      <c r="A46" s="3" t="n">
        <v>42</v>
      </c>
      <c r="B46" s="3" t="s">
        <v>485</v>
      </c>
      <c r="C46" s="3" t="s">
        <v>471</v>
      </c>
      <c r="D46" s="32" t="n">
        <v>35000</v>
      </c>
      <c r="E46" s="32" t="n">
        <v>35000</v>
      </c>
      <c r="F46" s="32" t="n">
        <v>35000</v>
      </c>
      <c r="G46" s="32" t="n">
        <v>35000</v>
      </c>
      <c r="H46" s="32" t="n">
        <v>35000</v>
      </c>
      <c r="I46" s="32" t="n">
        <v>35000</v>
      </c>
      <c r="J46" s="32" t="n">
        <v>35000</v>
      </c>
      <c r="K46" s="32" t="n">
        <v>35000</v>
      </c>
      <c r="L46" s="32" t="n">
        <v>35000</v>
      </c>
      <c r="M46" s="32" t="n">
        <v>35000</v>
      </c>
      <c r="N46" s="32" t="n">
        <v>35000</v>
      </c>
      <c r="O46" s="32" t="n">
        <v>35000</v>
      </c>
      <c r="P46" s="32" t="n">
        <v>35000</v>
      </c>
      <c r="Q46" s="32" t="n">
        <v>35000</v>
      </c>
      <c r="R46" s="32" t="n">
        <v>35000</v>
      </c>
      <c r="S46" s="32" t="n">
        <v>35000</v>
      </c>
      <c r="T46" s="32" t="n">
        <v>35000</v>
      </c>
      <c r="U46" s="32" t="n">
        <v>35000</v>
      </c>
      <c r="V46" s="32" t="n">
        <v>35000</v>
      </c>
      <c r="W46" s="32" t="n">
        <v>35000</v>
      </c>
      <c r="X46" s="32" t="n">
        <v>35000</v>
      </c>
      <c r="Y46" s="32" t="n">
        <v>35000</v>
      </c>
      <c r="Z46" s="32" t="n">
        <v>35000</v>
      </c>
      <c r="AA46" s="13" t="n">
        <f aca="false">IFERROR(AVERAGEIF(D46:F46,"&lt;&gt;0"),"")</f>
        <v>35000</v>
      </c>
      <c r="AB46" s="13" t="n">
        <f aca="false">IFERROR(AVERAGEIF(G46:K46,"&lt;&gt;0"),"")</f>
        <v>35000</v>
      </c>
      <c r="AC46" s="13" t="n">
        <f aca="false">IFERROR(AVERAGEIF(L46:P46,"&lt;&gt;0"),"")</f>
        <v>35000</v>
      </c>
      <c r="AD46" s="13" t="n">
        <f aca="false">IFERROR(AVERAGEIF(Q46:U46,"&lt;&gt;0"),"")</f>
        <v>35000</v>
      </c>
      <c r="AE46" s="13" t="n">
        <f aca="false">IFERROR(AVERAGEIF(V46:Z46,"&lt;&gt;0"),"")</f>
        <v>35000</v>
      </c>
      <c r="AF46" s="13" t="n">
        <f aca="false">IFERROR(AVERAGEIF(D46:Z46,"&lt;&gt;0"),"")</f>
        <v>35000</v>
      </c>
    </row>
    <row r="47" customFormat="false" ht="15" hidden="false" customHeight="false" outlineLevel="0" collapsed="false">
      <c r="A47" s="3" t="n">
        <v>43</v>
      </c>
      <c r="B47" s="3" t="s">
        <v>486</v>
      </c>
      <c r="C47" s="3" t="s">
        <v>471</v>
      </c>
      <c r="D47" s="32" t="n">
        <v>27000</v>
      </c>
      <c r="E47" s="32" t="n">
        <v>27000</v>
      </c>
      <c r="F47" s="32" t="n">
        <v>27000</v>
      </c>
      <c r="G47" s="32" t="n">
        <v>27000</v>
      </c>
      <c r="H47" s="32" t="n">
        <v>27000</v>
      </c>
      <c r="I47" s="32" t="n">
        <v>27000</v>
      </c>
      <c r="J47" s="32" t="n">
        <v>27000</v>
      </c>
      <c r="K47" s="32" t="n">
        <v>27000</v>
      </c>
      <c r="L47" s="32" t="n">
        <v>27000</v>
      </c>
      <c r="M47" s="32" t="n">
        <v>27000</v>
      </c>
      <c r="N47" s="32" t="n">
        <v>27000</v>
      </c>
      <c r="O47" s="32" t="n">
        <v>27000</v>
      </c>
      <c r="P47" s="32" t="n">
        <v>27000</v>
      </c>
      <c r="Q47" s="32" t="n">
        <v>27000</v>
      </c>
      <c r="R47" s="32" t="n">
        <v>27000</v>
      </c>
      <c r="S47" s="32" t="n">
        <v>27000</v>
      </c>
      <c r="T47" s="32" t="n">
        <v>27000</v>
      </c>
      <c r="U47" s="32" t="n">
        <v>27000</v>
      </c>
      <c r="V47" s="32" t="n">
        <v>27000</v>
      </c>
      <c r="W47" s="32" t="n">
        <v>27000</v>
      </c>
      <c r="X47" s="32" t="n">
        <v>27000</v>
      </c>
      <c r="Y47" s="32" t="n">
        <v>27000</v>
      </c>
      <c r="Z47" s="32" t="n">
        <v>27000</v>
      </c>
      <c r="AA47" s="13" t="n">
        <f aca="false">IFERROR(AVERAGEIF(D47:F47,"&lt;&gt;0"),"")</f>
        <v>27000</v>
      </c>
      <c r="AB47" s="13" t="n">
        <f aca="false">IFERROR(AVERAGEIF(G47:K47,"&lt;&gt;0"),"")</f>
        <v>27000</v>
      </c>
      <c r="AC47" s="13" t="n">
        <f aca="false">IFERROR(AVERAGEIF(L47:P47,"&lt;&gt;0"),"")</f>
        <v>27000</v>
      </c>
      <c r="AD47" s="13" t="n">
        <f aca="false">IFERROR(AVERAGEIF(Q47:U47,"&lt;&gt;0"),"")</f>
        <v>27000</v>
      </c>
      <c r="AE47" s="13" t="n">
        <f aca="false">IFERROR(AVERAGEIF(V47:Z47,"&lt;&gt;0"),"")</f>
        <v>27000</v>
      </c>
      <c r="AF47" s="13" t="n">
        <f aca="false">IFERROR(AVERAGEIF(D47:Z47,"&lt;&gt;0"),"")</f>
        <v>27000</v>
      </c>
    </row>
    <row r="48" customFormat="false" ht="15" hidden="false" customHeight="false" outlineLevel="0" collapsed="false">
      <c r="A48" s="3" t="n">
        <v>44</v>
      </c>
      <c r="B48" s="3" t="s">
        <v>487</v>
      </c>
      <c r="C48" s="3" t="s">
        <v>471</v>
      </c>
      <c r="D48" s="32" t="n">
        <v>14000</v>
      </c>
      <c r="E48" s="32" t="n">
        <v>14000</v>
      </c>
      <c r="F48" s="32" t="n">
        <v>14000</v>
      </c>
      <c r="G48" s="32" t="n">
        <v>14000</v>
      </c>
      <c r="H48" s="32" t="n">
        <v>14000</v>
      </c>
      <c r="I48" s="32" t="n">
        <v>14000</v>
      </c>
      <c r="J48" s="32" t="n">
        <v>14000</v>
      </c>
      <c r="K48" s="32" t="n">
        <v>14000</v>
      </c>
      <c r="L48" s="32" t="n">
        <v>14000</v>
      </c>
      <c r="M48" s="32" t="n">
        <v>14000</v>
      </c>
      <c r="N48" s="32" t="n">
        <v>14000</v>
      </c>
      <c r="O48" s="32" t="n">
        <v>14000</v>
      </c>
      <c r="P48" s="32" t="n">
        <v>14000</v>
      </c>
      <c r="Q48" s="32" t="n">
        <v>14000</v>
      </c>
      <c r="R48" s="32" t="n">
        <v>14000</v>
      </c>
      <c r="S48" s="32" t="n">
        <v>14000</v>
      </c>
      <c r="T48" s="32" t="n">
        <v>14000</v>
      </c>
      <c r="U48" s="32" t="n">
        <v>14000</v>
      </c>
      <c r="V48" s="32" t="n">
        <v>14000</v>
      </c>
      <c r="W48" s="32" t="n">
        <v>14000</v>
      </c>
      <c r="X48" s="32" t="n">
        <v>14000</v>
      </c>
      <c r="Y48" s="32" t="n">
        <v>14000</v>
      </c>
      <c r="Z48" s="32" t="n">
        <v>14000</v>
      </c>
      <c r="AA48" s="13" t="n">
        <f aca="false">IFERROR(AVERAGEIF(D48:F48,"&lt;&gt;0"),"")</f>
        <v>14000</v>
      </c>
      <c r="AB48" s="13" t="n">
        <f aca="false">IFERROR(AVERAGEIF(G48:K48,"&lt;&gt;0"),"")</f>
        <v>14000</v>
      </c>
      <c r="AC48" s="13" t="n">
        <f aca="false">IFERROR(AVERAGEIF(L48:P48,"&lt;&gt;0"),"")</f>
        <v>14000</v>
      </c>
      <c r="AD48" s="13" t="n">
        <f aca="false">IFERROR(AVERAGEIF(Q48:U48,"&lt;&gt;0"),"")</f>
        <v>14000</v>
      </c>
      <c r="AE48" s="13" t="n">
        <f aca="false">IFERROR(AVERAGEIF(V48:Z48,"&lt;&gt;0"),"")</f>
        <v>14000</v>
      </c>
      <c r="AF48" s="13" t="n">
        <f aca="false">IFERROR(AVERAGEIF(D48:Z48,"&lt;&gt;0"),"")</f>
        <v>14000</v>
      </c>
    </row>
  </sheetData>
  <mergeCells count="1">
    <mergeCell ref="A1:A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4"/>
    <col collapsed="false" customWidth="true" hidden="false" outlineLevel="0" max="23" min="4" style="0" width="9"/>
    <col collapsed="false" customWidth="true" hidden="false" outlineLevel="0" max="28" min="24" style="0" width="14"/>
  </cols>
  <sheetData>
    <row r="1" customFormat="false" ht="16.15" hidden="false" customHeight="false" outlineLevel="0" collapsed="false">
      <c r="A1" s="1" t="s">
        <v>751</v>
      </c>
      <c r="B1" s="1"/>
      <c r="C1" s="1"/>
      <c r="D1" s="1"/>
      <c r="E1" s="1"/>
      <c r="F1" s="1"/>
      <c r="G1" s="1"/>
      <c r="H1" s="1"/>
      <c r="I1" s="1"/>
      <c r="J1" s="1"/>
      <c r="K1" s="1"/>
      <c r="L1" s="1"/>
      <c r="M1" s="1"/>
      <c r="N1" s="1"/>
      <c r="O1" s="1"/>
      <c r="P1" s="1"/>
      <c r="Q1" s="1"/>
      <c r="R1" s="1"/>
      <c r="S1" s="1"/>
      <c r="T1" s="1"/>
      <c r="U1" s="1"/>
      <c r="V1" s="1"/>
      <c r="W1" s="1"/>
      <c r="X1" s="1"/>
      <c r="Y1" s="1"/>
      <c r="Z1" s="1"/>
      <c r="AA1" s="1"/>
      <c r="AB1" s="1"/>
    </row>
    <row r="2" customFormat="false" ht="15" hidden="false" customHeight="false" outlineLevel="0" collapsed="false">
      <c r="A2" s="7" t="s">
        <v>443</v>
      </c>
    </row>
    <row r="4" customFormat="false" ht="19.4" hidden="false" customHeight="false" outlineLevel="0" collapsed="false">
      <c r="A4" s="10" t="s">
        <v>1</v>
      </c>
      <c r="B4" s="10" t="s">
        <v>444</v>
      </c>
      <c r="C4" s="10" t="s">
        <v>445</v>
      </c>
      <c r="D4" s="10" t="s">
        <v>752</v>
      </c>
      <c r="E4" s="10" t="s">
        <v>753</v>
      </c>
      <c r="F4" s="10" t="s">
        <v>754</v>
      </c>
      <c r="G4" s="10" t="s">
        <v>755</v>
      </c>
      <c r="H4" s="10" t="s">
        <v>756</v>
      </c>
      <c r="I4" s="10" t="s">
        <v>757</v>
      </c>
      <c r="J4" s="10" t="s">
        <v>758</v>
      </c>
      <c r="K4" s="10" t="s">
        <v>759</v>
      </c>
      <c r="L4" s="10" t="s">
        <v>760</v>
      </c>
      <c r="M4" s="10" t="s">
        <v>761</v>
      </c>
      <c r="N4" s="10" t="s">
        <v>762</v>
      </c>
      <c r="O4" s="10" t="s">
        <v>763</v>
      </c>
      <c r="P4" s="10" t="s">
        <v>764</v>
      </c>
      <c r="Q4" s="10" t="s">
        <v>765</v>
      </c>
      <c r="R4" s="10" t="s">
        <v>766</v>
      </c>
      <c r="S4" s="10" t="s">
        <v>767</v>
      </c>
      <c r="T4" s="10" t="s">
        <v>768</v>
      </c>
      <c r="U4" s="10" t="s">
        <v>769</v>
      </c>
      <c r="V4" s="10" t="s">
        <v>770</v>
      </c>
      <c r="W4" s="10" t="s">
        <v>771</v>
      </c>
      <c r="X4" s="10" t="s">
        <v>539</v>
      </c>
      <c r="Y4" s="10" t="s">
        <v>540</v>
      </c>
      <c r="Z4" s="10" t="s">
        <v>541</v>
      </c>
      <c r="AA4" s="10" t="s">
        <v>542</v>
      </c>
      <c r="AB4" s="10" t="s">
        <v>772</v>
      </c>
    </row>
    <row r="5" customFormat="false" ht="15" hidden="false" customHeight="false" outlineLevel="0" collapsed="false">
      <c r="A5" s="3" t="n">
        <v>1</v>
      </c>
      <c r="B5" s="3" t="s">
        <v>407</v>
      </c>
      <c r="C5" s="3" t="s">
        <v>471</v>
      </c>
      <c r="D5" s="32" t="n">
        <v>12500</v>
      </c>
      <c r="E5" s="32" t="n">
        <v>12500</v>
      </c>
      <c r="F5" s="32" t="n">
        <v>12500</v>
      </c>
      <c r="G5" s="32" t="n">
        <v>12500</v>
      </c>
      <c r="H5" s="32" t="n">
        <v>12500</v>
      </c>
      <c r="I5" s="32" t="n">
        <v>12500</v>
      </c>
      <c r="J5" s="32" t="n">
        <v>12500</v>
      </c>
      <c r="K5" s="32" t="n">
        <v>12500</v>
      </c>
      <c r="L5" s="32" t="n">
        <v>12500</v>
      </c>
      <c r="M5" s="32" t="n">
        <v>12500</v>
      </c>
      <c r="N5" s="32" t="n">
        <v>12500</v>
      </c>
      <c r="O5" s="32" t="n">
        <v>12500</v>
      </c>
      <c r="P5" s="32" t="n">
        <v>12500</v>
      </c>
      <c r="Q5" s="32" t="n">
        <v>12500</v>
      </c>
      <c r="R5" s="32" t="n">
        <v>12500</v>
      </c>
      <c r="S5" s="32" t="n">
        <v>12500</v>
      </c>
      <c r="T5" s="32" t="n">
        <v>12500</v>
      </c>
      <c r="U5" s="32" t="n">
        <v>12500</v>
      </c>
      <c r="V5" s="32" t="n">
        <v>12500</v>
      </c>
      <c r="W5" s="32" t="n">
        <v>12500</v>
      </c>
      <c r="X5" s="13" t="n">
        <f aca="false">IFERROR(AVERAGEIF(D5:H5,"&lt;&gt;0"),"")</f>
        <v>12500</v>
      </c>
      <c r="Y5" s="13" t="n">
        <f aca="false">IFERROR(AVERAGEIF(I5:M5,"&lt;&gt;0"),"")</f>
        <v>12500</v>
      </c>
      <c r="Z5" s="13" t="n">
        <f aca="false">IFERROR(AVERAGEIF(N5:R5,"&lt;&gt;0"),"")</f>
        <v>12500</v>
      </c>
      <c r="AA5" s="13" t="n">
        <f aca="false">IFERROR(AVERAGEIF(S5:W5,"&lt;&gt;0"),"")</f>
        <v>12500</v>
      </c>
      <c r="AB5" s="13" t="n">
        <f aca="false">IFERROR(AVERAGEIF(D5:W5,"&lt;&gt;0"),"")</f>
        <v>12500</v>
      </c>
    </row>
    <row r="6" customFormat="false" ht="15" hidden="false" customHeight="false" outlineLevel="0" collapsed="false">
      <c r="A6" s="3" t="n">
        <v>2</v>
      </c>
      <c r="B6" s="3" t="s">
        <v>408</v>
      </c>
      <c r="C6" s="3" t="s">
        <v>471</v>
      </c>
      <c r="D6" s="32" t="n">
        <v>14000</v>
      </c>
      <c r="E6" s="32" t="n">
        <v>14000</v>
      </c>
      <c r="F6" s="32" t="n">
        <v>14000</v>
      </c>
      <c r="G6" s="32" t="n">
        <v>14000</v>
      </c>
      <c r="H6" s="32" t="n">
        <v>14000</v>
      </c>
      <c r="I6" s="32" t="n">
        <v>14000</v>
      </c>
      <c r="J6" s="32" t="n">
        <v>14000</v>
      </c>
      <c r="K6" s="32" t="n">
        <v>14000</v>
      </c>
      <c r="L6" s="32" t="n">
        <v>14000</v>
      </c>
      <c r="M6" s="32" t="n">
        <v>14000</v>
      </c>
      <c r="N6" s="32" t="n">
        <v>14000</v>
      </c>
      <c r="O6" s="32" t="n">
        <v>14000</v>
      </c>
      <c r="P6" s="32" t="n">
        <v>14000</v>
      </c>
      <c r="Q6" s="32" t="n">
        <v>14000</v>
      </c>
      <c r="R6" s="32" t="n">
        <v>14000</v>
      </c>
      <c r="S6" s="32" t="n">
        <v>14000</v>
      </c>
      <c r="T6" s="32" t="n">
        <v>14000</v>
      </c>
      <c r="U6" s="32" t="n">
        <v>14000</v>
      </c>
      <c r="V6" s="32" t="n">
        <v>14000</v>
      </c>
      <c r="W6" s="32" t="n">
        <v>14000</v>
      </c>
      <c r="X6" s="13" t="n">
        <f aca="false">IFERROR(AVERAGEIF(D6:H6,"&lt;&gt;0"),"")</f>
        <v>14000</v>
      </c>
      <c r="Y6" s="13" t="n">
        <f aca="false">IFERROR(AVERAGEIF(I6:M6,"&lt;&gt;0"),"")</f>
        <v>14000</v>
      </c>
      <c r="Z6" s="13" t="n">
        <f aca="false">IFERROR(AVERAGEIF(N6:R6,"&lt;&gt;0"),"")</f>
        <v>14000</v>
      </c>
      <c r="AA6" s="13" t="n">
        <f aca="false">IFERROR(AVERAGEIF(S6:W6,"&lt;&gt;0"),"")</f>
        <v>14000</v>
      </c>
      <c r="AB6" s="13" t="n">
        <f aca="false">IFERROR(AVERAGEIF(D6:W6,"&lt;&gt;0"),"")</f>
        <v>14000</v>
      </c>
    </row>
    <row r="7" customFormat="false" ht="15" hidden="false" customHeight="false" outlineLevel="0" collapsed="false">
      <c r="A7" s="3" t="n">
        <v>3</v>
      </c>
      <c r="B7" s="3" t="s">
        <v>409</v>
      </c>
      <c r="C7" s="3" t="s">
        <v>471</v>
      </c>
      <c r="D7" s="32" t="n">
        <v>12500</v>
      </c>
      <c r="E7" s="32" t="n">
        <v>12500</v>
      </c>
      <c r="F7" s="32" t="n">
        <v>12500</v>
      </c>
      <c r="G7" s="32" t="n">
        <v>12500</v>
      </c>
      <c r="H7" s="32" t="n">
        <v>12500</v>
      </c>
      <c r="I7" s="32" t="n">
        <v>12500</v>
      </c>
      <c r="J7" s="32" t="n">
        <v>12500</v>
      </c>
      <c r="K7" s="32" t="n">
        <v>12500</v>
      </c>
      <c r="L7" s="32" t="n">
        <v>12500</v>
      </c>
      <c r="M7" s="32" t="n">
        <v>12500</v>
      </c>
      <c r="N7" s="32" t="n">
        <v>12500</v>
      </c>
      <c r="O7" s="32" t="n">
        <v>12500</v>
      </c>
      <c r="P7" s="32" t="n">
        <v>12500</v>
      </c>
      <c r="Q7" s="32" t="n">
        <v>12500</v>
      </c>
      <c r="R7" s="32" t="n">
        <v>12500</v>
      </c>
      <c r="S7" s="32" t="n">
        <v>12500</v>
      </c>
      <c r="T7" s="32" t="n">
        <v>12500</v>
      </c>
      <c r="U7" s="32" t="n">
        <v>12500</v>
      </c>
      <c r="V7" s="32" t="n">
        <v>12500</v>
      </c>
      <c r="W7" s="32" t="n">
        <v>12500</v>
      </c>
      <c r="X7" s="13" t="n">
        <f aca="false">IFERROR(AVERAGEIF(D7:H7,"&lt;&gt;0"),"")</f>
        <v>12500</v>
      </c>
      <c r="Y7" s="13" t="n">
        <f aca="false">IFERROR(AVERAGEIF(I7:M7,"&lt;&gt;0"),"")</f>
        <v>12500</v>
      </c>
      <c r="Z7" s="13" t="n">
        <f aca="false">IFERROR(AVERAGEIF(N7:R7,"&lt;&gt;0"),"")</f>
        <v>12500</v>
      </c>
      <c r="AA7" s="13" t="n">
        <f aca="false">IFERROR(AVERAGEIF(S7:W7,"&lt;&gt;0"),"")</f>
        <v>12500</v>
      </c>
      <c r="AB7" s="13" t="n">
        <f aca="false">IFERROR(AVERAGEIF(D7:W7,"&lt;&gt;0"),"")</f>
        <v>12500</v>
      </c>
    </row>
    <row r="8" customFormat="false" ht="15" hidden="false" customHeight="false" outlineLevel="0" collapsed="false">
      <c r="A8" s="3" t="n">
        <v>4</v>
      </c>
      <c r="B8" s="3" t="s">
        <v>472</v>
      </c>
      <c r="C8" s="3" t="s">
        <v>471</v>
      </c>
      <c r="D8" s="32" t="n">
        <v>11000</v>
      </c>
      <c r="E8" s="32" t="n">
        <v>11000</v>
      </c>
      <c r="F8" s="32" t="n">
        <v>11000</v>
      </c>
      <c r="G8" s="32" t="n">
        <v>11000</v>
      </c>
      <c r="H8" s="32" t="n">
        <v>11000</v>
      </c>
      <c r="I8" s="32" t="n">
        <v>11000</v>
      </c>
      <c r="J8" s="32" t="n">
        <v>11000</v>
      </c>
      <c r="K8" s="32" t="n">
        <v>11000</v>
      </c>
      <c r="L8" s="32" t="n">
        <v>11000</v>
      </c>
      <c r="M8" s="32" t="n">
        <v>11000</v>
      </c>
      <c r="N8" s="32" t="n">
        <v>11000</v>
      </c>
      <c r="O8" s="32" t="n">
        <v>11000</v>
      </c>
      <c r="P8" s="32" t="n">
        <v>11000</v>
      </c>
      <c r="Q8" s="32" t="n">
        <v>11000</v>
      </c>
      <c r="R8" s="32" t="n">
        <v>11000</v>
      </c>
      <c r="S8" s="32" t="n">
        <v>11000</v>
      </c>
      <c r="T8" s="32" t="n">
        <v>11000</v>
      </c>
      <c r="U8" s="32" t="n">
        <v>11000</v>
      </c>
      <c r="V8" s="32" t="n">
        <v>11000</v>
      </c>
      <c r="W8" s="32" t="n">
        <v>11000</v>
      </c>
      <c r="X8" s="13" t="n">
        <f aca="false">IFERROR(AVERAGEIF(D8:H8,"&lt;&gt;0"),"")</f>
        <v>11000</v>
      </c>
      <c r="Y8" s="13" t="n">
        <f aca="false">IFERROR(AVERAGEIF(I8:M8,"&lt;&gt;0"),"")</f>
        <v>11000</v>
      </c>
      <c r="Z8" s="13" t="n">
        <f aca="false">IFERROR(AVERAGEIF(N8:R8,"&lt;&gt;0"),"")</f>
        <v>11000</v>
      </c>
      <c r="AA8" s="13" t="n">
        <f aca="false">IFERROR(AVERAGEIF(S8:W8,"&lt;&gt;0"),"")</f>
        <v>11000</v>
      </c>
      <c r="AB8" s="13" t="n">
        <f aca="false">IFERROR(AVERAGEIF(D8:W8,"&lt;&gt;0"),"")</f>
        <v>11000</v>
      </c>
    </row>
    <row r="9" customFormat="false" ht="15" hidden="false" customHeight="false" outlineLevel="0" collapsed="false">
      <c r="A9" s="3" t="n">
        <v>5</v>
      </c>
      <c r="B9" s="3" t="s">
        <v>428</v>
      </c>
      <c r="C9" s="3" t="s">
        <v>471</v>
      </c>
      <c r="D9" s="32" t="n">
        <v>23000</v>
      </c>
      <c r="E9" s="32" t="n">
        <v>23000</v>
      </c>
      <c r="F9" s="32" t="n">
        <v>25000</v>
      </c>
      <c r="G9" s="32" t="n">
        <v>23000</v>
      </c>
      <c r="H9" s="32" t="n">
        <v>23000</v>
      </c>
      <c r="I9" s="32" t="n">
        <v>23000</v>
      </c>
      <c r="J9" s="32" t="n">
        <v>23000</v>
      </c>
      <c r="K9" s="32" t="n">
        <v>23000</v>
      </c>
      <c r="L9" s="32" t="n">
        <v>23000</v>
      </c>
      <c r="M9" s="32" t="n">
        <v>23000</v>
      </c>
      <c r="N9" s="32" t="n">
        <v>23000</v>
      </c>
      <c r="O9" s="32" t="n">
        <v>25000</v>
      </c>
      <c r="P9" s="32" t="n">
        <v>25000</v>
      </c>
      <c r="Q9" s="32" t="n">
        <v>25000</v>
      </c>
      <c r="R9" s="32" t="n">
        <v>25000</v>
      </c>
      <c r="S9" s="32" t="n">
        <v>25000</v>
      </c>
      <c r="T9" s="32" t="n">
        <v>25000</v>
      </c>
      <c r="U9" s="32" t="n">
        <v>25000</v>
      </c>
      <c r="V9" s="32" t="n">
        <v>25000</v>
      </c>
      <c r="W9" s="32" t="n">
        <v>25000</v>
      </c>
      <c r="X9" s="13" t="n">
        <f aca="false">IFERROR(AVERAGEIF(D9:H9,"&lt;&gt;0"),"")</f>
        <v>23400</v>
      </c>
      <c r="Y9" s="13" t="n">
        <f aca="false">IFERROR(AVERAGEIF(I9:M9,"&lt;&gt;0"),"")</f>
        <v>23000</v>
      </c>
      <c r="Z9" s="13" t="n">
        <f aca="false">IFERROR(AVERAGEIF(N9:R9,"&lt;&gt;0"),"")</f>
        <v>24600</v>
      </c>
      <c r="AA9" s="13" t="n">
        <f aca="false">IFERROR(AVERAGEIF(S9:W9,"&lt;&gt;0"),"")</f>
        <v>25000</v>
      </c>
      <c r="AB9" s="13" t="n">
        <f aca="false">IFERROR(AVERAGEIF(D9:W9,"&lt;&gt;0"),"")</f>
        <v>24000</v>
      </c>
    </row>
    <row r="10" customFormat="false" ht="15" hidden="false" customHeight="false" outlineLevel="0" collapsed="false">
      <c r="A10" s="3" t="n">
        <v>6</v>
      </c>
      <c r="B10" s="3" t="s">
        <v>429</v>
      </c>
      <c r="C10" s="3" t="s">
        <v>471</v>
      </c>
      <c r="D10" s="32" t="n">
        <v>26000</v>
      </c>
      <c r="E10" s="32" t="n">
        <v>26000</v>
      </c>
      <c r="F10" s="32" t="n">
        <v>26000</v>
      </c>
      <c r="G10" s="32" t="n">
        <v>23000</v>
      </c>
      <c r="H10" s="32" t="n">
        <v>23000</v>
      </c>
      <c r="I10" s="32" t="n">
        <v>23000</v>
      </c>
      <c r="J10" s="32" t="n">
        <v>23000</v>
      </c>
      <c r="K10" s="32" t="n">
        <v>23000</v>
      </c>
      <c r="L10" s="32" t="n">
        <v>23000</v>
      </c>
      <c r="M10" s="32" t="n">
        <v>23000</v>
      </c>
      <c r="N10" s="32" t="n">
        <v>23000</v>
      </c>
      <c r="O10" s="32" t="n">
        <v>25000</v>
      </c>
      <c r="P10" s="32" t="n">
        <v>25000</v>
      </c>
      <c r="Q10" s="32" t="n">
        <v>25000</v>
      </c>
      <c r="R10" s="32" t="n">
        <v>25000</v>
      </c>
      <c r="S10" s="32" t="n">
        <v>25000</v>
      </c>
      <c r="T10" s="32" t="n">
        <v>25000</v>
      </c>
      <c r="U10" s="32" t="n">
        <v>25000</v>
      </c>
      <c r="V10" s="32" t="n">
        <v>26000</v>
      </c>
      <c r="W10" s="32" t="n">
        <v>26000</v>
      </c>
      <c r="X10" s="13" t="n">
        <f aca="false">IFERROR(AVERAGEIF(D10:H10,"&lt;&gt;0"),"")</f>
        <v>24800</v>
      </c>
      <c r="Y10" s="13" t="n">
        <f aca="false">IFERROR(AVERAGEIF(I10:M10,"&lt;&gt;0"),"")</f>
        <v>23000</v>
      </c>
      <c r="Z10" s="13" t="n">
        <f aca="false">IFERROR(AVERAGEIF(N10:R10,"&lt;&gt;0"),"")</f>
        <v>24600</v>
      </c>
      <c r="AA10" s="13" t="n">
        <f aca="false">IFERROR(AVERAGEIF(S10:W10,"&lt;&gt;0"),"")</f>
        <v>25400</v>
      </c>
      <c r="AB10" s="13" t="n">
        <f aca="false">IFERROR(AVERAGEIF(D10:W10,"&lt;&gt;0"),"")</f>
        <v>24450</v>
      </c>
    </row>
    <row r="11" customFormat="false" ht="15" hidden="false" customHeight="false" outlineLevel="0" collapsed="false">
      <c r="A11" s="3" t="n">
        <v>7</v>
      </c>
      <c r="B11" s="3" t="s">
        <v>418</v>
      </c>
      <c r="C11" s="3" t="s">
        <v>471</v>
      </c>
      <c r="D11" s="32" t="n">
        <v>24000</v>
      </c>
      <c r="E11" s="32" t="n">
        <v>24000</v>
      </c>
      <c r="F11" s="32" t="n">
        <v>22000</v>
      </c>
      <c r="G11" s="32" t="n">
        <v>20000</v>
      </c>
      <c r="H11" s="32" t="n">
        <v>20000</v>
      </c>
      <c r="I11" s="32" t="n">
        <v>20000</v>
      </c>
      <c r="J11" s="32" t="n">
        <v>20000</v>
      </c>
      <c r="K11" s="32" t="n">
        <v>22000</v>
      </c>
      <c r="L11" s="32" t="n">
        <v>24000</v>
      </c>
      <c r="M11" s="32" t="n">
        <v>24000</v>
      </c>
      <c r="N11" s="32" t="n">
        <v>24000</v>
      </c>
      <c r="O11" s="32" t="n">
        <v>24000</v>
      </c>
      <c r="P11" s="32" t="n">
        <v>24000</v>
      </c>
      <c r="Q11" s="32" t="n">
        <v>24000</v>
      </c>
      <c r="R11" s="32" t="n">
        <v>24000</v>
      </c>
      <c r="S11" s="32" t="n">
        <v>24000</v>
      </c>
      <c r="T11" s="32" t="n">
        <v>24000</v>
      </c>
      <c r="U11" s="32" t="n">
        <v>24000</v>
      </c>
      <c r="V11" s="32" t="n">
        <v>24000</v>
      </c>
      <c r="W11" s="32" t="n">
        <v>24000</v>
      </c>
      <c r="X11" s="13" t="n">
        <f aca="false">IFERROR(AVERAGEIF(D11:H11,"&lt;&gt;0"),"")</f>
        <v>22000</v>
      </c>
      <c r="Y11" s="13" t="n">
        <f aca="false">IFERROR(AVERAGEIF(I11:M11,"&lt;&gt;0"),"")</f>
        <v>22000</v>
      </c>
      <c r="Z11" s="13" t="n">
        <f aca="false">IFERROR(AVERAGEIF(N11:R11,"&lt;&gt;0"),"")</f>
        <v>24000</v>
      </c>
      <c r="AA11" s="13" t="n">
        <f aca="false">IFERROR(AVERAGEIF(S11:W11,"&lt;&gt;0"),"")</f>
        <v>24000</v>
      </c>
      <c r="AB11" s="13" t="n">
        <f aca="false">IFERROR(AVERAGEIF(D11:W11,"&lt;&gt;0"),"")</f>
        <v>23000</v>
      </c>
    </row>
    <row r="12" customFormat="false" ht="15" hidden="false" customHeight="false" outlineLevel="0" collapsed="false">
      <c r="A12" s="3" t="n">
        <v>8</v>
      </c>
      <c r="B12" s="3" t="s">
        <v>423</v>
      </c>
      <c r="C12" s="3" t="s">
        <v>471</v>
      </c>
      <c r="D12" s="32" t="n">
        <v>24000</v>
      </c>
      <c r="E12" s="32" t="n">
        <v>24000</v>
      </c>
      <c r="F12" s="32" t="n">
        <v>24000</v>
      </c>
      <c r="G12" s="32" t="n">
        <v>23000</v>
      </c>
      <c r="H12" s="32" t="n">
        <v>23000</v>
      </c>
      <c r="I12" s="32" t="n">
        <v>23000</v>
      </c>
      <c r="J12" s="32" t="n">
        <v>23000</v>
      </c>
      <c r="K12" s="32" t="n">
        <v>23000</v>
      </c>
      <c r="L12" s="32" t="n">
        <v>23000</v>
      </c>
      <c r="M12" s="32" t="n">
        <v>23000</v>
      </c>
      <c r="N12" s="32" t="n">
        <v>23000</v>
      </c>
      <c r="O12" s="32" t="n">
        <v>25000</v>
      </c>
      <c r="P12" s="32" t="n">
        <v>25000</v>
      </c>
      <c r="Q12" s="32" t="n">
        <v>25000</v>
      </c>
      <c r="R12" s="32" t="n">
        <v>25000</v>
      </c>
      <c r="S12" s="32" t="n">
        <v>25000</v>
      </c>
      <c r="T12" s="32" t="n">
        <v>25000</v>
      </c>
      <c r="U12" s="32" t="n">
        <v>25000</v>
      </c>
      <c r="V12" s="32" t="n">
        <v>26000</v>
      </c>
      <c r="W12" s="32" t="n">
        <v>26000</v>
      </c>
      <c r="X12" s="13" t="n">
        <f aca="false">IFERROR(AVERAGEIF(D12:H12,"&lt;&gt;0"),"")</f>
        <v>23600</v>
      </c>
      <c r="Y12" s="13" t="n">
        <f aca="false">IFERROR(AVERAGEIF(I12:M12,"&lt;&gt;0"),"")</f>
        <v>23000</v>
      </c>
      <c r="Z12" s="13" t="n">
        <f aca="false">IFERROR(AVERAGEIF(N12:R12,"&lt;&gt;0"),"")</f>
        <v>24600</v>
      </c>
      <c r="AA12" s="13" t="n">
        <f aca="false">IFERROR(AVERAGEIF(S12:W12,"&lt;&gt;0"),"")</f>
        <v>25400</v>
      </c>
      <c r="AB12" s="13" t="n">
        <f aca="false">IFERROR(AVERAGEIF(D12:W12,"&lt;&gt;0"),"")</f>
        <v>24150</v>
      </c>
    </row>
    <row r="13" customFormat="false" ht="15" hidden="false" customHeight="false" outlineLevel="0" collapsed="false">
      <c r="A13" s="3" t="n">
        <v>9</v>
      </c>
      <c r="B13" s="3" t="s">
        <v>420</v>
      </c>
      <c r="C13" s="3" t="s">
        <v>471</v>
      </c>
      <c r="D13" s="32" t="n">
        <v>15000</v>
      </c>
      <c r="E13" s="32" t="n">
        <v>15000</v>
      </c>
      <c r="F13" s="32" t="n">
        <v>15000</v>
      </c>
      <c r="G13" s="32" t="n">
        <v>15000</v>
      </c>
      <c r="H13" s="32" t="n">
        <v>15000</v>
      </c>
      <c r="I13" s="32" t="n">
        <v>15000</v>
      </c>
      <c r="J13" s="32" t="n">
        <v>15000</v>
      </c>
      <c r="K13" s="32" t="n">
        <v>15000</v>
      </c>
      <c r="L13" s="32" t="n">
        <v>15000</v>
      </c>
      <c r="M13" s="32" t="n">
        <v>15000</v>
      </c>
      <c r="N13" s="32" t="n">
        <v>15000</v>
      </c>
      <c r="O13" s="32" t="n">
        <v>15000</v>
      </c>
      <c r="P13" s="32" t="n">
        <v>15000</v>
      </c>
      <c r="Q13" s="32" t="n">
        <v>15000</v>
      </c>
      <c r="R13" s="32" t="n">
        <v>15000</v>
      </c>
      <c r="S13" s="32" t="n">
        <v>15000</v>
      </c>
      <c r="T13" s="32" t="n">
        <v>15000</v>
      </c>
      <c r="U13" s="32" t="n">
        <v>15000</v>
      </c>
      <c r="V13" s="32" t="n">
        <v>15000</v>
      </c>
      <c r="W13" s="32" t="n">
        <v>15000</v>
      </c>
      <c r="X13" s="13" t="n">
        <f aca="false">IFERROR(AVERAGEIF(D13:H13,"&lt;&gt;0"),"")</f>
        <v>15000</v>
      </c>
      <c r="Y13" s="13" t="n">
        <f aca="false">IFERROR(AVERAGEIF(I13:M13,"&lt;&gt;0"),"")</f>
        <v>15000</v>
      </c>
      <c r="Z13" s="13" t="n">
        <f aca="false">IFERROR(AVERAGEIF(N13:R13,"&lt;&gt;0"),"")</f>
        <v>15000</v>
      </c>
      <c r="AA13" s="13" t="n">
        <f aca="false">IFERROR(AVERAGEIF(S13:W13,"&lt;&gt;0"),"")</f>
        <v>15000</v>
      </c>
      <c r="AB13" s="13" t="n">
        <f aca="false">IFERROR(AVERAGEIF(D13:W13,"&lt;&gt;0"),"")</f>
        <v>15000</v>
      </c>
    </row>
    <row r="14" customFormat="false" ht="15" hidden="false" customHeight="false" outlineLevel="0" collapsed="false">
      <c r="A14" s="3" t="n">
        <v>10</v>
      </c>
      <c r="B14" s="3" t="s">
        <v>413</v>
      </c>
      <c r="C14" s="3" t="s">
        <v>471</v>
      </c>
      <c r="D14" s="32" t="n">
        <v>15000</v>
      </c>
      <c r="E14" s="32" t="n">
        <v>15000</v>
      </c>
      <c r="F14" s="32" t="n">
        <v>15000</v>
      </c>
      <c r="G14" s="32" t="n">
        <v>15000</v>
      </c>
      <c r="H14" s="32" t="n">
        <v>15000</v>
      </c>
      <c r="I14" s="32" t="n">
        <v>15000</v>
      </c>
      <c r="J14" s="32" t="n">
        <v>15000</v>
      </c>
      <c r="K14" s="32" t="n">
        <v>15000</v>
      </c>
      <c r="L14" s="32" t="n">
        <v>15000</v>
      </c>
      <c r="M14" s="32" t="n">
        <v>15000</v>
      </c>
      <c r="N14" s="32" t="n">
        <v>15000</v>
      </c>
      <c r="O14" s="32" t="n">
        <v>15000</v>
      </c>
      <c r="P14" s="32" t="n">
        <v>15000</v>
      </c>
      <c r="Q14" s="32" t="n">
        <v>15000</v>
      </c>
      <c r="R14" s="32" t="n">
        <v>15000</v>
      </c>
      <c r="S14" s="32" t="n">
        <v>15000</v>
      </c>
      <c r="T14" s="32" t="n">
        <v>15000</v>
      </c>
      <c r="U14" s="32" t="n">
        <v>15000</v>
      </c>
      <c r="V14" s="32" t="n">
        <v>15000</v>
      </c>
      <c r="W14" s="32" t="n">
        <v>15000</v>
      </c>
      <c r="X14" s="13" t="n">
        <f aca="false">IFERROR(AVERAGEIF(D14:H14,"&lt;&gt;0"),"")</f>
        <v>15000</v>
      </c>
      <c r="Y14" s="13" t="n">
        <f aca="false">IFERROR(AVERAGEIF(I14:M14,"&lt;&gt;0"),"")</f>
        <v>15000</v>
      </c>
      <c r="Z14" s="13" t="n">
        <f aca="false">IFERROR(AVERAGEIF(N14:R14,"&lt;&gt;0"),"")</f>
        <v>15000</v>
      </c>
      <c r="AA14" s="13" t="n">
        <f aca="false">IFERROR(AVERAGEIF(S14:W14,"&lt;&gt;0"),"")</f>
        <v>15000</v>
      </c>
      <c r="AB14" s="13" t="n">
        <f aca="false">IFERROR(AVERAGEIF(D14:W14,"&lt;&gt;0"),"")</f>
        <v>15000</v>
      </c>
    </row>
    <row r="15" customFormat="false" ht="15" hidden="false" customHeight="false" outlineLevel="0" collapsed="false">
      <c r="A15" s="3" t="n">
        <v>11</v>
      </c>
      <c r="B15" s="3" t="s">
        <v>414</v>
      </c>
      <c r="C15" s="3" t="s">
        <v>471</v>
      </c>
      <c r="D15" s="32" t="n">
        <v>18000</v>
      </c>
      <c r="E15" s="32" t="n">
        <v>18000</v>
      </c>
      <c r="F15" s="32" t="n">
        <v>18000</v>
      </c>
      <c r="G15" s="32" t="n">
        <v>18000</v>
      </c>
      <c r="H15" s="32" t="n">
        <v>18000</v>
      </c>
      <c r="I15" s="32" t="n">
        <v>18000</v>
      </c>
      <c r="J15" s="32" t="n">
        <v>18000</v>
      </c>
      <c r="K15" s="32" t="n">
        <v>18000</v>
      </c>
      <c r="L15" s="32" t="n">
        <v>18000</v>
      </c>
      <c r="M15" s="32" t="n">
        <v>18000</v>
      </c>
      <c r="N15" s="32" t="n">
        <v>18000</v>
      </c>
      <c r="O15" s="32" t="n">
        <v>18000</v>
      </c>
      <c r="P15" s="32" t="n">
        <v>18000</v>
      </c>
      <c r="Q15" s="32" t="n">
        <v>18000</v>
      </c>
      <c r="R15" s="32" t="n">
        <v>18000</v>
      </c>
      <c r="S15" s="32" t="n">
        <v>18000</v>
      </c>
      <c r="T15" s="32" t="n">
        <v>18000</v>
      </c>
      <c r="U15" s="32" t="n">
        <v>18000</v>
      </c>
      <c r="V15" s="32" t="n">
        <v>18000</v>
      </c>
      <c r="W15" s="32" t="n">
        <v>18000</v>
      </c>
      <c r="X15" s="13" t="n">
        <f aca="false">IFERROR(AVERAGEIF(D15:H15,"&lt;&gt;0"),"")</f>
        <v>18000</v>
      </c>
      <c r="Y15" s="13" t="n">
        <f aca="false">IFERROR(AVERAGEIF(I15:M15,"&lt;&gt;0"),"")</f>
        <v>18000</v>
      </c>
      <c r="Z15" s="13" t="n">
        <f aca="false">IFERROR(AVERAGEIF(N15:R15,"&lt;&gt;0"),"")</f>
        <v>18000</v>
      </c>
      <c r="AA15" s="13" t="n">
        <f aca="false">IFERROR(AVERAGEIF(S15:W15,"&lt;&gt;0"),"")</f>
        <v>18000</v>
      </c>
      <c r="AB15" s="13" t="n">
        <f aca="false">IFERROR(AVERAGEIF(D15:W15,"&lt;&gt;0"),"")</f>
        <v>18000</v>
      </c>
    </row>
    <row r="16" customFormat="false" ht="15" hidden="false" customHeight="false" outlineLevel="0" collapsed="false">
      <c r="A16" s="3" t="n">
        <v>12</v>
      </c>
      <c r="B16" s="3" t="s">
        <v>415</v>
      </c>
      <c r="C16" s="3" t="s">
        <v>471</v>
      </c>
      <c r="D16" s="32" t="n">
        <v>15700</v>
      </c>
      <c r="E16" s="32" t="n">
        <v>15700</v>
      </c>
      <c r="F16" s="32" t="n">
        <v>15700</v>
      </c>
      <c r="G16" s="32" t="n">
        <v>15700</v>
      </c>
      <c r="H16" s="32" t="n">
        <v>15700</v>
      </c>
      <c r="I16" s="32" t="n">
        <v>15700</v>
      </c>
      <c r="J16" s="32" t="n">
        <v>15700</v>
      </c>
      <c r="K16" s="32" t="n">
        <v>15700</v>
      </c>
      <c r="L16" s="32" t="n">
        <v>15700</v>
      </c>
      <c r="M16" s="32" t="n">
        <v>15700</v>
      </c>
      <c r="N16" s="32" t="n">
        <v>15700</v>
      </c>
      <c r="O16" s="32" t="n">
        <v>15700</v>
      </c>
      <c r="P16" s="32" t="n">
        <v>15700</v>
      </c>
      <c r="Q16" s="32" t="n">
        <v>15700</v>
      </c>
      <c r="R16" s="32" t="n">
        <v>15700</v>
      </c>
      <c r="S16" s="32" t="n">
        <v>15700</v>
      </c>
      <c r="T16" s="32" t="n">
        <v>15700</v>
      </c>
      <c r="U16" s="32" t="n">
        <v>15700</v>
      </c>
      <c r="V16" s="32" t="n">
        <v>15700</v>
      </c>
      <c r="W16" s="32" t="n">
        <v>15700</v>
      </c>
      <c r="X16" s="13" t="n">
        <f aca="false">IFERROR(AVERAGEIF(D16:H16,"&lt;&gt;0"),"")</f>
        <v>15700</v>
      </c>
      <c r="Y16" s="13" t="n">
        <f aca="false">IFERROR(AVERAGEIF(I16:M16,"&lt;&gt;0"),"")</f>
        <v>15700</v>
      </c>
      <c r="Z16" s="13" t="n">
        <f aca="false">IFERROR(AVERAGEIF(N16:R16,"&lt;&gt;0"),"")</f>
        <v>15700</v>
      </c>
      <c r="AA16" s="13" t="n">
        <f aca="false">IFERROR(AVERAGEIF(S16:W16,"&lt;&gt;0"),"")</f>
        <v>15700</v>
      </c>
      <c r="AB16" s="13" t="n">
        <f aca="false">IFERROR(AVERAGEIF(D16:W16,"&lt;&gt;0"),"")</f>
        <v>15700</v>
      </c>
    </row>
    <row r="17" customFormat="false" ht="15" hidden="false" customHeight="false" outlineLevel="0" collapsed="false">
      <c r="A17" s="3" t="n">
        <v>13</v>
      </c>
      <c r="B17" s="3" t="s">
        <v>410</v>
      </c>
      <c r="C17" s="3" t="s">
        <v>471</v>
      </c>
      <c r="D17" s="32" t="n">
        <v>11000</v>
      </c>
      <c r="E17" s="32" t="n">
        <v>11000</v>
      </c>
      <c r="F17" s="32" t="n">
        <v>11000</v>
      </c>
      <c r="G17" s="32" t="n">
        <v>10500</v>
      </c>
      <c r="H17" s="32" t="n">
        <v>10500</v>
      </c>
      <c r="I17" s="32" t="n">
        <v>10500</v>
      </c>
      <c r="J17" s="32" t="n">
        <v>10500</v>
      </c>
      <c r="K17" s="32" t="n">
        <v>10500</v>
      </c>
      <c r="L17" s="32" t="n">
        <v>10500</v>
      </c>
      <c r="M17" s="32" t="n">
        <v>10500</v>
      </c>
      <c r="N17" s="32" t="n">
        <v>10500</v>
      </c>
      <c r="O17" s="32" t="n">
        <v>10500</v>
      </c>
      <c r="P17" s="32" t="n">
        <v>10500</v>
      </c>
      <c r="Q17" s="32" t="n">
        <v>10500</v>
      </c>
      <c r="R17" s="32" t="n">
        <v>10500</v>
      </c>
      <c r="S17" s="32" t="n">
        <v>10500</v>
      </c>
      <c r="T17" s="32" t="n">
        <v>10500</v>
      </c>
      <c r="U17" s="32" t="n">
        <v>10500</v>
      </c>
      <c r="V17" s="32" t="n">
        <v>10500</v>
      </c>
      <c r="W17" s="32" t="n">
        <v>10500</v>
      </c>
      <c r="X17" s="13" t="n">
        <f aca="false">IFERROR(AVERAGEIF(D17:H17,"&lt;&gt;0"),"")</f>
        <v>10800</v>
      </c>
      <c r="Y17" s="13" t="n">
        <f aca="false">IFERROR(AVERAGEIF(I17:M17,"&lt;&gt;0"),"")</f>
        <v>10500</v>
      </c>
      <c r="Z17" s="13" t="n">
        <f aca="false">IFERROR(AVERAGEIF(N17:R17,"&lt;&gt;0"),"")</f>
        <v>10500</v>
      </c>
      <c r="AA17" s="13" t="n">
        <f aca="false">IFERROR(AVERAGEIF(S17:W17,"&lt;&gt;0"),"")</f>
        <v>10500</v>
      </c>
      <c r="AB17" s="13" t="n">
        <f aca="false">IFERROR(AVERAGEIF(D17:W17,"&lt;&gt;0"),"")</f>
        <v>10575</v>
      </c>
    </row>
    <row r="18" customFormat="false" ht="15" hidden="false" customHeight="false" outlineLevel="0" collapsed="false">
      <c r="A18" s="3" t="n">
        <v>14</v>
      </c>
      <c r="B18" s="3" t="s">
        <v>412</v>
      </c>
      <c r="C18" s="3" t="s">
        <v>471</v>
      </c>
      <c r="D18" s="32" t="n">
        <v>28000</v>
      </c>
      <c r="E18" s="32" t="n">
        <v>28000</v>
      </c>
      <c r="F18" s="32" t="n">
        <v>28000</v>
      </c>
      <c r="G18" s="32" t="n">
        <v>26000</v>
      </c>
      <c r="H18" s="32" t="n">
        <v>26000</v>
      </c>
      <c r="I18" s="32" t="n">
        <v>26000</v>
      </c>
      <c r="J18" s="32" t="n">
        <v>26000</v>
      </c>
      <c r="K18" s="32" t="n">
        <v>26000</v>
      </c>
      <c r="L18" s="32" t="n">
        <v>26000</v>
      </c>
      <c r="M18" s="32" t="n">
        <v>26000</v>
      </c>
      <c r="N18" s="32" t="n">
        <v>26000</v>
      </c>
      <c r="O18" s="32" t="n">
        <v>26000</v>
      </c>
      <c r="P18" s="32" t="n">
        <v>26000</v>
      </c>
      <c r="Q18" s="32" t="n">
        <v>26000</v>
      </c>
      <c r="R18" s="32" t="n">
        <v>26000</v>
      </c>
      <c r="S18" s="32" t="n">
        <v>26000</v>
      </c>
      <c r="T18" s="32" t="n">
        <v>26000</v>
      </c>
      <c r="U18" s="32" t="n">
        <v>26000</v>
      </c>
      <c r="V18" s="32" t="n">
        <v>26000</v>
      </c>
      <c r="W18" s="32" t="n">
        <v>26000</v>
      </c>
      <c r="X18" s="13" t="n">
        <f aca="false">IFERROR(AVERAGEIF(D18:H18,"&lt;&gt;0"),"")</f>
        <v>27200</v>
      </c>
      <c r="Y18" s="13" t="n">
        <f aca="false">IFERROR(AVERAGEIF(I18:M18,"&lt;&gt;0"),"")</f>
        <v>26000</v>
      </c>
      <c r="Z18" s="13" t="n">
        <f aca="false">IFERROR(AVERAGEIF(N18:R18,"&lt;&gt;0"),"")</f>
        <v>26000</v>
      </c>
      <c r="AA18" s="13" t="n">
        <f aca="false">IFERROR(AVERAGEIF(S18:W18,"&lt;&gt;0"),"")</f>
        <v>26000</v>
      </c>
      <c r="AB18" s="13" t="n">
        <f aca="false">IFERROR(AVERAGEIF(D18:W18,"&lt;&gt;0"),"")</f>
        <v>26300</v>
      </c>
    </row>
    <row r="19" customFormat="false" ht="15" hidden="false" customHeight="false" outlineLevel="0" collapsed="false">
      <c r="A19" s="3" t="n">
        <v>15</v>
      </c>
      <c r="B19" s="3" t="s">
        <v>419</v>
      </c>
      <c r="C19" s="3" t="s">
        <v>471</v>
      </c>
      <c r="D19" s="32" t="n">
        <v>27000</v>
      </c>
      <c r="E19" s="32" t="n">
        <v>27000</v>
      </c>
      <c r="F19" s="32" t="n">
        <v>27000</v>
      </c>
      <c r="G19" s="32" t="n">
        <v>26000</v>
      </c>
      <c r="H19" s="32" t="n">
        <v>26000</v>
      </c>
      <c r="I19" s="32" t="n">
        <v>26000</v>
      </c>
      <c r="J19" s="32" t="n">
        <v>26000</v>
      </c>
      <c r="K19" s="32" t="n">
        <v>26000</v>
      </c>
      <c r="L19" s="32" t="n">
        <v>26000</v>
      </c>
      <c r="M19" s="32" t="n">
        <v>26000</v>
      </c>
      <c r="N19" s="32" t="n">
        <v>26000</v>
      </c>
      <c r="O19" s="32" t="n">
        <v>26000</v>
      </c>
      <c r="P19" s="32" t="n">
        <v>26000</v>
      </c>
      <c r="Q19" s="32" t="n">
        <v>26000</v>
      </c>
      <c r="R19" s="32" t="n">
        <v>26000</v>
      </c>
      <c r="S19" s="32" t="n">
        <v>26000</v>
      </c>
      <c r="T19" s="32" t="n">
        <v>26000</v>
      </c>
      <c r="U19" s="32" t="n">
        <v>26000</v>
      </c>
      <c r="V19" s="32" t="n">
        <v>26000</v>
      </c>
      <c r="W19" s="32" t="n">
        <v>26000</v>
      </c>
      <c r="X19" s="13" t="n">
        <f aca="false">IFERROR(AVERAGEIF(D19:H19,"&lt;&gt;0"),"")</f>
        <v>26600</v>
      </c>
      <c r="Y19" s="13" t="n">
        <f aca="false">IFERROR(AVERAGEIF(I19:M19,"&lt;&gt;0"),"")</f>
        <v>26000</v>
      </c>
      <c r="Z19" s="13" t="n">
        <f aca="false">IFERROR(AVERAGEIF(N19:R19,"&lt;&gt;0"),"")</f>
        <v>26000</v>
      </c>
      <c r="AA19" s="13" t="n">
        <f aca="false">IFERROR(AVERAGEIF(S19:W19,"&lt;&gt;0"),"")</f>
        <v>26000</v>
      </c>
      <c r="AB19" s="13" t="n">
        <f aca="false">IFERROR(AVERAGEIF(D19:W19,"&lt;&gt;0"),"")</f>
        <v>26150</v>
      </c>
    </row>
    <row r="20" customFormat="false" ht="15" hidden="false" customHeight="false" outlineLevel="0" collapsed="false">
      <c r="A20" s="3" t="n">
        <v>16</v>
      </c>
      <c r="B20" s="3" t="s">
        <v>430</v>
      </c>
      <c r="C20" s="3" t="s">
        <v>471</v>
      </c>
      <c r="D20" s="32" t="n">
        <v>110000</v>
      </c>
      <c r="E20" s="32" t="n">
        <v>110000</v>
      </c>
      <c r="F20" s="32" t="n">
        <v>110000</v>
      </c>
      <c r="G20" s="32" t="n">
        <v>110000</v>
      </c>
      <c r="H20" s="32" t="n">
        <v>110000</v>
      </c>
      <c r="I20" s="32" t="n">
        <v>110000</v>
      </c>
      <c r="J20" s="32" t="n">
        <v>110000</v>
      </c>
      <c r="K20" s="32" t="n">
        <v>110000</v>
      </c>
      <c r="L20" s="32" t="n">
        <v>110000</v>
      </c>
      <c r="M20" s="32" t="n">
        <v>110000</v>
      </c>
      <c r="N20" s="32" t="n">
        <v>110000</v>
      </c>
      <c r="O20" s="32" t="n">
        <v>110000</v>
      </c>
      <c r="P20" s="32" t="n">
        <v>110000</v>
      </c>
      <c r="Q20" s="32" t="n">
        <v>110000</v>
      </c>
      <c r="R20" s="32" t="n">
        <v>110000</v>
      </c>
      <c r="S20" s="32" t="n">
        <v>110000</v>
      </c>
      <c r="T20" s="32" t="n">
        <v>110000</v>
      </c>
      <c r="U20" s="32" t="n">
        <v>110000</v>
      </c>
      <c r="V20" s="32" t="n">
        <v>110000</v>
      </c>
      <c r="W20" s="32" t="n">
        <v>110000</v>
      </c>
      <c r="X20" s="13" t="n">
        <f aca="false">IFERROR(AVERAGEIF(D20:H20,"&lt;&gt;0"),"")</f>
        <v>110000</v>
      </c>
      <c r="Y20" s="13" t="n">
        <f aca="false">IFERROR(AVERAGEIF(I20:M20,"&lt;&gt;0"),"")</f>
        <v>110000</v>
      </c>
      <c r="Z20" s="13" t="n">
        <f aca="false">IFERROR(AVERAGEIF(N20:R20,"&lt;&gt;0"),"")</f>
        <v>110000</v>
      </c>
      <c r="AA20" s="13" t="n">
        <f aca="false">IFERROR(AVERAGEIF(S20:W20,"&lt;&gt;0"),"")</f>
        <v>110000</v>
      </c>
      <c r="AB20" s="13" t="n">
        <f aca="false">IFERROR(AVERAGEIF(D20:W20,"&lt;&gt;0"),"")</f>
        <v>110000</v>
      </c>
    </row>
    <row r="21" customFormat="false" ht="15" hidden="false" customHeight="false" outlineLevel="0" collapsed="false">
      <c r="A21" s="3" t="n">
        <v>17</v>
      </c>
      <c r="B21" s="3" t="s">
        <v>431</v>
      </c>
      <c r="C21" s="3" t="s">
        <v>471</v>
      </c>
      <c r="D21" s="32" t="n">
        <v>60000</v>
      </c>
      <c r="E21" s="32" t="n">
        <v>60000</v>
      </c>
      <c r="F21" s="32" t="n">
        <v>60000</v>
      </c>
      <c r="G21" s="32" t="n">
        <v>60000</v>
      </c>
      <c r="H21" s="32" t="n">
        <v>60000</v>
      </c>
      <c r="I21" s="32" t="n">
        <v>60000</v>
      </c>
      <c r="J21" s="32" t="n">
        <v>60000</v>
      </c>
      <c r="K21" s="32" t="n">
        <v>60000</v>
      </c>
      <c r="L21" s="32" t="n">
        <v>60000</v>
      </c>
      <c r="M21" s="32" t="n">
        <v>60000</v>
      </c>
      <c r="N21" s="32" t="n">
        <v>60000</v>
      </c>
      <c r="O21" s="32" t="n">
        <v>60000</v>
      </c>
      <c r="P21" s="32" t="n">
        <v>60000</v>
      </c>
      <c r="Q21" s="32" t="n">
        <v>60000</v>
      </c>
      <c r="R21" s="32" t="n">
        <v>60000</v>
      </c>
      <c r="S21" s="32" t="n">
        <v>60000</v>
      </c>
      <c r="T21" s="32" t="n">
        <v>60000</v>
      </c>
      <c r="U21" s="32" t="n">
        <v>60000</v>
      </c>
      <c r="V21" s="32" t="n">
        <v>60000</v>
      </c>
      <c r="W21" s="32" t="n">
        <v>60000</v>
      </c>
      <c r="X21" s="13" t="n">
        <f aca="false">IFERROR(AVERAGEIF(D21:H21,"&lt;&gt;0"),"")</f>
        <v>60000</v>
      </c>
      <c r="Y21" s="13" t="n">
        <f aca="false">IFERROR(AVERAGEIF(I21:M21,"&lt;&gt;0"),"")</f>
        <v>60000</v>
      </c>
      <c r="Z21" s="13" t="n">
        <f aca="false">IFERROR(AVERAGEIF(N21:R21,"&lt;&gt;0"),"")</f>
        <v>60000</v>
      </c>
      <c r="AA21" s="13" t="n">
        <f aca="false">IFERROR(AVERAGEIF(S21:W21,"&lt;&gt;0"),"")</f>
        <v>60000</v>
      </c>
      <c r="AB21" s="13" t="n">
        <f aca="false">IFERROR(AVERAGEIF(D21:W21,"&lt;&gt;0"),"")</f>
        <v>60000</v>
      </c>
    </row>
    <row r="22" customFormat="false" ht="15" hidden="false" customHeight="false" outlineLevel="0" collapsed="false">
      <c r="A22" s="3" t="n">
        <v>18</v>
      </c>
      <c r="B22" s="3" t="s">
        <v>432</v>
      </c>
      <c r="C22" s="3" t="s">
        <v>471</v>
      </c>
      <c r="D22" s="32" t="n">
        <v>55000</v>
      </c>
      <c r="E22" s="32" t="n">
        <v>55000</v>
      </c>
      <c r="F22" s="32" t="n">
        <v>55000</v>
      </c>
      <c r="G22" s="32" t="n">
        <v>55000</v>
      </c>
      <c r="H22" s="32" t="n">
        <v>55000</v>
      </c>
      <c r="I22" s="32" t="n">
        <v>55000</v>
      </c>
      <c r="J22" s="32" t="n">
        <v>55000</v>
      </c>
      <c r="K22" s="32" t="n">
        <v>55000</v>
      </c>
      <c r="L22" s="32" t="n">
        <v>55000</v>
      </c>
      <c r="M22" s="32" t="n">
        <v>55000</v>
      </c>
      <c r="N22" s="32" t="n">
        <v>55000</v>
      </c>
      <c r="O22" s="32" t="n">
        <v>55000</v>
      </c>
      <c r="P22" s="32" t="n">
        <v>55000</v>
      </c>
      <c r="Q22" s="32" t="n">
        <v>55000</v>
      </c>
      <c r="R22" s="32" t="n">
        <v>55000</v>
      </c>
      <c r="S22" s="32" t="n">
        <v>55000</v>
      </c>
      <c r="T22" s="32" t="n">
        <v>55000</v>
      </c>
      <c r="U22" s="32" t="n">
        <v>55000</v>
      </c>
      <c r="V22" s="32" t="n">
        <v>55000</v>
      </c>
      <c r="W22" s="32" t="n">
        <v>55000</v>
      </c>
      <c r="X22" s="13" t="n">
        <f aca="false">IFERROR(AVERAGEIF(D22:H22,"&lt;&gt;0"),"")</f>
        <v>55000</v>
      </c>
      <c r="Y22" s="13" t="n">
        <f aca="false">IFERROR(AVERAGEIF(I22:M22,"&lt;&gt;0"),"")</f>
        <v>55000</v>
      </c>
      <c r="Z22" s="13" t="n">
        <f aca="false">IFERROR(AVERAGEIF(N22:R22,"&lt;&gt;0"),"")</f>
        <v>55000</v>
      </c>
      <c r="AA22" s="13" t="n">
        <f aca="false">IFERROR(AVERAGEIF(S22:W22,"&lt;&gt;0"),"")</f>
        <v>55000</v>
      </c>
      <c r="AB22" s="13" t="n">
        <f aca="false">IFERROR(AVERAGEIF(D22:W22,"&lt;&gt;0"),"")</f>
        <v>55000</v>
      </c>
    </row>
    <row r="23" customFormat="false" ht="15" hidden="false" customHeight="false" outlineLevel="0" collapsed="false">
      <c r="A23" s="3" t="n">
        <v>19</v>
      </c>
      <c r="B23" s="3" t="s">
        <v>473</v>
      </c>
      <c r="C23" s="3" t="s">
        <v>471</v>
      </c>
      <c r="D23" s="32" t="n">
        <v>28000</v>
      </c>
      <c r="E23" s="32" t="n">
        <v>28000</v>
      </c>
      <c r="F23" s="32" t="n">
        <v>28000</v>
      </c>
      <c r="G23" s="32" t="n">
        <v>28000</v>
      </c>
      <c r="H23" s="32" t="n">
        <v>28000</v>
      </c>
      <c r="I23" s="32" t="n">
        <v>28000</v>
      </c>
      <c r="J23" s="32" t="n">
        <v>28000</v>
      </c>
      <c r="K23" s="32" t="n">
        <v>28000</v>
      </c>
      <c r="L23" s="32" t="n">
        <v>28000</v>
      </c>
      <c r="M23" s="32" t="n">
        <v>28000</v>
      </c>
      <c r="N23" s="32" t="n">
        <v>28000</v>
      </c>
      <c r="O23" s="32" t="n">
        <v>28000</v>
      </c>
      <c r="P23" s="32" t="n">
        <v>28000</v>
      </c>
      <c r="Q23" s="32" t="n">
        <v>28000</v>
      </c>
      <c r="R23" s="32" t="n">
        <v>28000</v>
      </c>
      <c r="S23" s="32" t="n">
        <v>28000</v>
      </c>
      <c r="T23" s="32" t="n">
        <v>28000</v>
      </c>
      <c r="U23" s="32" t="n">
        <v>28000</v>
      </c>
      <c r="V23" s="32" t="n">
        <v>28000</v>
      </c>
      <c r="W23" s="32" t="n">
        <v>28000</v>
      </c>
      <c r="X23" s="13" t="n">
        <f aca="false">IFERROR(AVERAGEIF(D23:H23,"&lt;&gt;0"),"")</f>
        <v>28000</v>
      </c>
      <c r="Y23" s="13" t="n">
        <f aca="false">IFERROR(AVERAGEIF(I23:M23,"&lt;&gt;0"),"")</f>
        <v>28000</v>
      </c>
      <c r="Z23" s="13" t="n">
        <f aca="false">IFERROR(AVERAGEIF(N23:R23,"&lt;&gt;0"),"")</f>
        <v>28000</v>
      </c>
      <c r="AA23" s="13" t="n">
        <f aca="false">IFERROR(AVERAGEIF(S23:W23,"&lt;&gt;0"),"")</f>
        <v>28000</v>
      </c>
      <c r="AB23" s="13" t="n">
        <f aca="false">IFERROR(AVERAGEIF(D23:W23,"&lt;&gt;0"),"")</f>
        <v>28000</v>
      </c>
    </row>
    <row r="24" customFormat="false" ht="15" hidden="false" customHeight="false" outlineLevel="0" collapsed="false">
      <c r="A24" s="3" t="n">
        <v>20</v>
      </c>
      <c r="B24" s="3" t="s">
        <v>421</v>
      </c>
      <c r="C24" s="3" t="s">
        <v>471</v>
      </c>
      <c r="D24" s="32" t="n">
        <v>28000</v>
      </c>
      <c r="E24" s="32" t="n">
        <v>28000</v>
      </c>
      <c r="F24" s="32" t="n">
        <v>28000</v>
      </c>
      <c r="G24" s="32" t="n">
        <v>28000</v>
      </c>
      <c r="H24" s="32" t="n">
        <v>28000</v>
      </c>
      <c r="I24" s="32" t="n">
        <v>28000</v>
      </c>
      <c r="J24" s="32" t="n">
        <v>28000</v>
      </c>
      <c r="K24" s="32" t="n">
        <v>28000</v>
      </c>
      <c r="L24" s="32" t="n">
        <v>28000</v>
      </c>
      <c r="M24" s="32" t="n">
        <v>28000</v>
      </c>
      <c r="N24" s="32" t="n">
        <v>28000</v>
      </c>
      <c r="O24" s="32" t="n">
        <v>28000</v>
      </c>
      <c r="P24" s="32" t="n">
        <v>28000</v>
      </c>
      <c r="Q24" s="32" t="n">
        <v>28000</v>
      </c>
      <c r="R24" s="32" t="n">
        <v>28000</v>
      </c>
      <c r="S24" s="32" t="n">
        <v>28000</v>
      </c>
      <c r="T24" s="32" t="n">
        <v>28000</v>
      </c>
      <c r="U24" s="32" t="n">
        <v>28000</v>
      </c>
      <c r="V24" s="32" t="n">
        <v>28000</v>
      </c>
      <c r="W24" s="32" t="n">
        <v>28000</v>
      </c>
      <c r="X24" s="13" t="n">
        <f aca="false">IFERROR(AVERAGEIF(D24:H24,"&lt;&gt;0"),"")</f>
        <v>28000</v>
      </c>
      <c r="Y24" s="13" t="n">
        <f aca="false">IFERROR(AVERAGEIF(I24:M24,"&lt;&gt;0"),"")</f>
        <v>28000</v>
      </c>
      <c r="Z24" s="13" t="n">
        <f aca="false">IFERROR(AVERAGEIF(N24:R24,"&lt;&gt;0"),"")</f>
        <v>28000</v>
      </c>
      <c r="AA24" s="13" t="n">
        <f aca="false">IFERROR(AVERAGEIF(S24:W24,"&lt;&gt;0"),"")</f>
        <v>28000</v>
      </c>
      <c r="AB24" s="13" t="n">
        <f aca="false">IFERROR(AVERAGEIF(D24:W24,"&lt;&gt;0"),"")</f>
        <v>28000</v>
      </c>
    </row>
    <row r="25" customFormat="false" ht="15" hidden="false" customHeight="false" outlineLevel="0" collapsed="false">
      <c r="A25" s="3" t="n">
        <v>21</v>
      </c>
      <c r="B25" s="3" t="s">
        <v>474</v>
      </c>
      <c r="C25" s="3" t="s">
        <v>471</v>
      </c>
      <c r="D25" s="32" t="n">
        <v>60000</v>
      </c>
      <c r="E25" s="32" t="n">
        <v>60000</v>
      </c>
      <c r="F25" s="32" t="n">
        <v>60000</v>
      </c>
      <c r="G25" s="32" t="n">
        <v>60000</v>
      </c>
      <c r="H25" s="32" t="n">
        <v>60000</v>
      </c>
      <c r="I25" s="32" t="n">
        <v>60000</v>
      </c>
      <c r="J25" s="32" t="n">
        <v>60000</v>
      </c>
      <c r="K25" s="32" t="n">
        <v>60000</v>
      </c>
      <c r="L25" s="32" t="n">
        <v>60000</v>
      </c>
      <c r="M25" s="32" t="n">
        <v>60000</v>
      </c>
      <c r="N25" s="32" t="n">
        <v>60000</v>
      </c>
      <c r="O25" s="32" t="n">
        <v>60000</v>
      </c>
      <c r="P25" s="32" t="n">
        <v>60000</v>
      </c>
      <c r="Q25" s="32" t="n">
        <v>60000</v>
      </c>
      <c r="R25" s="32" t="n">
        <v>60000</v>
      </c>
      <c r="S25" s="32" t="n">
        <v>60000</v>
      </c>
      <c r="T25" s="32" t="n">
        <v>60000</v>
      </c>
      <c r="U25" s="32" t="n">
        <v>60000</v>
      </c>
      <c r="V25" s="32" t="n">
        <v>60000</v>
      </c>
      <c r="W25" s="32" t="n">
        <v>60000</v>
      </c>
      <c r="X25" s="13" t="n">
        <f aca="false">IFERROR(AVERAGEIF(D25:H25,"&lt;&gt;0"),"")</f>
        <v>60000</v>
      </c>
      <c r="Y25" s="13" t="n">
        <f aca="false">IFERROR(AVERAGEIF(I25:M25,"&lt;&gt;0"),"")</f>
        <v>60000</v>
      </c>
      <c r="Z25" s="13" t="n">
        <f aca="false">IFERROR(AVERAGEIF(N25:R25,"&lt;&gt;0"),"")</f>
        <v>60000</v>
      </c>
      <c r="AA25" s="13" t="n">
        <f aca="false">IFERROR(AVERAGEIF(S25:W25,"&lt;&gt;0"),"")</f>
        <v>60000</v>
      </c>
      <c r="AB25" s="13" t="n">
        <f aca="false">IFERROR(AVERAGEIF(D25:W25,"&lt;&gt;0"),"")</f>
        <v>60000</v>
      </c>
    </row>
    <row r="26" customFormat="false" ht="15" hidden="false" customHeight="false" outlineLevel="0" collapsed="false">
      <c r="A26" s="3" t="n">
        <v>22</v>
      </c>
      <c r="B26" s="3" t="s">
        <v>426</v>
      </c>
      <c r="C26" s="3" t="s">
        <v>471</v>
      </c>
      <c r="D26" s="32" t="n">
        <v>2800</v>
      </c>
      <c r="E26" s="32" t="n">
        <v>2800</v>
      </c>
      <c r="F26" s="32" t="n">
        <v>2800</v>
      </c>
      <c r="G26" s="32" t="n">
        <v>2800</v>
      </c>
      <c r="H26" s="32" t="n">
        <v>2800</v>
      </c>
      <c r="I26" s="32" t="n">
        <v>2800</v>
      </c>
      <c r="J26" s="32" t="n">
        <v>2800</v>
      </c>
      <c r="K26" s="32" t="n">
        <v>2800</v>
      </c>
      <c r="L26" s="32" t="n">
        <v>2800</v>
      </c>
      <c r="M26" s="32" t="n">
        <v>2800</v>
      </c>
      <c r="N26" s="32" t="n">
        <v>2800</v>
      </c>
      <c r="O26" s="32" t="n">
        <v>2800</v>
      </c>
      <c r="P26" s="32" t="n">
        <v>2800</v>
      </c>
      <c r="Q26" s="32" t="n">
        <v>2800</v>
      </c>
      <c r="R26" s="32" t="n">
        <v>2800</v>
      </c>
      <c r="S26" s="32" t="n">
        <v>2800</v>
      </c>
      <c r="T26" s="32" t="n">
        <v>2800</v>
      </c>
      <c r="U26" s="32" t="n">
        <v>2800</v>
      </c>
      <c r="V26" s="32" t="n">
        <v>2800</v>
      </c>
      <c r="W26" s="32" t="n">
        <v>2800</v>
      </c>
      <c r="X26" s="13" t="n">
        <f aca="false">IFERROR(AVERAGEIF(D26:H26,"&lt;&gt;0"),"")</f>
        <v>2800</v>
      </c>
      <c r="Y26" s="13" t="n">
        <f aca="false">IFERROR(AVERAGEIF(I26:M26,"&lt;&gt;0"),"")</f>
        <v>2800</v>
      </c>
      <c r="Z26" s="13" t="n">
        <f aca="false">IFERROR(AVERAGEIF(N26:R26,"&lt;&gt;0"),"")</f>
        <v>2800</v>
      </c>
      <c r="AA26" s="13" t="n">
        <f aca="false">IFERROR(AVERAGEIF(S26:W26,"&lt;&gt;0"),"")</f>
        <v>2800</v>
      </c>
      <c r="AB26" s="13" t="n">
        <f aca="false">IFERROR(AVERAGEIF(D26:W26,"&lt;&gt;0"),"")</f>
        <v>2800</v>
      </c>
    </row>
    <row r="27" customFormat="false" ht="15" hidden="false" customHeight="false" outlineLevel="0" collapsed="false">
      <c r="A27" s="3" t="n">
        <v>23</v>
      </c>
      <c r="B27" s="3" t="s">
        <v>424</v>
      </c>
      <c r="C27" s="3" t="s">
        <v>471</v>
      </c>
      <c r="D27" s="32" t="n">
        <v>24000</v>
      </c>
      <c r="E27" s="32" t="n">
        <v>24000</v>
      </c>
      <c r="F27" s="32" t="n">
        <v>24000</v>
      </c>
      <c r="G27" s="32" t="n">
        <v>23000</v>
      </c>
      <c r="H27" s="32" t="n">
        <v>23000</v>
      </c>
      <c r="I27" s="32" t="n">
        <v>23000</v>
      </c>
      <c r="J27" s="32" t="n">
        <v>23000</v>
      </c>
      <c r="K27" s="32" t="n">
        <v>23000</v>
      </c>
      <c r="L27" s="32" t="n">
        <v>23000</v>
      </c>
      <c r="M27" s="32" t="n">
        <v>23000</v>
      </c>
      <c r="N27" s="32" t="n">
        <v>23000</v>
      </c>
      <c r="O27" s="32" t="n">
        <v>24000</v>
      </c>
      <c r="P27" s="32" t="n">
        <v>24000</v>
      </c>
      <c r="Q27" s="32" t="n">
        <v>24000</v>
      </c>
      <c r="R27" s="32" t="n">
        <v>24000</v>
      </c>
      <c r="S27" s="32" t="n">
        <v>24000</v>
      </c>
      <c r="T27" s="32" t="n">
        <v>24000</v>
      </c>
      <c r="U27" s="32" t="n">
        <v>24000</v>
      </c>
      <c r="V27" s="32" t="n">
        <v>24000</v>
      </c>
      <c r="W27" s="32" t="n">
        <v>24000</v>
      </c>
      <c r="X27" s="13" t="n">
        <f aca="false">IFERROR(AVERAGEIF(D27:H27,"&lt;&gt;0"),"")</f>
        <v>23600</v>
      </c>
      <c r="Y27" s="13" t="n">
        <f aca="false">IFERROR(AVERAGEIF(I27:M27,"&lt;&gt;0"),"")</f>
        <v>23000</v>
      </c>
      <c r="Z27" s="13" t="n">
        <f aca="false">IFERROR(AVERAGEIF(N27:R27,"&lt;&gt;0"),"")</f>
        <v>23800</v>
      </c>
      <c r="AA27" s="13" t="n">
        <f aca="false">IFERROR(AVERAGEIF(S27:W27,"&lt;&gt;0"),"")</f>
        <v>24000</v>
      </c>
      <c r="AB27" s="13" t="n">
        <f aca="false">IFERROR(AVERAGEIF(D27:W27,"&lt;&gt;0"),"")</f>
        <v>23600</v>
      </c>
    </row>
    <row r="28" customFormat="false" ht="15" hidden="false" customHeight="false" outlineLevel="0" collapsed="false">
      <c r="A28" s="3" t="n">
        <v>24</v>
      </c>
      <c r="B28" s="3" t="s">
        <v>425</v>
      </c>
      <c r="C28" s="3" t="s">
        <v>471</v>
      </c>
      <c r="D28" s="32" t="n">
        <v>30000</v>
      </c>
      <c r="E28" s="32" t="n">
        <v>30000</v>
      </c>
      <c r="F28" s="32" t="n">
        <v>30000</v>
      </c>
      <c r="G28" s="32" t="n">
        <v>30000</v>
      </c>
      <c r="H28" s="32" t="n">
        <v>30000</v>
      </c>
      <c r="I28" s="32" t="n">
        <v>30000</v>
      </c>
      <c r="J28" s="32" t="n">
        <v>30000</v>
      </c>
      <c r="K28" s="32" t="n">
        <v>30000</v>
      </c>
      <c r="L28" s="32" t="n">
        <v>30000</v>
      </c>
      <c r="M28" s="32" t="n">
        <v>30000</v>
      </c>
      <c r="N28" s="32" t="n">
        <v>30000</v>
      </c>
      <c r="O28" s="32" t="n">
        <v>30000</v>
      </c>
      <c r="P28" s="32" t="n">
        <v>30000</v>
      </c>
      <c r="Q28" s="32" t="n">
        <v>30000</v>
      </c>
      <c r="R28" s="32" t="n">
        <v>30000</v>
      </c>
      <c r="S28" s="32" t="n">
        <v>30000</v>
      </c>
      <c r="T28" s="32" t="n">
        <v>30000</v>
      </c>
      <c r="U28" s="32" t="n">
        <v>30000</v>
      </c>
      <c r="V28" s="32" t="n">
        <v>30000</v>
      </c>
      <c r="W28" s="32" t="n">
        <v>30000</v>
      </c>
      <c r="X28" s="13" t="n">
        <f aca="false">IFERROR(AVERAGEIF(D28:H28,"&lt;&gt;0"),"")</f>
        <v>30000</v>
      </c>
      <c r="Y28" s="13" t="n">
        <f aca="false">IFERROR(AVERAGEIF(I28:M28,"&lt;&gt;0"),"")</f>
        <v>30000</v>
      </c>
      <c r="Z28" s="13" t="n">
        <f aca="false">IFERROR(AVERAGEIF(N28:R28,"&lt;&gt;0"),"")</f>
        <v>30000</v>
      </c>
      <c r="AA28" s="13" t="n">
        <f aca="false">IFERROR(AVERAGEIF(S28:W28,"&lt;&gt;0"),"")</f>
        <v>30000</v>
      </c>
      <c r="AB28" s="13" t="n">
        <f aca="false">IFERROR(AVERAGEIF(D28:W28,"&lt;&gt;0"),"")</f>
        <v>30000</v>
      </c>
    </row>
    <row r="29" customFormat="false" ht="15" hidden="false" customHeight="false" outlineLevel="0" collapsed="false">
      <c r="A29" s="3" t="n">
        <v>25</v>
      </c>
      <c r="B29" s="3" t="s">
        <v>475</v>
      </c>
      <c r="C29" s="3" t="s">
        <v>471</v>
      </c>
      <c r="D29" s="32" t="n">
        <v>27000</v>
      </c>
      <c r="E29" s="32" t="n">
        <v>27000</v>
      </c>
      <c r="F29" s="32" t="n">
        <v>27000</v>
      </c>
      <c r="G29" s="32" t="n">
        <v>27000</v>
      </c>
      <c r="H29" s="32" t="n">
        <v>27000</v>
      </c>
      <c r="I29" s="32" t="n">
        <v>27000</v>
      </c>
      <c r="J29" s="32" t="n">
        <v>27000</v>
      </c>
      <c r="K29" s="32" t="n">
        <v>27000</v>
      </c>
      <c r="L29" s="32" t="n">
        <v>27000</v>
      </c>
      <c r="M29" s="32" t="n">
        <v>27000</v>
      </c>
      <c r="N29" s="32" t="n">
        <v>27000</v>
      </c>
      <c r="O29" s="32" t="n">
        <v>27000</v>
      </c>
      <c r="P29" s="32" t="n">
        <v>27000</v>
      </c>
      <c r="Q29" s="32" t="n">
        <v>27000</v>
      </c>
      <c r="R29" s="32" t="n">
        <v>27000</v>
      </c>
      <c r="S29" s="32" t="n">
        <v>27000</v>
      </c>
      <c r="T29" s="32" t="n">
        <v>27000</v>
      </c>
      <c r="U29" s="32" t="n">
        <v>27000</v>
      </c>
      <c r="V29" s="32" t="n">
        <v>27000</v>
      </c>
      <c r="W29" s="32" t="n">
        <v>27000</v>
      </c>
      <c r="X29" s="13" t="n">
        <f aca="false">IFERROR(AVERAGEIF(D29:H29,"&lt;&gt;0"),"")</f>
        <v>27000</v>
      </c>
      <c r="Y29" s="13" t="n">
        <f aca="false">IFERROR(AVERAGEIF(I29:M29,"&lt;&gt;0"),"")</f>
        <v>27000</v>
      </c>
      <c r="Z29" s="13" t="n">
        <f aca="false">IFERROR(AVERAGEIF(N29:R29,"&lt;&gt;0"),"")</f>
        <v>27000</v>
      </c>
      <c r="AA29" s="13" t="n">
        <f aca="false">IFERROR(AVERAGEIF(S29:W29,"&lt;&gt;0"),"")</f>
        <v>27000</v>
      </c>
      <c r="AB29" s="13" t="n">
        <f aca="false">IFERROR(AVERAGEIF(D29:W29,"&lt;&gt;0"),"")</f>
        <v>27000</v>
      </c>
    </row>
    <row r="30" customFormat="false" ht="15" hidden="false" customHeight="false" outlineLevel="0" collapsed="false">
      <c r="A30" s="3" t="n">
        <v>26</v>
      </c>
      <c r="B30" s="3" t="s">
        <v>476</v>
      </c>
      <c r="C30" s="3" t="s">
        <v>471</v>
      </c>
      <c r="D30" s="32" t="n">
        <v>8000</v>
      </c>
      <c r="E30" s="32" t="n">
        <v>8000</v>
      </c>
      <c r="F30" s="32" t="n">
        <v>8000</v>
      </c>
      <c r="G30" s="32" t="n">
        <v>8000</v>
      </c>
      <c r="H30" s="32" t="n">
        <v>8000</v>
      </c>
      <c r="I30" s="32" t="n">
        <v>8000</v>
      </c>
      <c r="J30" s="32" t="n">
        <v>8000</v>
      </c>
      <c r="K30" s="32" t="n">
        <v>8000</v>
      </c>
      <c r="L30" s="32" t="n">
        <v>8000</v>
      </c>
      <c r="M30" s="32" t="n">
        <v>8000</v>
      </c>
      <c r="N30" s="32" t="n">
        <v>8000</v>
      </c>
      <c r="O30" s="32" t="n">
        <v>8000</v>
      </c>
      <c r="P30" s="32" t="n">
        <v>8000</v>
      </c>
      <c r="Q30" s="32" t="n">
        <v>8000</v>
      </c>
      <c r="R30" s="32" t="n">
        <v>8000</v>
      </c>
      <c r="S30" s="32" t="n">
        <v>8000</v>
      </c>
      <c r="T30" s="32" t="n">
        <v>8000</v>
      </c>
      <c r="U30" s="32" t="n">
        <v>8000</v>
      </c>
      <c r="V30" s="32" t="n">
        <v>8000</v>
      </c>
      <c r="W30" s="32" t="n">
        <v>8000</v>
      </c>
      <c r="X30" s="13" t="n">
        <f aca="false">IFERROR(AVERAGEIF(D30:H30,"&lt;&gt;0"),"")</f>
        <v>8000</v>
      </c>
      <c r="Y30" s="13" t="n">
        <f aca="false">IFERROR(AVERAGEIF(I30:M30,"&lt;&gt;0"),"")</f>
        <v>8000</v>
      </c>
      <c r="Z30" s="13" t="n">
        <f aca="false">IFERROR(AVERAGEIF(N30:R30,"&lt;&gt;0"),"")</f>
        <v>8000</v>
      </c>
      <c r="AA30" s="13" t="n">
        <f aca="false">IFERROR(AVERAGEIF(S30:W30,"&lt;&gt;0"),"")</f>
        <v>8000</v>
      </c>
      <c r="AB30" s="13" t="n">
        <f aca="false">IFERROR(AVERAGEIF(D30:W30,"&lt;&gt;0"),"")</f>
        <v>8000</v>
      </c>
    </row>
    <row r="31" customFormat="false" ht="15" hidden="false" customHeight="false" outlineLevel="0" collapsed="false">
      <c r="A31" s="3" t="n">
        <v>27</v>
      </c>
      <c r="B31" s="3" t="s">
        <v>427</v>
      </c>
      <c r="C31" s="3" t="s">
        <v>471</v>
      </c>
      <c r="D31" s="32" t="n">
        <v>10500</v>
      </c>
      <c r="E31" s="32" t="n">
        <v>10500</v>
      </c>
      <c r="F31" s="32" t="n">
        <v>10500</v>
      </c>
      <c r="G31" s="32" t="n">
        <v>10500</v>
      </c>
      <c r="H31" s="32" t="n">
        <v>10500</v>
      </c>
      <c r="I31" s="32" t="n">
        <v>10500</v>
      </c>
      <c r="J31" s="32" t="n">
        <v>10500</v>
      </c>
      <c r="K31" s="32" t="n">
        <v>10500</v>
      </c>
      <c r="L31" s="32" t="n">
        <v>10500</v>
      </c>
      <c r="M31" s="32" t="n">
        <v>10500</v>
      </c>
      <c r="N31" s="32" t="n">
        <v>10500</v>
      </c>
      <c r="O31" s="32" t="n">
        <v>10500</v>
      </c>
      <c r="P31" s="32" t="n">
        <v>10500</v>
      </c>
      <c r="Q31" s="32" t="n">
        <v>10500</v>
      </c>
      <c r="R31" s="32" t="n">
        <v>10500</v>
      </c>
      <c r="S31" s="32" t="n">
        <v>10500</v>
      </c>
      <c r="T31" s="32" t="n">
        <v>10500</v>
      </c>
      <c r="U31" s="32" t="n">
        <v>10500</v>
      </c>
      <c r="V31" s="32" t="n">
        <v>10500</v>
      </c>
      <c r="W31" s="32" t="n">
        <v>10500</v>
      </c>
      <c r="X31" s="13" t="n">
        <f aca="false">IFERROR(AVERAGEIF(D31:H31,"&lt;&gt;0"),"")</f>
        <v>10500</v>
      </c>
      <c r="Y31" s="13" t="n">
        <f aca="false">IFERROR(AVERAGEIF(I31:M31,"&lt;&gt;0"),"")</f>
        <v>10500</v>
      </c>
      <c r="Z31" s="13" t="n">
        <f aca="false">IFERROR(AVERAGEIF(N31:R31,"&lt;&gt;0"),"")</f>
        <v>10500</v>
      </c>
      <c r="AA31" s="13" t="n">
        <f aca="false">IFERROR(AVERAGEIF(S31:W31,"&lt;&gt;0"),"")</f>
        <v>10500</v>
      </c>
      <c r="AB31" s="13" t="n">
        <f aca="false">IFERROR(AVERAGEIF(D31:W31,"&lt;&gt;0"),"")</f>
        <v>10500</v>
      </c>
    </row>
    <row r="32" customFormat="false" ht="15" hidden="false" customHeight="false" outlineLevel="0" collapsed="false">
      <c r="A32" s="3" t="n">
        <v>28</v>
      </c>
      <c r="B32" s="3" t="s">
        <v>422</v>
      </c>
      <c r="C32" s="3" t="s">
        <v>471</v>
      </c>
      <c r="D32" s="32" t="n">
        <v>42000</v>
      </c>
      <c r="E32" s="32" t="n">
        <v>42000</v>
      </c>
      <c r="F32" s="32" t="n">
        <v>42000</v>
      </c>
      <c r="G32" s="32" t="n">
        <v>42000</v>
      </c>
      <c r="H32" s="32" t="n">
        <v>42000</v>
      </c>
      <c r="I32" s="32" t="n">
        <v>42000</v>
      </c>
      <c r="J32" s="32" t="n">
        <v>42000</v>
      </c>
      <c r="K32" s="32" t="n">
        <v>42000</v>
      </c>
      <c r="L32" s="32" t="n">
        <v>42000</v>
      </c>
      <c r="M32" s="32" t="n">
        <v>42000</v>
      </c>
      <c r="N32" s="32" t="n">
        <v>42000</v>
      </c>
      <c r="O32" s="32" t="n">
        <v>42000</v>
      </c>
      <c r="P32" s="32" t="n">
        <v>42000</v>
      </c>
      <c r="Q32" s="32" t="n">
        <v>42000</v>
      </c>
      <c r="R32" s="32" t="n">
        <v>42000</v>
      </c>
      <c r="S32" s="32" t="n">
        <v>42000</v>
      </c>
      <c r="T32" s="32" t="n">
        <v>42000</v>
      </c>
      <c r="U32" s="32" t="n">
        <v>42000</v>
      </c>
      <c r="V32" s="32" t="n">
        <v>42000</v>
      </c>
      <c r="W32" s="32" t="n">
        <v>42000</v>
      </c>
      <c r="X32" s="13" t="n">
        <f aca="false">IFERROR(AVERAGEIF(D32:H32,"&lt;&gt;0"),"")</f>
        <v>42000</v>
      </c>
      <c r="Y32" s="13" t="n">
        <f aca="false">IFERROR(AVERAGEIF(I32:M32,"&lt;&gt;0"),"")</f>
        <v>42000</v>
      </c>
      <c r="Z32" s="13" t="n">
        <f aca="false">IFERROR(AVERAGEIF(N32:R32,"&lt;&gt;0"),"")</f>
        <v>42000</v>
      </c>
      <c r="AA32" s="13" t="n">
        <f aca="false">IFERROR(AVERAGEIF(S32:W32,"&lt;&gt;0"),"")</f>
        <v>42000</v>
      </c>
      <c r="AB32" s="13" t="n">
        <f aca="false">IFERROR(AVERAGEIF(D32:W32,"&lt;&gt;0"),"")</f>
        <v>42000</v>
      </c>
    </row>
    <row r="33" customFormat="false" ht="15" hidden="false" customHeight="false" outlineLevel="0" collapsed="false">
      <c r="A33" s="3" t="n">
        <v>29</v>
      </c>
      <c r="B33" s="3" t="s">
        <v>433</v>
      </c>
      <c r="C33" s="3" t="s">
        <v>471</v>
      </c>
      <c r="D33" s="32" t="n">
        <v>8000</v>
      </c>
      <c r="E33" s="32" t="n">
        <v>8000</v>
      </c>
      <c r="F33" s="32" t="n">
        <v>8000</v>
      </c>
      <c r="G33" s="32" t="n">
        <v>8000</v>
      </c>
      <c r="H33" s="32" t="n">
        <v>8000</v>
      </c>
      <c r="I33" s="32" t="n">
        <v>8000</v>
      </c>
      <c r="J33" s="32" t="n">
        <v>8000</v>
      </c>
      <c r="K33" s="32" t="n">
        <v>8000</v>
      </c>
      <c r="L33" s="32" t="n">
        <v>8000</v>
      </c>
      <c r="M33" s="32" t="n">
        <v>8000</v>
      </c>
      <c r="N33" s="32" t="n">
        <v>8000</v>
      </c>
      <c r="O33" s="32" t="n">
        <v>8000</v>
      </c>
      <c r="P33" s="32" t="n">
        <v>8000</v>
      </c>
      <c r="Q33" s="32" t="n">
        <v>8000</v>
      </c>
      <c r="R33" s="32" t="n">
        <v>8000</v>
      </c>
      <c r="S33" s="32" t="n">
        <v>8000</v>
      </c>
      <c r="T33" s="32" t="n">
        <v>8000</v>
      </c>
      <c r="U33" s="32" t="n">
        <v>8000</v>
      </c>
      <c r="V33" s="32" t="n">
        <v>8000</v>
      </c>
      <c r="W33" s="32" t="n">
        <v>8000</v>
      </c>
      <c r="X33" s="13" t="n">
        <f aca="false">IFERROR(AVERAGEIF(D33:H33,"&lt;&gt;0"),"")</f>
        <v>8000</v>
      </c>
      <c r="Y33" s="13" t="n">
        <f aca="false">IFERROR(AVERAGEIF(I33:M33,"&lt;&gt;0"),"")</f>
        <v>8000</v>
      </c>
      <c r="Z33" s="13" t="n">
        <f aca="false">IFERROR(AVERAGEIF(N33:R33,"&lt;&gt;0"),"")</f>
        <v>8000</v>
      </c>
      <c r="AA33" s="13" t="n">
        <f aca="false">IFERROR(AVERAGEIF(S33:W33,"&lt;&gt;0"),"")</f>
        <v>8000</v>
      </c>
      <c r="AB33" s="13" t="n">
        <f aca="false">IFERROR(AVERAGEIF(D33:W33,"&lt;&gt;0"),"")</f>
        <v>8000</v>
      </c>
    </row>
    <row r="34" customFormat="false" ht="15" hidden="false" customHeight="false" outlineLevel="0" collapsed="false">
      <c r="A34" s="3" t="n">
        <v>30</v>
      </c>
      <c r="B34" s="3" t="s">
        <v>411</v>
      </c>
      <c r="C34" s="3" t="s">
        <v>471</v>
      </c>
      <c r="D34" s="32" t="n">
        <v>6000</v>
      </c>
      <c r="E34" s="32" t="n">
        <v>6000</v>
      </c>
      <c r="F34" s="32" t="n">
        <v>6000</v>
      </c>
      <c r="G34" s="32" t="n">
        <v>6000</v>
      </c>
      <c r="H34" s="32" t="n">
        <v>6000</v>
      </c>
      <c r="I34" s="32" t="n">
        <v>6000</v>
      </c>
      <c r="J34" s="32" t="n">
        <v>6000</v>
      </c>
      <c r="K34" s="32" t="n">
        <v>6000</v>
      </c>
      <c r="L34" s="32" t="n">
        <v>6000</v>
      </c>
      <c r="M34" s="32" t="n">
        <v>6000</v>
      </c>
      <c r="N34" s="32" t="n">
        <v>6000</v>
      </c>
      <c r="O34" s="32" t="n">
        <v>6000</v>
      </c>
      <c r="P34" s="32" t="n">
        <v>6000</v>
      </c>
      <c r="Q34" s="32" t="n">
        <v>6000</v>
      </c>
      <c r="R34" s="32" t="n">
        <v>6000</v>
      </c>
      <c r="S34" s="32" t="n">
        <v>6000</v>
      </c>
      <c r="T34" s="32" t="n">
        <v>6000</v>
      </c>
      <c r="U34" s="32" t="n">
        <v>6000</v>
      </c>
      <c r="V34" s="32" t="n">
        <v>6000</v>
      </c>
      <c r="W34" s="32" t="n">
        <v>6000</v>
      </c>
      <c r="X34" s="13" t="n">
        <f aca="false">IFERROR(AVERAGEIF(D34:H34,"&lt;&gt;0"),"")</f>
        <v>6000</v>
      </c>
      <c r="Y34" s="13" t="n">
        <f aca="false">IFERROR(AVERAGEIF(I34:M34,"&lt;&gt;0"),"")</f>
        <v>6000</v>
      </c>
      <c r="Z34" s="13" t="n">
        <f aca="false">IFERROR(AVERAGEIF(N34:R34,"&lt;&gt;0"),"")</f>
        <v>6000</v>
      </c>
      <c r="AA34" s="13" t="n">
        <f aca="false">IFERROR(AVERAGEIF(S34:W34,"&lt;&gt;0"),"")</f>
        <v>6000</v>
      </c>
      <c r="AB34" s="13" t="n">
        <f aca="false">IFERROR(AVERAGEIF(D34:W34,"&lt;&gt;0"),"")</f>
        <v>6000</v>
      </c>
    </row>
    <row r="35" customFormat="false" ht="15" hidden="false" customHeight="false" outlineLevel="0" collapsed="false">
      <c r="A35" s="3" t="n">
        <v>31</v>
      </c>
      <c r="B35" s="3" t="s">
        <v>416</v>
      </c>
      <c r="C35" s="3" t="s">
        <v>471</v>
      </c>
      <c r="D35" s="32" t="n">
        <v>61000</v>
      </c>
      <c r="E35" s="32" t="n">
        <v>61000</v>
      </c>
      <c r="F35" s="32" t="n">
        <v>61000</v>
      </c>
      <c r="G35" s="32" t="n">
        <v>60000</v>
      </c>
      <c r="H35" s="32" t="n">
        <v>60000</v>
      </c>
      <c r="I35" s="32" t="n">
        <v>60000</v>
      </c>
      <c r="J35" s="32" t="n">
        <v>60000</v>
      </c>
      <c r="K35" s="32" t="n">
        <v>60000</v>
      </c>
      <c r="L35" s="32" t="n">
        <v>60000</v>
      </c>
      <c r="M35" s="32" t="n">
        <v>60000</v>
      </c>
      <c r="N35" s="32" t="n">
        <v>60000</v>
      </c>
      <c r="O35" s="32" t="n">
        <v>60000</v>
      </c>
      <c r="P35" s="32" t="n">
        <v>60000</v>
      </c>
      <c r="Q35" s="32" t="n">
        <v>58000</v>
      </c>
      <c r="R35" s="32" t="n">
        <v>58000</v>
      </c>
      <c r="S35" s="32" t="n">
        <v>58000</v>
      </c>
      <c r="T35" s="32" t="n">
        <v>60000</v>
      </c>
      <c r="U35" s="32" t="n">
        <v>60000</v>
      </c>
      <c r="V35" s="32" t="n">
        <v>60000</v>
      </c>
      <c r="W35" s="32" t="n">
        <v>60000</v>
      </c>
      <c r="X35" s="13" t="n">
        <f aca="false">IFERROR(AVERAGEIF(D35:H35,"&lt;&gt;0"),"")</f>
        <v>60600</v>
      </c>
      <c r="Y35" s="13" t="n">
        <f aca="false">IFERROR(AVERAGEIF(I35:M35,"&lt;&gt;0"),"")</f>
        <v>60000</v>
      </c>
      <c r="Z35" s="13" t="n">
        <f aca="false">IFERROR(AVERAGEIF(N35:R35,"&lt;&gt;0"),"")</f>
        <v>59200</v>
      </c>
      <c r="AA35" s="13" t="n">
        <f aca="false">IFERROR(AVERAGEIF(S35:W35,"&lt;&gt;0"),"")</f>
        <v>59600</v>
      </c>
      <c r="AB35" s="13" t="n">
        <f aca="false">IFERROR(AVERAGEIF(D35:W35,"&lt;&gt;0"),"")</f>
        <v>59850</v>
      </c>
    </row>
    <row r="36" customFormat="false" ht="15" hidden="false" customHeight="false" outlineLevel="0" collapsed="false">
      <c r="A36" s="3" t="n">
        <v>32</v>
      </c>
      <c r="B36" s="3" t="s">
        <v>417</v>
      </c>
      <c r="C36" s="3" t="s">
        <v>471</v>
      </c>
      <c r="D36" s="32" t="n">
        <v>12000</v>
      </c>
      <c r="E36" s="32" t="n">
        <v>12000</v>
      </c>
      <c r="F36" s="32" t="n">
        <v>12000</v>
      </c>
      <c r="G36" s="32" t="n">
        <v>12000</v>
      </c>
      <c r="H36" s="32" t="n">
        <v>12000</v>
      </c>
      <c r="I36" s="32" t="n">
        <v>12000</v>
      </c>
      <c r="J36" s="32" t="n">
        <v>12000</v>
      </c>
      <c r="K36" s="32" t="n">
        <v>12000</v>
      </c>
      <c r="L36" s="32" t="n">
        <v>12000</v>
      </c>
      <c r="M36" s="32" t="n">
        <v>12000</v>
      </c>
      <c r="N36" s="32" t="n">
        <v>12000</v>
      </c>
      <c r="O36" s="32" t="n">
        <v>12000</v>
      </c>
      <c r="P36" s="32" t="n">
        <v>12000</v>
      </c>
      <c r="Q36" s="32" t="n">
        <v>11000</v>
      </c>
      <c r="R36" s="32" t="n">
        <v>11000</v>
      </c>
      <c r="S36" s="32" t="n">
        <v>11000</v>
      </c>
      <c r="T36" s="32" t="n">
        <v>12000</v>
      </c>
      <c r="U36" s="32" t="n">
        <v>12000</v>
      </c>
      <c r="V36" s="32" t="n">
        <v>12000</v>
      </c>
      <c r="W36" s="32" t="n">
        <v>12000</v>
      </c>
      <c r="X36" s="13" t="n">
        <f aca="false">IFERROR(AVERAGEIF(D36:H36,"&lt;&gt;0"),"")</f>
        <v>12000</v>
      </c>
      <c r="Y36" s="13" t="n">
        <f aca="false">IFERROR(AVERAGEIF(I36:M36,"&lt;&gt;0"),"")</f>
        <v>12000</v>
      </c>
      <c r="Z36" s="13" t="n">
        <f aca="false">IFERROR(AVERAGEIF(N36:R36,"&lt;&gt;0"),"")</f>
        <v>11600</v>
      </c>
      <c r="AA36" s="13" t="n">
        <f aca="false">IFERROR(AVERAGEIF(S36:W36,"&lt;&gt;0"),"")</f>
        <v>11800</v>
      </c>
      <c r="AB36" s="13" t="n">
        <f aca="false">IFERROR(AVERAGEIF(D36:W36,"&lt;&gt;0"),"")</f>
        <v>11850</v>
      </c>
    </row>
    <row r="37" customFormat="false" ht="15" hidden="false" customHeight="false" outlineLevel="0" collapsed="false">
      <c r="A37" s="3" t="n">
        <v>33</v>
      </c>
      <c r="B37" s="3" t="s">
        <v>434</v>
      </c>
      <c r="C37" s="3" t="s">
        <v>471</v>
      </c>
      <c r="D37" s="32" t="n">
        <v>8000</v>
      </c>
      <c r="E37" s="32" t="n">
        <v>8000</v>
      </c>
      <c r="F37" s="32" t="n">
        <v>8000</v>
      </c>
      <c r="G37" s="32" t="n">
        <v>8000</v>
      </c>
      <c r="H37" s="32" t="n">
        <v>8000</v>
      </c>
      <c r="I37" s="32" t="n">
        <v>8000</v>
      </c>
      <c r="J37" s="32" t="n">
        <v>8000</v>
      </c>
      <c r="K37" s="32" t="n">
        <v>8000</v>
      </c>
      <c r="L37" s="32" t="n">
        <v>8000</v>
      </c>
      <c r="M37" s="32" t="n">
        <v>8000</v>
      </c>
      <c r="N37" s="32" t="n">
        <v>8000</v>
      </c>
      <c r="O37" s="32" t="n">
        <v>8000</v>
      </c>
      <c r="P37" s="32" t="n">
        <v>8000</v>
      </c>
      <c r="Q37" s="32" t="n">
        <v>8000</v>
      </c>
      <c r="R37" s="32" t="n">
        <v>8000</v>
      </c>
      <c r="S37" s="32" t="n">
        <v>8000</v>
      </c>
      <c r="T37" s="32" t="n">
        <v>8000</v>
      </c>
      <c r="U37" s="32" t="n">
        <v>8000</v>
      </c>
      <c r="V37" s="32" t="n">
        <v>8000</v>
      </c>
      <c r="W37" s="32" t="n">
        <v>8000</v>
      </c>
      <c r="X37" s="13" t="n">
        <f aca="false">IFERROR(AVERAGEIF(D37:H37,"&lt;&gt;0"),"")</f>
        <v>8000</v>
      </c>
      <c r="Y37" s="13" t="n">
        <f aca="false">IFERROR(AVERAGEIF(I37:M37,"&lt;&gt;0"),"")</f>
        <v>8000</v>
      </c>
      <c r="Z37" s="13" t="n">
        <f aca="false">IFERROR(AVERAGEIF(N37:R37,"&lt;&gt;0"),"")</f>
        <v>8000</v>
      </c>
      <c r="AA37" s="13" t="n">
        <f aca="false">IFERROR(AVERAGEIF(S37:W37,"&lt;&gt;0"),"")</f>
        <v>8000</v>
      </c>
      <c r="AB37" s="13" t="n">
        <f aca="false">IFERROR(AVERAGEIF(D37:W37,"&lt;&gt;0"),"")</f>
        <v>8000</v>
      </c>
    </row>
    <row r="38" customFormat="false" ht="15" hidden="false" customHeight="false" outlineLevel="0" collapsed="false">
      <c r="A38" s="3" t="n">
        <v>34</v>
      </c>
      <c r="B38" s="3" t="s">
        <v>477</v>
      </c>
      <c r="C38" s="3" t="s">
        <v>471</v>
      </c>
      <c r="D38" s="32" t="n">
        <v>4000</v>
      </c>
      <c r="E38" s="32" t="n">
        <v>4000</v>
      </c>
      <c r="F38" s="32" t="n">
        <v>4000</v>
      </c>
      <c r="G38" s="32" t="n">
        <v>4000</v>
      </c>
      <c r="H38" s="32" t="n">
        <v>4000</v>
      </c>
      <c r="I38" s="32" t="n">
        <v>4000</v>
      </c>
      <c r="J38" s="32" t="n">
        <v>4000</v>
      </c>
      <c r="K38" s="32" t="n">
        <v>4000</v>
      </c>
      <c r="L38" s="32" t="n">
        <v>4000</v>
      </c>
      <c r="M38" s="32" t="n">
        <v>4000</v>
      </c>
      <c r="N38" s="32" t="n">
        <v>4000</v>
      </c>
      <c r="O38" s="32" t="n">
        <v>4000</v>
      </c>
      <c r="P38" s="32" t="n">
        <v>4000</v>
      </c>
      <c r="Q38" s="32" t="n">
        <v>4000</v>
      </c>
      <c r="R38" s="32" t="n">
        <v>4000</v>
      </c>
      <c r="S38" s="32" t="n">
        <v>4000</v>
      </c>
      <c r="T38" s="32" t="n">
        <v>4000</v>
      </c>
      <c r="U38" s="32" t="n">
        <v>4000</v>
      </c>
      <c r="V38" s="32" t="n">
        <v>4000</v>
      </c>
      <c r="W38" s="32" t="n">
        <v>4000</v>
      </c>
      <c r="X38" s="13" t="n">
        <f aca="false">IFERROR(AVERAGEIF(D38:H38,"&lt;&gt;0"),"")</f>
        <v>4000</v>
      </c>
      <c r="Y38" s="13" t="n">
        <f aca="false">IFERROR(AVERAGEIF(I38:M38,"&lt;&gt;0"),"")</f>
        <v>4000</v>
      </c>
      <c r="Z38" s="13" t="n">
        <f aca="false">IFERROR(AVERAGEIF(N38:R38,"&lt;&gt;0"),"")</f>
        <v>4000</v>
      </c>
      <c r="AA38" s="13" t="n">
        <f aca="false">IFERROR(AVERAGEIF(S38:W38,"&lt;&gt;0"),"")</f>
        <v>4000</v>
      </c>
      <c r="AB38" s="13" t="n">
        <f aca="false">IFERROR(AVERAGEIF(D38:W38,"&lt;&gt;0"),"")</f>
        <v>4000</v>
      </c>
    </row>
    <row r="39" customFormat="false" ht="15" hidden="false" customHeight="false" outlineLevel="0" collapsed="false">
      <c r="A39" s="3" t="n">
        <v>35</v>
      </c>
      <c r="B39" s="3" t="s">
        <v>478</v>
      </c>
      <c r="C39" s="3" t="s">
        <v>471</v>
      </c>
      <c r="D39" s="32" t="n">
        <v>12000</v>
      </c>
      <c r="E39" s="32" t="n">
        <v>12000</v>
      </c>
      <c r="F39" s="32" t="n">
        <v>12000</v>
      </c>
      <c r="G39" s="32" t="n">
        <v>12000</v>
      </c>
      <c r="H39" s="32" t="n">
        <v>12000</v>
      </c>
      <c r="I39" s="32" t="n">
        <v>12000</v>
      </c>
      <c r="J39" s="32" t="n">
        <v>12000</v>
      </c>
      <c r="K39" s="32" t="n">
        <v>12000</v>
      </c>
      <c r="L39" s="32" t="n">
        <v>12000</v>
      </c>
      <c r="M39" s="32" t="n">
        <v>12000</v>
      </c>
      <c r="N39" s="32" t="n">
        <v>12000</v>
      </c>
      <c r="O39" s="32" t="n">
        <v>12000</v>
      </c>
      <c r="P39" s="32" t="n">
        <v>12000</v>
      </c>
      <c r="Q39" s="32" t="n">
        <v>12000</v>
      </c>
      <c r="R39" s="32" t="n">
        <v>12000</v>
      </c>
      <c r="S39" s="32" t="n">
        <v>12000</v>
      </c>
      <c r="T39" s="32" t="n">
        <v>12000</v>
      </c>
      <c r="U39" s="32" t="n">
        <v>12000</v>
      </c>
      <c r="V39" s="32" t="n">
        <v>12000</v>
      </c>
      <c r="W39" s="32" t="n">
        <v>12000</v>
      </c>
      <c r="X39" s="13" t="n">
        <f aca="false">IFERROR(AVERAGEIF(D39:H39,"&lt;&gt;0"),"")</f>
        <v>12000</v>
      </c>
      <c r="Y39" s="13" t="n">
        <f aca="false">IFERROR(AVERAGEIF(I39:M39,"&lt;&gt;0"),"")</f>
        <v>12000</v>
      </c>
      <c r="Z39" s="13" t="n">
        <f aca="false">IFERROR(AVERAGEIF(N39:R39,"&lt;&gt;0"),"")</f>
        <v>12000</v>
      </c>
      <c r="AA39" s="13" t="n">
        <f aca="false">IFERROR(AVERAGEIF(S39:W39,"&lt;&gt;0"),"")</f>
        <v>12000</v>
      </c>
      <c r="AB39" s="13" t="n">
        <f aca="false">IFERROR(AVERAGEIF(D39:W39,"&lt;&gt;0"),"")</f>
        <v>12000</v>
      </c>
    </row>
    <row r="40" customFormat="false" ht="15" hidden="false" customHeight="false" outlineLevel="0" collapsed="false">
      <c r="A40" s="3" t="n">
        <v>36</v>
      </c>
      <c r="B40" s="3" t="s">
        <v>479</v>
      </c>
      <c r="C40" s="3" t="s">
        <v>471</v>
      </c>
      <c r="D40" s="32" t="n">
        <v>4000</v>
      </c>
      <c r="E40" s="32" t="n">
        <v>4000</v>
      </c>
      <c r="F40" s="32" t="n">
        <v>4000</v>
      </c>
      <c r="G40" s="32" t="n">
        <v>4000</v>
      </c>
      <c r="H40" s="32" t="n">
        <v>4000</v>
      </c>
      <c r="I40" s="32" t="n">
        <v>4000</v>
      </c>
      <c r="J40" s="32" t="n">
        <v>4000</v>
      </c>
      <c r="K40" s="32" t="n">
        <v>4000</v>
      </c>
      <c r="L40" s="32" t="n">
        <v>4000</v>
      </c>
      <c r="M40" s="32" t="n">
        <v>4000</v>
      </c>
      <c r="N40" s="32" t="n">
        <v>4000</v>
      </c>
      <c r="O40" s="32" t="n">
        <v>4000</v>
      </c>
      <c r="P40" s="32" t="n">
        <v>4000</v>
      </c>
      <c r="Q40" s="32" t="n">
        <v>4000</v>
      </c>
      <c r="R40" s="32" t="n">
        <v>4000</v>
      </c>
      <c r="S40" s="32" t="n">
        <v>4000</v>
      </c>
      <c r="T40" s="32" t="n">
        <v>4000</v>
      </c>
      <c r="U40" s="32" t="n">
        <v>4000</v>
      </c>
      <c r="V40" s="32" t="n">
        <v>4000</v>
      </c>
      <c r="W40" s="32" t="n">
        <v>4000</v>
      </c>
      <c r="X40" s="13" t="n">
        <f aca="false">IFERROR(AVERAGEIF(D40:H40,"&lt;&gt;0"),"")</f>
        <v>4000</v>
      </c>
      <c r="Y40" s="13" t="n">
        <f aca="false">IFERROR(AVERAGEIF(I40:M40,"&lt;&gt;0"),"")</f>
        <v>4000</v>
      </c>
      <c r="Z40" s="13" t="n">
        <f aca="false">IFERROR(AVERAGEIF(N40:R40,"&lt;&gt;0"),"")</f>
        <v>4000</v>
      </c>
      <c r="AA40" s="13" t="n">
        <f aca="false">IFERROR(AVERAGEIF(S40:W40,"&lt;&gt;0"),"")</f>
        <v>4000</v>
      </c>
      <c r="AB40" s="13" t="n">
        <f aca="false">IFERROR(AVERAGEIF(D40:W40,"&lt;&gt;0"),"")</f>
        <v>4000</v>
      </c>
    </row>
    <row r="41" customFormat="false" ht="15" hidden="false" customHeight="false" outlineLevel="0" collapsed="false">
      <c r="A41" s="3" t="n">
        <v>37</v>
      </c>
      <c r="B41" s="3" t="s">
        <v>480</v>
      </c>
      <c r="C41" s="3" t="s">
        <v>471</v>
      </c>
      <c r="D41" s="32" t="n">
        <v>2000</v>
      </c>
      <c r="E41" s="32" t="n">
        <v>2000</v>
      </c>
      <c r="F41" s="32" t="n">
        <v>2000</v>
      </c>
      <c r="G41" s="32" t="n">
        <v>2000</v>
      </c>
      <c r="H41" s="32" t="n">
        <v>2000</v>
      </c>
      <c r="I41" s="32" t="n">
        <v>2000</v>
      </c>
      <c r="J41" s="32" t="n">
        <v>2000</v>
      </c>
      <c r="K41" s="32" t="n">
        <v>2000</v>
      </c>
      <c r="L41" s="32" t="n">
        <v>2000</v>
      </c>
      <c r="M41" s="32" t="n">
        <v>2000</v>
      </c>
      <c r="N41" s="32" t="n">
        <v>2000</v>
      </c>
      <c r="O41" s="32" t="n">
        <v>2000</v>
      </c>
      <c r="P41" s="32" t="n">
        <v>2000</v>
      </c>
      <c r="Q41" s="32" t="n">
        <v>2000</v>
      </c>
      <c r="R41" s="32" t="n">
        <v>2000</v>
      </c>
      <c r="S41" s="32" t="n">
        <v>2000</v>
      </c>
      <c r="T41" s="32" t="n">
        <v>2000</v>
      </c>
      <c r="U41" s="32" t="n">
        <v>2000</v>
      </c>
      <c r="V41" s="32" t="n">
        <v>2000</v>
      </c>
      <c r="W41" s="32" t="n">
        <v>2000</v>
      </c>
      <c r="X41" s="13" t="n">
        <f aca="false">IFERROR(AVERAGEIF(D41:H41,"&lt;&gt;0"),"")</f>
        <v>2000</v>
      </c>
      <c r="Y41" s="13" t="n">
        <f aca="false">IFERROR(AVERAGEIF(I41:M41,"&lt;&gt;0"),"")</f>
        <v>2000</v>
      </c>
      <c r="Z41" s="13" t="n">
        <f aca="false">IFERROR(AVERAGEIF(N41:R41,"&lt;&gt;0"),"")</f>
        <v>2000</v>
      </c>
      <c r="AA41" s="13" t="n">
        <f aca="false">IFERROR(AVERAGEIF(S41:W41,"&lt;&gt;0"),"")</f>
        <v>2000</v>
      </c>
      <c r="AB41" s="13" t="n">
        <f aca="false">IFERROR(AVERAGEIF(D41:W41,"&lt;&gt;0"),"")</f>
        <v>2000</v>
      </c>
    </row>
    <row r="42" customFormat="false" ht="15" hidden="false" customHeight="false" outlineLevel="0" collapsed="false">
      <c r="A42" s="3" t="n">
        <v>38</v>
      </c>
      <c r="B42" s="3" t="s">
        <v>481</v>
      </c>
      <c r="C42" s="3" t="s">
        <v>471</v>
      </c>
      <c r="D42" s="32" t="n">
        <v>5000</v>
      </c>
      <c r="E42" s="32" t="n">
        <v>5000</v>
      </c>
      <c r="F42" s="32" t="n">
        <v>5000</v>
      </c>
      <c r="G42" s="32" t="n">
        <v>5000</v>
      </c>
      <c r="H42" s="32" t="n">
        <v>5000</v>
      </c>
      <c r="I42" s="32" t="n">
        <v>5000</v>
      </c>
      <c r="J42" s="32" t="n">
        <v>5000</v>
      </c>
      <c r="K42" s="32" t="n">
        <v>5000</v>
      </c>
      <c r="L42" s="32" t="n">
        <v>5000</v>
      </c>
      <c r="M42" s="32" t="n">
        <v>5000</v>
      </c>
      <c r="N42" s="32" t="n">
        <v>5000</v>
      </c>
      <c r="O42" s="32" t="n">
        <v>5000</v>
      </c>
      <c r="P42" s="32" t="n">
        <v>5000</v>
      </c>
      <c r="Q42" s="32" t="n">
        <v>5000</v>
      </c>
      <c r="R42" s="32" t="n">
        <v>5000</v>
      </c>
      <c r="S42" s="32" t="n">
        <v>5000</v>
      </c>
      <c r="T42" s="32" t="n">
        <v>5000</v>
      </c>
      <c r="U42" s="32" t="n">
        <v>5000</v>
      </c>
      <c r="V42" s="32" t="n">
        <v>5000</v>
      </c>
      <c r="W42" s="32" t="n">
        <v>5000</v>
      </c>
      <c r="X42" s="13" t="n">
        <f aca="false">IFERROR(AVERAGEIF(D42:H42,"&lt;&gt;0"),"")</f>
        <v>5000</v>
      </c>
      <c r="Y42" s="13" t="n">
        <f aca="false">IFERROR(AVERAGEIF(I42:M42,"&lt;&gt;0"),"")</f>
        <v>5000</v>
      </c>
      <c r="Z42" s="13" t="n">
        <f aca="false">IFERROR(AVERAGEIF(N42:R42,"&lt;&gt;0"),"")</f>
        <v>5000</v>
      </c>
      <c r="AA42" s="13" t="n">
        <f aca="false">IFERROR(AVERAGEIF(S42:W42,"&lt;&gt;0"),"")</f>
        <v>5000</v>
      </c>
      <c r="AB42" s="13" t="n">
        <f aca="false">IFERROR(AVERAGEIF(D42:W42,"&lt;&gt;0"),"")</f>
        <v>5000</v>
      </c>
    </row>
    <row r="43" customFormat="false" ht="15" hidden="false" customHeight="false" outlineLevel="0" collapsed="false">
      <c r="A43" s="3" t="n">
        <v>39</v>
      </c>
      <c r="B43" s="3" t="s">
        <v>482</v>
      </c>
      <c r="C43" s="3" t="s">
        <v>471</v>
      </c>
      <c r="D43" s="32" t="n">
        <v>5000</v>
      </c>
      <c r="E43" s="32" t="n">
        <v>5000</v>
      </c>
      <c r="F43" s="32" t="n">
        <v>5000</v>
      </c>
      <c r="G43" s="32" t="n">
        <v>5000</v>
      </c>
      <c r="H43" s="32" t="n">
        <v>5000</v>
      </c>
      <c r="I43" s="32" t="n">
        <v>5000</v>
      </c>
      <c r="J43" s="32" t="n">
        <v>5000</v>
      </c>
      <c r="K43" s="32" t="n">
        <v>5000</v>
      </c>
      <c r="L43" s="32" t="n">
        <v>5000</v>
      </c>
      <c r="M43" s="32" t="n">
        <v>5000</v>
      </c>
      <c r="N43" s="32" t="n">
        <v>5000</v>
      </c>
      <c r="O43" s="32" t="n">
        <v>5000</v>
      </c>
      <c r="P43" s="32" t="n">
        <v>5000</v>
      </c>
      <c r="Q43" s="32" t="n">
        <v>5000</v>
      </c>
      <c r="R43" s="32" t="n">
        <v>5000</v>
      </c>
      <c r="S43" s="32" t="n">
        <v>5000</v>
      </c>
      <c r="T43" s="32" t="n">
        <v>5000</v>
      </c>
      <c r="U43" s="32" t="n">
        <v>5000</v>
      </c>
      <c r="V43" s="32" t="n">
        <v>5000</v>
      </c>
      <c r="W43" s="32" t="n">
        <v>5000</v>
      </c>
      <c r="X43" s="13" t="n">
        <f aca="false">IFERROR(AVERAGEIF(D43:H43,"&lt;&gt;0"),"")</f>
        <v>5000</v>
      </c>
      <c r="Y43" s="13" t="n">
        <f aca="false">IFERROR(AVERAGEIF(I43:M43,"&lt;&gt;0"),"")</f>
        <v>5000</v>
      </c>
      <c r="Z43" s="13" t="n">
        <f aca="false">IFERROR(AVERAGEIF(N43:R43,"&lt;&gt;0"),"")</f>
        <v>5000</v>
      </c>
      <c r="AA43" s="13" t="n">
        <f aca="false">IFERROR(AVERAGEIF(S43:W43,"&lt;&gt;0"),"")</f>
        <v>5000</v>
      </c>
      <c r="AB43" s="13" t="n">
        <f aca="false">IFERROR(AVERAGEIF(D43:W43,"&lt;&gt;0"),"")</f>
        <v>5000</v>
      </c>
    </row>
    <row r="44" customFormat="false" ht="15" hidden="false" customHeight="false" outlineLevel="0" collapsed="false">
      <c r="A44" s="3" t="n">
        <v>40</v>
      </c>
      <c r="B44" s="3" t="s">
        <v>483</v>
      </c>
      <c r="C44" s="3" t="s">
        <v>471</v>
      </c>
      <c r="D44" s="32" t="n">
        <v>4000</v>
      </c>
      <c r="E44" s="32" t="n">
        <v>4000</v>
      </c>
      <c r="F44" s="32" t="n">
        <v>4000</v>
      </c>
      <c r="G44" s="32" t="n">
        <v>4000</v>
      </c>
      <c r="H44" s="32" t="n">
        <v>4000</v>
      </c>
      <c r="I44" s="32" t="n">
        <v>4000</v>
      </c>
      <c r="J44" s="32" t="n">
        <v>4000</v>
      </c>
      <c r="K44" s="32" t="n">
        <v>4000</v>
      </c>
      <c r="L44" s="32" t="n">
        <v>4000</v>
      </c>
      <c r="M44" s="32" t="n">
        <v>4000</v>
      </c>
      <c r="N44" s="32" t="n">
        <v>4000</v>
      </c>
      <c r="O44" s="32" t="n">
        <v>4000</v>
      </c>
      <c r="P44" s="32" t="n">
        <v>4000</v>
      </c>
      <c r="Q44" s="32" t="n">
        <v>4000</v>
      </c>
      <c r="R44" s="32" t="n">
        <v>4000</v>
      </c>
      <c r="S44" s="32" t="n">
        <v>4000</v>
      </c>
      <c r="T44" s="32" t="n">
        <v>4000</v>
      </c>
      <c r="U44" s="32" t="n">
        <v>4000</v>
      </c>
      <c r="V44" s="32" t="n">
        <v>4000</v>
      </c>
      <c r="W44" s="32" t="n">
        <v>4000</v>
      </c>
      <c r="X44" s="13" t="n">
        <f aca="false">IFERROR(AVERAGEIF(D44:H44,"&lt;&gt;0"),"")</f>
        <v>4000</v>
      </c>
      <c r="Y44" s="13" t="n">
        <f aca="false">IFERROR(AVERAGEIF(I44:M44,"&lt;&gt;0"),"")</f>
        <v>4000</v>
      </c>
      <c r="Z44" s="13" t="n">
        <f aca="false">IFERROR(AVERAGEIF(N44:R44,"&lt;&gt;0"),"")</f>
        <v>4000</v>
      </c>
      <c r="AA44" s="13" t="n">
        <f aca="false">IFERROR(AVERAGEIF(S44:W44,"&lt;&gt;0"),"")</f>
        <v>4000</v>
      </c>
      <c r="AB44" s="13" t="n">
        <f aca="false">IFERROR(AVERAGEIF(D44:W44,"&lt;&gt;0"),"")</f>
        <v>4000</v>
      </c>
    </row>
    <row r="45" customFormat="false" ht="15" hidden="false" customHeight="false" outlineLevel="0" collapsed="false">
      <c r="A45" s="3" t="n">
        <v>41</v>
      </c>
      <c r="B45" s="3" t="s">
        <v>484</v>
      </c>
      <c r="C45" s="3" t="s">
        <v>471</v>
      </c>
      <c r="D45" s="32" t="n">
        <v>60000</v>
      </c>
      <c r="E45" s="32" t="n">
        <v>60000</v>
      </c>
      <c r="F45" s="32" t="n">
        <v>60000</v>
      </c>
      <c r="G45" s="32" t="n">
        <v>60000</v>
      </c>
      <c r="H45" s="32" t="n">
        <v>60000</v>
      </c>
      <c r="I45" s="32" t="n">
        <v>60000</v>
      </c>
      <c r="J45" s="32" t="n">
        <v>60000</v>
      </c>
      <c r="K45" s="32" t="n">
        <v>60000</v>
      </c>
      <c r="L45" s="32" t="n">
        <v>60000</v>
      </c>
      <c r="M45" s="32" t="n">
        <v>60000</v>
      </c>
      <c r="N45" s="32" t="n">
        <v>60000</v>
      </c>
      <c r="O45" s="32" t="n">
        <v>60000</v>
      </c>
      <c r="P45" s="32" t="n">
        <v>60000</v>
      </c>
      <c r="Q45" s="32" t="n">
        <v>60000</v>
      </c>
      <c r="R45" s="32" t="n">
        <v>60000</v>
      </c>
      <c r="S45" s="32" t="n">
        <v>60000</v>
      </c>
      <c r="T45" s="32" t="n">
        <v>60000</v>
      </c>
      <c r="U45" s="32" t="n">
        <v>60000</v>
      </c>
      <c r="V45" s="32" t="n">
        <v>60000</v>
      </c>
      <c r="W45" s="32" t="n">
        <v>60000</v>
      </c>
      <c r="X45" s="13" t="n">
        <f aca="false">IFERROR(AVERAGEIF(D45:H45,"&lt;&gt;0"),"")</f>
        <v>60000</v>
      </c>
      <c r="Y45" s="13" t="n">
        <f aca="false">IFERROR(AVERAGEIF(I45:M45,"&lt;&gt;0"),"")</f>
        <v>60000</v>
      </c>
      <c r="Z45" s="13" t="n">
        <f aca="false">IFERROR(AVERAGEIF(N45:R45,"&lt;&gt;0"),"")</f>
        <v>60000</v>
      </c>
      <c r="AA45" s="13" t="n">
        <f aca="false">IFERROR(AVERAGEIF(S45:W45,"&lt;&gt;0"),"")</f>
        <v>60000</v>
      </c>
      <c r="AB45" s="13" t="n">
        <f aca="false">IFERROR(AVERAGEIF(D45:W45,"&lt;&gt;0"),"")</f>
        <v>60000</v>
      </c>
    </row>
    <row r="46" customFormat="false" ht="15" hidden="false" customHeight="false" outlineLevel="0" collapsed="false">
      <c r="A46" s="3" t="n">
        <v>42</v>
      </c>
      <c r="B46" s="3" t="s">
        <v>485</v>
      </c>
      <c r="C46" s="3" t="s">
        <v>471</v>
      </c>
      <c r="D46" s="32" t="n">
        <v>35000</v>
      </c>
      <c r="E46" s="32" t="n">
        <v>35000</v>
      </c>
      <c r="F46" s="32" t="n">
        <v>35000</v>
      </c>
      <c r="G46" s="32" t="n">
        <v>35000</v>
      </c>
      <c r="H46" s="32" t="n">
        <v>35000</v>
      </c>
      <c r="I46" s="32" t="n">
        <v>35000</v>
      </c>
      <c r="J46" s="32" t="n">
        <v>35000</v>
      </c>
      <c r="K46" s="32" t="n">
        <v>35000</v>
      </c>
      <c r="L46" s="32" t="n">
        <v>35000</v>
      </c>
      <c r="M46" s="32" t="n">
        <v>35000</v>
      </c>
      <c r="N46" s="32" t="n">
        <v>35000</v>
      </c>
      <c r="O46" s="32" t="n">
        <v>35000</v>
      </c>
      <c r="P46" s="32" t="n">
        <v>35000</v>
      </c>
      <c r="Q46" s="32" t="n">
        <v>35000</v>
      </c>
      <c r="R46" s="32" t="n">
        <v>35000</v>
      </c>
      <c r="S46" s="32" t="n">
        <v>35000</v>
      </c>
      <c r="T46" s="32" t="n">
        <v>35000</v>
      </c>
      <c r="U46" s="32" t="n">
        <v>35000</v>
      </c>
      <c r="V46" s="32" t="n">
        <v>35000</v>
      </c>
      <c r="W46" s="32" t="n">
        <v>35000</v>
      </c>
      <c r="X46" s="13" t="n">
        <f aca="false">IFERROR(AVERAGEIF(D46:H46,"&lt;&gt;0"),"")</f>
        <v>35000</v>
      </c>
      <c r="Y46" s="13" t="n">
        <f aca="false">IFERROR(AVERAGEIF(I46:M46,"&lt;&gt;0"),"")</f>
        <v>35000</v>
      </c>
      <c r="Z46" s="13" t="n">
        <f aca="false">IFERROR(AVERAGEIF(N46:R46,"&lt;&gt;0"),"")</f>
        <v>35000</v>
      </c>
      <c r="AA46" s="13" t="n">
        <f aca="false">IFERROR(AVERAGEIF(S46:W46,"&lt;&gt;0"),"")</f>
        <v>35000</v>
      </c>
      <c r="AB46" s="13" t="n">
        <f aca="false">IFERROR(AVERAGEIF(D46:W46,"&lt;&gt;0"),"")</f>
        <v>35000</v>
      </c>
    </row>
    <row r="47" customFormat="false" ht="15" hidden="false" customHeight="false" outlineLevel="0" collapsed="false">
      <c r="A47" s="3" t="n">
        <v>43</v>
      </c>
      <c r="B47" s="3" t="s">
        <v>486</v>
      </c>
      <c r="C47" s="3" t="s">
        <v>471</v>
      </c>
      <c r="D47" s="32" t="n">
        <v>27000</v>
      </c>
      <c r="E47" s="32" t="n">
        <v>27000</v>
      </c>
      <c r="F47" s="32" t="n">
        <v>27000</v>
      </c>
      <c r="G47" s="32" t="n">
        <v>27000</v>
      </c>
      <c r="H47" s="32" t="n">
        <v>27000</v>
      </c>
      <c r="I47" s="32" t="n">
        <v>27000</v>
      </c>
      <c r="J47" s="32" t="n">
        <v>27000</v>
      </c>
      <c r="K47" s="32" t="n">
        <v>27000</v>
      </c>
      <c r="L47" s="32" t="n">
        <v>27000</v>
      </c>
      <c r="M47" s="32" t="n">
        <v>27000</v>
      </c>
      <c r="N47" s="32" t="n">
        <v>27000</v>
      </c>
      <c r="O47" s="32" t="n">
        <v>27000</v>
      </c>
      <c r="P47" s="32" t="n">
        <v>27000</v>
      </c>
      <c r="Q47" s="32" t="n">
        <v>27000</v>
      </c>
      <c r="R47" s="32" t="n">
        <v>27000</v>
      </c>
      <c r="S47" s="32" t="n">
        <v>27000</v>
      </c>
      <c r="T47" s="32" t="n">
        <v>27000</v>
      </c>
      <c r="U47" s="32" t="n">
        <v>27000</v>
      </c>
      <c r="V47" s="32" t="n">
        <v>27000</v>
      </c>
      <c r="W47" s="32" t="n">
        <v>27000</v>
      </c>
      <c r="X47" s="13" t="n">
        <f aca="false">IFERROR(AVERAGEIF(D47:H47,"&lt;&gt;0"),"")</f>
        <v>27000</v>
      </c>
      <c r="Y47" s="13" t="n">
        <f aca="false">IFERROR(AVERAGEIF(I47:M47,"&lt;&gt;0"),"")</f>
        <v>27000</v>
      </c>
      <c r="Z47" s="13" t="n">
        <f aca="false">IFERROR(AVERAGEIF(N47:R47,"&lt;&gt;0"),"")</f>
        <v>27000</v>
      </c>
      <c r="AA47" s="13" t="n">
        <f aca="false">IFERROR(AVERAGEIF(S47:W47,"&lt;&gt;0"),"")</f>
        <v>27000</v>
      </c>
      <c r="AB47" s="13" t="n">
        <f aca="false">IFERROR(AVERAGEIF(D47:W47,"&lt;&gt;0"),"")</f>
        <v>27000</v>
      </c>
    </row>
    <row r="48" customFormat="false" ht="15" hidden="false" customHeight="false" outlineLevel="0" collapsed="false">
      <c r="A48" s="3" t="n">
        <v>44</v>
      </c>
      <c r="B48" s="3" t="s">
        <v>487</v>
      </c>
      <c r="C48" s="3" t="s">
        <v>471</v>
      </c>
      <c r="D48" s="32" t="n">
        <v>14000</v>
      </c>
      <c r="E48" s="32" t="n">
        <v>14000</v>
      </c>
      <c r="F48" s="32" t="n">
        <v>14000</v>
      </c>
      <c r="G48" s="32" t="n">
        <v>14000</v>
      </c>
      <c r="H48" s="32" t="n">
        <v>14000</v>
      </c>
      <c r="I48" s="32" t="n">
        <v>14000</v>
      </c>
      <c r="J48" s="32" t="n">
        <v>14000</v>
      </c>
      <c r="K48" s="32" t="n">
        <v>14000</v>
      </c>
      <c r="L48" s="32" t="n">
        <v>14000</v>
      </c>
      <c r="M48" s="32" t="n">
        <v>14000</v>
      </c>
      <c r="N48" s="32" t="n">
        <v>14000</v>
      </c>
      <c r="O48" s="32" t="n">
        <v>14000</v>
      </c>
      <c r="P48" s="32" t="n">
        <v>14000</v>
      </c>
      <c r="Q48" s="32" t="n">
        <v>14000</v>
      </c>
      <c r="R48" s="32" t="n">
        <v>14000</v>
      </c>
      <c r="S48" s="32" t="n">
        <v>14000</v>
      </c>
      <c r="T48" s="32" t="n">
        <v>14000</v>
      </c>
      <c r="U48" s="32" t="n">
        <v>14000</v>
      </c>
      <c r="V48" s="32" t="n">
        <v>14000</v>
      </c>
      <c r="W48" s="32" t="n">
        <v>14000</v>
      </c>
      <c r="X48" s="13" t="n">
        <f aca="false">IFERROR(AVERAGEIF(D48:H48,"&lt;&gt;0"),"")</f>
        <v>14000</v>
      </c>
      <c r="Y48" s="13" t="n">
        <f aca="false">IFERROR(AVERAGEIF(I48:M48,"&lt;&gt;0"),"")</f>
        <v>14000</v>
      </c>
      <c r="Z48" s="13" t="n">
        <f aca="false">IFERROR(AVERAGEIF(N48:R48,"&lt;&gt;0"),"")</f>
        <v>14000</v>
      </c>
      <c r="AA48" s="13" t="n">
        <f aca="false">IFERROR(AVERAGEIF(S48:W48,"&lt;&gt;0"),"")</f>
        <v>14000</v>
      </c>
      <c r="AB48" s="13" t="n">
        <f aca="false">IFERROR(AVERAGEIF(D48:W48,"&lt;&gt;0"),"")</f>
        <v>14000</v>
      </c>
    </row>
  </sheetData>
  <mergeCells count="1">
    <mergeCell ref="A1:A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4"/>
    <col collapsed="false" customWidth="true" hidden="false" outlineLevel="0" max="26" min="4" style="0" width="9"/>
    <col collapsed="false" customWidth="true" hidden="false" outlineLevel="0" max="32" min="27" style="0" width="14"/>
  </cols>
  <sheetData>
    <row r="1" customFormat="false" ht="16.15" hidden="false" customHeight="false" outlineLevel="0" collapsed="false">
      <c r="A1" s="1" t="s">
        <v>773</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customFormat="false" ht="15" hidden="false" customHeight="false" outlineLevel="0" collapsed="false">
      <c r="A2" s="7" t="s">
        <v>443</v>
      </c>
    </row>
    <row r="4" customFormat="false" ht="19.4" hidden="false" customHeight="false" outlineLevel="0" collapsed="false">
      <c r="A4" s="10" t="s">
        <v>1</v>
      </c>
      <c r="B4" s="10" t="s">
        <v>444</v>
      </c>
      <c r="C4" s="10" t="s">
        <v>445</v>
      </c>
      <c r="D4" s="10" t="s">
        <v>774</v>
      </c>
      <c r="E4" s="10" t="s">
        <v>775</v>
      </c>
      <c r="F4" s="10" t="s">
        <v>776</v>
      </c>
      <c r="G4" s="10" t="s">
        <v>777</v>
      </c>
      <c r="H4" s="10" t="s">
        <v>778</v>
      </c>
      <c r="I4" s="10" t="s">
        <v>779</v>
      </c>
      <c r="J4" s="10" t="s">
        <v>780</v>
      </c>
      <c r="K4" s="10" t="s">
        <v>781</v>
      </c>
      <c r="L4" s="10" t="s">
        <v>782</v>
      </c>
      <c r="M4" s="10" t="s">
        <v>783</v>
      </c>
      <c r="N4" s="10" t="s">
        <v>784</v>
      </c>
      <c r="O4" s="10" t="s">
        <v>785</v>
      </c>
      <c r="P4" s="10" t="s">
        <v>786</v>
      </c>
      <c r="Q4" s="10" t="s">
        <v>787</v>
      </c>
      <c r="R4" s="10" t="s">
        <v>788</v>
      </c>
      <c r="S4" s="10" t="s">
        <v>789</v>
      </c>
      <c r="T4" s="10" t="s">
        <v>790</v>
      </c>
      <c r="U4" s="10" t="s">
        <v>791</v>
      </c>
      <c r="V4" s="10" t="s">
        <v>792</v>
      </c>
      <c r="W4" s="10" t="s">
        <v>793</v>
      </c>
      <c r="X4" s="10" t="s">
        <v>794</v>
      </c>
      <c r="Y4" s="10" t="s">
        <v>795</v>
      </c>
      <c r="Z4" s="10" t="s">
        <v>796</v>
      </c>
      <c r="AA4" s="10" t="s">
        <v>721</v>
      </c>
      <c r="AB4" s="10" t="s">
        <v>722</v>
      </c>
      <c r="AC4" s="10" t="s">
        <v>723</v>
      </c>
      <c r="AD4" s="10" t="s">
        <v>724</v>
      </c>
      <c r="AE4" s="10" t="s">
        <v>797</v>
      </c>
      <c r="AF4" s="10" t="s">
        <v>798</v>
      </c>
    </row>
    <row r="5" customFormat="false" ht="15" hidden="false" customHeight="false" outlineLevel="0" collapsed="false">
      <c r="A5" s="3" t="n">
        <v>1</v>
      </c>
      <c r="B5" s="3" t="s">
        <v>407</v>
      </c>
      <c r="C5" s="3" t="s">
        <v>471</v>
      </c>
      <c r="D5" s="32" t="n">
        <v>12500</v>
      </c>
      <c r="E5" s="32" t="n">
        <v>12500</v>
      </c>
      <c r="F5" s="32" t="n">
        <v>12500</v>
      </c>
      <c r="G5" s="32" t="n">
        <v>12500</v>
      </c>
      <c r="H5" s="32" t="n">
        <v>12500</v>
      </c>
      <c r="I5" s="32" t="n">
        <v>12500</v>
      </c>
      <c r="J5" s="32" t="n">
        <v>12500</v>
      </c>
      <c r="K5" s="32" t="n">
        <v>12500</v>
      </c>
      <c r="L5" s="32" t="n">
        <v>12500</v>
      </c>
      <c r="M5" s="32" t="n">
        <v>12500</v>
      </c>
      <c r="N5" s="32" t="n">
        <v>12500</v>
      </c>
      <c r="O5" s="32" t="n">
        <v>12500</v>
      </c>
      <c r="P5" s="32" t="n">
        <v>12500</v>
      </c>
      <c r="Q5" s="32" t="n">
        <v>12500</v>
      </c>
      <c r="R5" s="32" t="n">
        <v>12500</v>
      </c>
      <c r="S5" s="32" t="n">
        <v>12500</v>
      </c>
      <c r="T5" s="32" t="n">
        <v>12500</v>
      </c>
      <c r="U5" s="32" t="n">
        <v>12500</v>
      </c>
      <c r="V5" s="32" t="n">
        <v>0</v>
      </c>
      <c r="W5" s="32" t="n">
        <v>0</v>
      </c>
      <c r="X5" s="32" t="n">
        <v>12500</v>
      </c>
      <c r="Y5" s="32" t="n">
        <v>12500</v>
      </c>
      <c r="Z5" s="32" t="n">
        <v>12500</v>
      </c>
      <c r="AA5" s="13" t="n">
        <f aca="false">IFERROR(AVERAGEIF(D5:H5,"&lt;&gt;0"),"")</f>
        <v>12500</v>
      </c>
      <c r="AB5" s="13" t="n">
        <f aca="false">IFERROR(AVERAGEIF(I5:M5,"&lt;&gt;0"),"")</f>
        <v>12500</v>
      </c>
      <c r="AC5" s="13" t="n">
        <f aca="false">IFERROR(AVERAGEIF(N5:R5,"&lt;&gt;0"),"")</f>
        <v>12500</v>
      </c>
      <c r="AD5" s="13" t="n">
        <f aca="false">IFERROR(AVERAGEIF(S5:W5,"&lt;&gt;0"),"")</f>
        <v>12500</v>
      </c>
      <c r="AE5" s="13" t="n">
        <f aca="false">IFERROR(AVERAGEIF(X5:Z5,"&lt;&gt;0"),"")</f>
        <v>12500</v>
      </c>
      <c r="AF5" s="13" t="n">
        <f aca="false">IFERROR(AVERAGEIF(D5:Z5,"&lt;&gt;0"),"")</f>
        <v>12500</v>
      </c>
    </row>
    <row r="6" customFormat="false" ht="15" hidden="false" customHeight="false" outlineLevel="0" collapsed="false">
      <c r="A6" s="3" t="n">
        <v>2</v>
      </c>
      <c r="B6" s="3" t="s">
        <v>408</v>
      </c>
      <c r="C6" s="3" t="s">
        <v>471</v>
      </c>
      <c r="D6" s="32" t="n">
        <v>14000</v>
      </c>
      <c r="E6" s="32" t="n">
        <v>14000</v>
      </c>
      <c r="F6" s="32" t="n">
        <v>14000</v>
      </c>
      <c r="G6" s="32" t="n">
        <v>14000</v>
      </c>
      <c r="H6" s="32" t="n">
        <v>14000</v>
      </c>
      <c r="I6" s="32" t="n">
        <v>14000</v>
      </c>
      <c r="J6" s="32" t="n">
        <v>14000</v>
      </c>
      <c r="K6" s="32" t="n">
        <v>14000</v>
      </c>
      <c r="L6" s="32" t="n">
        <v>14000</v>
      </c>
      <c r="M6" s="32" t="n">
        <v>14000</v>
      </c>
      <c r="N6" s="32" t="n">
        <v>14000</v>
      </c>
      <c r="O6" s="32" t="n">
        <v>14000</v>
      </c>
      <c r="P6" s="32" t="n">
        <v>14000</v>
      </c>
      <c r="Q6" s="32" t="n">
        <v>14000</v>
      </c>
      <c r="R6" s="32" t="n">
        <v>14000</v>
      </c>
      <c r="S6" s="32" t="n">
        <v>14000</v>
      </c>
      <c r="T6" s="32" t="n">
        <v>14000</v>
      </c>
      <c r="U6" s="32" t="n">
        <v>14000</v>
      </c>
      <c r="V6" s="32" t="n">
        <v>0</v>
      </c>
      <c r="W6" s="32" t="n">
        <v>0</v>
      </c>
      <c r="X6" s="32" t="n">
        <v>14000</v>
      </c>
      <c r="Y6" s="32" t="n">
        <v>14000</v>
      </c>
      <c r="Z6" s="32" t="n">
        <v>14000</v>
      </c>
      <c r="AA6" s="13" t="n">
        <f aca="false">IFERROR(AVERAGEIF(D6:H6,"&lt;&gt;0"),"")</f>
        <v>14000</v>
      </c>
      <c r="AB6" s="13" t="n">
        <f aca="false">IFERROR(AVERAGEIF(I6:M6,"&lt;&gt;0"),"")</f>
        <v>14000</v>
      </c>
      <c r="AC6" s="13" t="n">
        <f aca="false">IFERROR(AVERAGEIF(N6:R6,"&lt;&gt;0"),"")</f>
        <v>14000</v>
      </c>
      <c r="AD6" s="13" t="n">
        <f aca="false">IFERROR(AVERAGEIF(S6:W6,"&lt;&gt;0"),"")</f>
        <v>14000</v>
      </c>
      <c r="AE6" s="13" t="n">
        <f aca="false">IFERROR(AVERAGEIF(X6:Z6,"&lt;&gt;0"),"")</f>
        <v>14000</v>
      </c>
      <c r="AF6" s="13" t="n">
        <f aca="false">IFERROR(AVERAGEIF(D6:Z6,"&lt;&gt;0"),"")</f>
        <v>14000</v>
      </c>
    </row>
    <row r="7" customFormat="false" ht="15" hidden="false" customHeight="false" outlineLevel="0" collapsed="false">
      <c r="A7" s="3" t="n">
        <v>3</v>
      </c>
      <c r="B7" s="3" t="s">
        <v>409</v>
      </c>
      <c r="C7" s="3" t="s">
        <v>471</v>
      </c>
      <c r="D7" s="32" t="n">
        <v>12500</v>
      </c>
      <c r="E7" s="32" t="n">
        <v>12500</v>
      </c>
      <c r="F7" s="32" t="n">
        <v>12500</v>
      </c>
      <c r="G7" s="32" t="n">
        <v>12500</v>
      </c>
      <c r="H7" s="32" t="n">
        <v>12500</v>
      </c>
      <c r="I7" s="32" t="n">
        <v>12500</v>
      </c>
      <c r="J7" s="32" t="n">
        <v>12500</v>
      </c>
      <c r="K7" s="32" t="n">
        <v>12500</v>
      </c>
      <c r="L7" s="32" t="n">
        <v>12500</v>
      </c>
      <c r="M7" s="32" t="n">
        <v>12500</v>
      </c>
      <c r="N7" s="32" t="n">
        <v>12500</v>
      </c>
      <c r="O7" s="32" t="n">
        <v>12500</v>
      </c>
      <c r="P7" s="32" t="n">
        <v>12500</v>
      </c>
      <c r="Q7" s="32" t="n">
        <v>12500</v>
      </c>
      <c r="R7" s="32" t="n">
        <v>12500</v>
      </c>
      <c r="S7" s="32" t="n">
        <v>12500</v>
      </c>
      <c r="T7" s="32" t="n">
        <v>12500</v>
      </c>
      <c r="U7" s="32" t="n">
        <v>12500</v>
      </c>
      <c r="V7" s="32" t="n">
        <v>0</v>
      </c>
      <c r="W7" s="32" t="n">
        <v>0</v>
      </c>
      <c r="X7" s="32" t="n">
        <v>12500</v>
      </c>
      <c r="Y7" s="32" t="n">
        <v>12500</v>
      </c>
      <c r="Z7" s="32" t="n">
        <v>12500</v>
      </c>
      <c r="AA7" s="13" t="n">
        <f aca="false">IFERROR(AVERAGEIF(D7:H7,"&lt;&gt;0"),"")</f>
        <v>12500</v>
      </c>
      <c r="AB7" s="13" t="n">
        <f aca="false">IFERROR(AVERAGEIF(I7:M7,"&lt;&gt;0"),"")</f>
        <v>12500</v>
      </c>
      <c r="AC7" s="13" t="n">
        <f aca="false">IFERROR(AVERAGEIF(N7:R7,"&lt;&gt;0"),"")</f>
        <v>12500</v>
      </c>
      <c r="AD7" s="13" t="n">
        <f aca="false">IFERROR(AVERAGEIF(S7:W7,"&lt;&gt;0"),"")</f>
        <v>12500</v>
      </c>
      <c r="AE7" s="13" t="n">
        <f aca="false">IFERROR(AVERAGEIF(X7:Z7,"&lt;&gt;0"),"")</f>
        <v>12500</v>
      </c>
      <c r="AF7" s="13" t="n">
        <f aca="false">IFERROR(AVERAGEIF(D7:Z7,"&lt;&gt;0"),"")</f>
        <v>12500</v>
      </c>
    </row>
    <row r="8" customFormat="false" ht="15" hidden="false" customHeight="false" outlineLevel="0" collapsed="false">
      <c r="A8" s="3" t="n">
        <v>4</v>
      </c>
      <c r="B8" s="3" t="s">
        <v>472</v>
      </c>
      <c r="C8" s="3" t="s">
        <v>471</v>
      </c>
      <c r="D8" s="32" t="n">
        <v>11000</v>
      </c>
      <c r="E8" s="32" t="n">
        <v>11000</v>
      </c>
      <c r="F8" s="32" t="n">
        <v>11000</v>
      </c>
      <c r="G8" s="32" t="n">
        <v>11000</v>
      </c>
      <c r="H8" s="32" t="n">
        <v>11000</v>
      </c>
      <c r="I8" s="32" t="n">
        <v>11000</v>
      </c>
      <c r="J8" s="32" t="n">
        <v>11000</v>
      </c>
      <c r="K8" s="32" t="n">
        <v>11000</v>
      </c>
      <c r="L8" s="32" t="n">
        <v>11000</v>
      </c>
      <c r="M8" s="32" t="n">
        <v>11000</v>
      </c>
      <c r="N8" s="32" t="n">
        <v>11000</v>
      </c>
      <c r="O8" s="32" t="n">
        <v>11000</v>
      </c>
      <c r="P8" s="32" t="n">
        <v>11000</v>
      </c>
      <c r="Q8" s="32" t="n">
        <v>11000</v>
      </c>
      <c r="R8" s="32" t="n">
        <v>11000</v>
      </c>
      <c r="S8" s="32" t="n">
        <v>11000</v>
      </c>
      <c r="T8" s="32" t="n">
        <v>11000</v>
      </c>
      <c r="U8" s="32" t="n">
        <v>11000</v>
      </c>
      <c r="V8" s="32" t="n">
        <v>0</v>
      </c>
      <c r="W8" s="32" t="n">
        <v>0</v>
      </c>
      <c r="X8" s="32" t="n">
        <v>11000</v>
      </c>
      <c r="Y8" s="32" t="n">
        <v>11000</v>
      </c>
      <c r="Z8" s="32" t="n">
        <v>11000</v>
      </c>
      <c r="AA8" s="13" t="n">
        <f aca="false">IFERROR(AVERAGEIF(D8:H8,"&lt;&gt;0"),"")</f>
        <v>11000</v>
      </c>
      <c r="AB8" s="13" t="n">
        <f aca="false">IFERROR(AVERAGEIF(I8:M8,"&lt;&gt;0"),"")</f>
        <v>11000</v>
      </c>
      <c r="AC8" s="13" t="n">
        <f aca="false">IFERROR(AVERAGEIF(N8:R8,"&lt;&gt;0"),"")</f>
        <v>11000</v>
      </c>
      <c r="AD8" s="13" t="n">
        <f aca="false">IFERROR(AVERAGEIF(S8:W8,"&lt;&gt;0"),"")</f>
        <v>11000</v>
      </c>
      <c r="AE8" s="13" t="n">
        <f aca="false">IFERROR(AVERAGEIF(X8:Z8,"&lt;&gt;0"),"")</f>
        <v>11000</v>
      </c>
      <c r="AF8" s="13" t="n">
        <f aca="false">IFERROR(AVERAGEIF(D8:Z8,"&lt;&gt;0"),"")</f>
        <v>11000</v>
      </c>
    </row>
    <row r="9" customFormat="false" ht="15" hidden="false" customHeight="false" outlineLevel="0" collapsed="false">
      <c r="A9" s="3" t="n">
        <v>5</v>
      </c>
      <c r="B9" s="3" t="s">
        <v>428</v>
      </c>
      <c r="C9" s="3" t="s">
        <v>471</v>
      </c>
      <c r="D9" s="32" t="n">
        <v>25000</v>
      </c>
      <c r="E9" s="32" t="n">
        <v>25000</v>
      </c>
      <c r="F9" s="32" t="n">
        <v>25000</v>
      </c>
      <c r="G9" s="32" t="n">
        <v>25000</v>
      </c>
      <c r="H9" s="32" t="n">
        <v>25000</v>
      </c>
      <c r="I9" s="32" t="n">
        <v>25000</v>
      </c>
      <c r="J9" s="32" t="n">
        <v>25000</v>
      </c>
      <c r="K9" s="32" t="n">
        <v>25000</v>
      </c>
      <c r="L9" s="32" t="n">
        <v>25000</v>
      </c>
      <c r="M9" s="32" t="n">
        <v>25000</v>
      </c>
      <c r="N9" s="32" t="n">
        <v>25000</v>
      </c>
      <c r="O9" s="32" t="n">
        <v>25000</v>
      </c>
      <c r="P9" s="32" t="n">
        <v>25000</v>
      </c>
      <c r="Q9" s="32" t="n">
        <v>25000</v>
      </c>
      <c r="R9" s="32" t="n">
        <v>25000</v>
      </c>
      <c r="S9" s="32" t="n">
        <v>25000</v>
      </c>
      <c r="T9" s="32" t="n">
        <v>25000</v>
      </c>
      <c r="U9" s="32" t="n">
        <v>25000</v>
      </c>
      <c r="V9" s="32" t="n">
        <v>0</v>
      </c>
      <c r="W9" s="32" t="n">
        <v>0</v>
      </c>
      <c r="X9" s="32" t="n">
        <v>25000</v>
      </c>
      <c r="Y9" s="32" t="n">
        <v>25000</v>
      </c>
      <c r="Z9" s="32" t="n">
        <v>25000</v>
      </c>
      <c r="AA9" s="13" t="n">
        <f aca="false">IFERROR(AVERAGEIF(D9:H9,"&lt;&gt;0"),"")</f>
        <v>25000</v>
      </c>
      <c r="AB9" s="13" t="n">
        <f aca="false">IFERROR(AVERAGEIF(I9:M9,"&lt;&gt;0"),"")</f>
        <v>25000</v>
      </c>
      <c r="AC9" s="13" t="n">
        <f aca="false">IFERROR(AVERAGEIF(N9:R9,"&lt;&gt;0"),"")</f>
        <v>25000</v>
      </c>
      <c r="AD9" s="13" t="n">
        <f aca="false">IFERROR(AVERAGEIF(S9:W9,"&lt;&gt;0"),"")</f>
        <v>25000</v>
      </c>
      <c r="AE9" s="13" t="n">
        <f aca="false">IFERROR(AVERAGEIF(X9:Z9,"&lt;&gt;0"),"")</f>
        <v>25000</v>
      </c>
      <c r="AF9" s="13" t="n">
        <f aca="false">IFERROR(AVERAGEIF(D9:Z9,"&lt;&gt;0"),"")</f>
        <v>25000</v>
      </c>
    </row>
    <row r="10" customFormat="false" ht="15" hidden="false" customHeight="false" outlineLevel="0" collapsed="false">
      <c r="A10" s="3" t="n">
        <v>6</v>
      </c>
      <c r="B10" s="3" t="s">
        <v>429</v>
      </c>
      <c r="C10" s="3" t="s">
        <v>471</v>
      </c>
      <c r="D10" s="32" t="n">
        <v>26000</v>
      </c>
      <c r="E10" s="32" t="n">
        <v>26000</v>
      </c>
      <c r="F10" s="32" t="n">
        <v>27000</v>
      </c>
      <c r="G10" s="32" t="n">
        <v>27000</v>
      </c>
      <c r="H10" s="32" t="n">
        <v>27000</v>
      </c>
      <c r="I10" s="32" t="n">
        <v>27000</v>
      </c>
      <c r="J10" s="32" t="n">
        <v>27000</v>
      </c>
      <c r="K10" s="32" t="n">
        <v>27000</v>
      </c>
      <c r="L10" s="32" t="n">
        <v>25000</v>
      </c>
      <c r="M10" s="32" t="n">
        <v>25000</v>
      </c>
      <c r="N10" s="32" t="n">
        <v>25000</v>
      </c>
      <c r="O10" s="32" t="n">
        <v>25000</v>
      </c>
      <c r="P10" s="32" t="n">
        <v>25000</v>
      </c>
      <c r="Q10" s="32" t="n">
        <v>25000</v>
      </c>
      <c r="R10" s="32" t="n">
        <v>25000</v>
      </c>
      <c r="S10" s="32" t="n">
        <v>25000</v>
      </c>
      <c r="T10" s="32" t="n">
        <v>25000</v>
      </c>
      <c r="U10" s="32" t="n">
        <v>25000</v>
      </c>
      <c r="V10" s="32" t="n">
        <v>0</v>
      </c>
      <c r="W10" s="32" t="n">
        <v>0</v>
      </c>
      <c r="X10" s="32" t="n">
        <v>25000</v>
      </c>
      <c r="Y10" s="32" t="n">
        <v>25000</v>
      </c>
      <c r="Z10" s="32" t="n">
        <v>25000</v>
      </c>
      <c r="AA10" s="13" t="n">
        <f aca="false">IFERROR(AVERAGEIF(D10:H10,"&lt;&gt;0"),"")</f>
        <v>26600</v>
      </c>
      <c r="AB10" s="13" t="n">
        <f aca="false">IFERROR(AVERAGEIF(I10:M10,"&lt;&gt;0"),"")</f>
        <v>26200</v>
      </c>
      <c r="AC10" s="13" t="n">
        <f aca="false">IFERROR(AVERAGEIF(N10:R10,"&lt;&gt;0"),"")</f>
        <v>25000</v>
      </c>
      <c r="AD10" s="13" t="n">
        <f aca="false">IFERROR(AVERAGEIF(S10:W10,"&lt;&gt;0"),"")</f>
        <v>25000</v>
      </c>
      <c r="AE10" s="13" t="n">
        <f aca="false">IFERROR(AVERAGEIF(X10:Z10,"&lt;&gt;0"),"")</f>
        <v>25000</v>
      </c>
      <c r="AF10" s="13" t="n">
        <f aca="false">IFERROR(AVERAGEIF(D10:Z10,"&lt;&gt;0"),"")</f>
        <v>25666.6666666667</v>
      </c>
    </row>
    <row r="11" customFormat="false" ht="15" hidden="false" customHeight="false" outlineLevel="0" collapsed="false">
      <c r="A11" s="3" t="n">
        <v>7</v>
      </c>
      <c r="B11" s="3" t="s">
        <v>418</v>
      </c>
      <c r="C11" s="3" t="s">
        <v>471</v>
      </c>
      <c r="D11" s="32" t="n">
        <v>24000</v>
      </c>
      <c r="E11" s="32" t="n">
        <v>24000</v>
      </c>
      <c r="F11" s="32" t="n">
        <v>25000</v>
      </c>
      <c r="G11" s="32" t="n">
        <v>26000</v>
      </c>
      <c r="H11" s="32" t="n">
        <v>29000</v>
      </c>
      <c r="I11" s="32" t="n">
        <v>29000</v>
      </c>
      <c r="J11" s="32" t="n">
        <v>29000</v>
      </c>
      <c r="K11" s="32" t="n">
        <v>29000</v>
      </c>
      <c r="L11" s="32" t="n">
        <v>28000</v>
      </c>
      <c r="M11" s="32" t="n">
        <v>27000</v>
      </c>
      <c r="N11" s="32" t="n">
        <v>27000</v>
      </c>
      <c r="O11" s="32" t="n">
        <v>26000</v>
      </c>
      <c r="P11" s="32" t="n">
        <v>26000</v>
      </c>
      <c r="Q11" s="32" t="n">
        <v>26000</v>
      </c>
      <c r="R11" s="32" t="n">
        <v>28000</v>
      </c>
      <c r="S11" s="32" t="n">
        <v>28000</v>
      </c>
      <c r="T11" s="32" t="n">
        <v>30000</v>
      </c>
      <c r="U11" s="32" t="n">
        <v>30000</v>
      </c>
      <c r="V11" s="32" t="n">
        <v>0</v>
      </c>
      <c r="W11" s="32" t="n">
        <v>0</v>
      </c>
      <c r="X11" s="32" t="n">
        <v>30000</v>
      </c>
      <c r="Y11" s="32" t="n">
        <v>30000</v>
      </c>
      <c r="Z11" s="32" t="n">
        <v>30000</v>
      </c>
      <c r="AA11" s="13" t="n">
        <f aca="false">IFERROR(AVERAGEIF(D11:H11,"&lt;&gt;0"),"")</f>
        <v>25600</v>
      </c>
      <c r="AB11" s="13" t="n">
        <f aca="false">IFERROR(AVERAGEIF(I11:M11,"&lt;&gt;0"),"")</f>
        <v>28400</v>
      </c>
      <c r="AC11" s="13" t="n">
        <f aca="false">IFERROR(AVERAGEIF(N11:R11,"&lt;&gt;0"),"")</f>
        <v>26600</v>
      </c>
      <c r="AD11" s="13" t="n">
        <f aca="false">IFERROR(AVERAGEIF(S11:W11,"&lt;&gt;0"),"")</f>
        <v>29333.3333333333</v>
      </c>
      <c r="AE11" s="13" t="n">
        <f aca="false">IFERROR(AVERAGEIF(X11:Z11,"&lt;&gt;0"),"")</f>
        <v>30000</v>
      </c>
      <c r="AF11" s="13" t="n">
        <f aca="false">IFERROR(AVERAGEIF(D11:Z11,"&lt;&gt;0"),"")</f>
        <v>27666.6666666667</v>
      </c>
    </row>
    <row r="12" customFormat="false" ht="15" hidden="false" customHeight="false" outlineLevel="0" collapsed="false">
      <c r="A12" s="3" t="n">
        <v>8</v>
      </c>
      <c r="B12" s="3" t="s">
        <v>423</v>
      </c>
      <c r="C12" s="3" t="s">
        <v>471</v>
      </c>
      <c r="D12" s="32" t="n">
        <v>26000</v>
      </c>
      <c r="E12" s="32" t="n">
        <v>26000</v>
      </c>
      <c r="F12" s="32" t="n">
        <v>26000</v>
      </c>
      <c r="G12" s="32" t="n">
        <v>27000</v>
      </c>
      <c r="H12" s="32" t="n">
        <v>27000</v>
      </c>
      <c r="I12" s="32" t="n">
        <v>27000</v>
      </c>
      <c r="J12" s="32" t="n">
        <v>27000</v>
      </c>
      <c r="K12" s="32" t="n">
        <v>27000</v>
      </c>
      <c r="L12" s="32" t="n">
        <v>26000</v>
      </c>
      <c r="M12" s="32" t="n">
        <v>26000</v>
      </c>
      <c r="N12" s="32" t="n">
        <v>26000</v>
      </c>
      <c r="O12" s="32" t="n">
        <v>26000</v>
      </c>
      <c r="P12" s="32" t="n">
        <v>26000</v>
      </c>
      <c r="Q12" s="32" t="n">
        <v>26000</v>
      </c>
      <c r="R12" s="32" t="n">
        <v>26000</v>
      </c>
      <c r="S12" s="32" t="n">
        <v>26000</v>
      </c>
      <c r="T12" s="32" t="n">
        <v>28000</v>
      </c>
      <c r="U12" s="32" t="n">
        <v>28000</v>
      </c>
      <c r="V12" s="32" t="n">
        <v>0</v>
      </c>
      <c r="W12" s="32" t="n">
        <v>0</v>
      </c>
      <c r="X12" s="32" t="n">
        <v>28000</v>
      </c>
      <c r="Y12" s="32" t="n">
        <v>28000</v>
      </c>
      <c r="Z12" s="32" t="n">
        <v>28000</v>
      </c>
      <c r="AA12" s="13" t="n">
        <f aca="false">IFERROR(AVERAGEIF(D12:H12,"&lt;&gt;0"),"")</f>
        <v>26400</v>
      </c>
      <c r="AB12" s="13" t="n">
        <f aca="false">IFERROR(AVERAGEIF(I12:M12,"&lt;&gt;0"),"")</f>
        <v>26600</v>
      </c>
      <c r="AC12" s="13" t="n">
        <f aca="false">IFERROR(AVERAGEIF(N12:R12,"&lt;&gt;0"),"")</f>
        <v>26000</v>
      </c>
      <c r="AD12" s="13" t="n">
        <f aca="false">IFERROR(AVERAGEIF(S12:W12,"&lt;&gt;0"),"")</f>
        <v>27333.3333333333</v>
      </c>
      <c r="AE12" s="13" t="n">
        <f aca="false">IFERROR(AVERAGEIF(X12:Z12,"&lt;&gt;0"),"")</f>
        <v>28000</v>
      </c>
      <c r="AF12" s="13" t="n">
        <f aca="false">IFERROR(AVERAGEIF(D12:Z12,"&lt;&gt;0"),"")</f>
        <v>26714.2857142857</v>
      </c>
    </row>
    <row r="13" customFormat="false" ht="15" hidden="false" customHeight="false" outlineLevel="0" collapsed="false">
      <c r="A13" s="3" t="n">
        <v>9</v>
      </c>
      <c r="B13" s="3" t="s">
        <v>420</v>
      </c>
      <c r="C13" s="3" t="s">
        <v>471</v>
      </c>
      <c r="D13" s="32" t="n">
        <v>15000</v>
      </c>
      <c r="E13" s="32" t="n">
        <v>15000</v>
      </c>
      <c r="F13" s="32" t="n">
        <v>15000</v>
      </c>
      <c r="G13" s="32" t="n">
        <v>15000</v>
      </c>
      <c r="H13" s="32" t="n">
        <v>15000</v>
      </c>
      <c r="I13" s="32" t="n">
        <v>15000</v>
      </c>
      <c r="J13" s="32" t="n">
        <v>15000</v>
      </c>
      <c r="K13" s="32" t="n">
        <v>15000</v>
      </c>
      <c r="L13" s="32" t="n">
        <v>15000</v>
      </c>
      <c r="M13" s="32" t="n">
        <v>15000</v>
      </c>
      <c r="N13" s="32" t="n">
        <v>15000</v>
      </c>
      <c r="O13" s="32" t="n">
        <v>15000</v>
      </c>
      <c r="P13" s="32" t="n">
        <v>15000</v>
      </c>
      <c r="Q13" s="32" t="n">
        <v>15000</v>
      </c>
      <c r="R13" s="32" t="n">
        <v>15000</v>
      </c>
      <c r="S13" s="32" t="n">
        <v>15000</v>
      </c>
      <c r="T13" s="32" t="n">
        <v>15000</v>
      </c>
      <c r="U13" s="32" t="n">
        <v>15000</v>
      </c>
      <c r="V13" s="32" t="n">
        <v>0</v>
      </c>
      <c r="W13" s="32" t="n">
        <v>0</v>
      </c>
      <c r="X13" s="32" t="n">
        <v>15000</v>
      </c>
      <c r="Y13" s="32" t="n">
        <v>15000</v>
      </c>
      <c r="Z13" s="32" t="n">
        <v>15000</v>
      </c>
      <c r="AA13" s="13" t="n">
        <f aca="false">IFERROR(AVERAGEIF(D13:H13,"&lt;&gt;0"),"")</f>
        <v>15000</v>
      </c>
      <c r="AB13" s="13" t="n">
        <f aca="false">IFERROR(AVERAGEIF(I13:M13,"&lt;&gt;0"),"")</f>
        <v>15000</v>
      </c>
      <c r="AC13" s="13" t="n">
        <f aca="false">IFERROR(AVERAGEIF(N13:R13,"&lt;&gt;0"),"")</f>
        <v>15000</v>
      </c>
      <c r="AD13" s="13" t="n">
        <f aca="false">IFERROR(AVERAGEIF(S13:W13,"&lt;&gt;0"),"")</f>
        <v>15000</v>
      </c>
      <c r="AE13" s="13" t="n">
        <f aca="false">IFERROR(AVERAGEIF(X13:Z13,"&lt;&gt;0"),"")</f>
        <v>15000</v>
      </c>
      <c r="AF13" s="13" t="n">
        <f aca="false">IFERROR(AVERAGEIF(D13:Z13,"&lt;&gt;0"),"")</f>
        <v>15000</v>
      </c>
    </row>
    <row r="14" customFormat="false" ht="15" hidden="false" customHeight="false" outlineLevel="0" collapsed="false">
      <c r="A14" s="3" t="n">
        <v>10</v>
      </c>
      <c r="B14" s="3" t="s">
        <v>413</v>
      </c>
      <c r="C14" s="3" t="s">
        <v>471</v>
      </c>
      <c r="D14" s="32" t="n">
        <v>15000</v>
      </c>
      <c r="E14" s="32" t="n">
        <v>15000</v>
      </c>
      <c r="F14" s="32" t="n">
        <v>15000</v>
      </c>
      <c r="G14" s="32" t="n">
        <v>15000</v>
      </c>
      <c r="H14" s="32" t="n">
        <v>15000</v>
      </c>
      <c r="I14" s="32" t="n">
        <v>15000</v>
      </c>
      <c r="J14" s="32" t="n">
        <v>15000</v>
      </c>
      <c r="K14" s="32" t="n">
        <v>15000</v>
      </c>
      <c r="L14" s="32" t="n">
        <v>15000</v>
      </c>
      <c r="M14" s="32" t="n">
        <v>15000</v>
      </c>
      <c r="N14" s="32" t="n">
        <v>15000</v>
      </c>
      <c r="O14" s="32" t="n">
        <v>15000</v>
      </c>
      <c r="P14" s="32" t="n">
        <v>15000</v>
      </c>
      <c r="Q14" s="32" t="n">
        <v>15000</v>
      </c>
      <c r="R14" s="32" t="n">
        <v>15000</v>
      </c>
      <c r="S14" s="32" t="n">
        <v>15000</v>
      </c>
      <c r="T14" s="32" t="n">
        <v>15000</v>
      </c>
      <c r="U14" s="32" t="n">
        <v>15000</v>
      </c>
      <c r="V14" s="32" t="n">
        <v>0</v>
      </c>
      <c r="W14" s="32" t="n">
        <v>0</v>
      </c>
      <c r="X14" s="32" t="n">
        <v>15000</v>
      </c>
      <c r="Y14" s="32" t="n">
        <v>15000</v>
      </c>
      <c r="Z14" s="32" t="n">
        <v>15000</v>
      </c>
      <c r="AA14" s="13" t="n">
        <f aca="false">IFERROR(AVERAGEIF(D14:H14,"&lt;&gt;0"),"")</f>
        <v>15000</v>
      </c>
      <c r="AB14" s="13" t="n">
        <f aca="false">IFERROR(AVERAGEIF(I14:M14,"&lt;&gt;0"),"")</f>
        <v>15000</v>
      </c>
      <c r="AC14" s="13" t="n">
        <f aca="false">IFERROR(AVERAGEIF(N14:R14,"&lt;&gt;0"),"")</f>
        <v>15000</v>
      </c>
      <c r="AD14" s="13" t="n">
        <f aca="false">IFERROR(AVERAGEIF(S14:W14,"&lt;&gt;0"),"")</f>
        <v>15000</v>
      </c>
      <c r="AE14" s="13" t="n">
        <f aca="false">IFERROR(AVERAGEIF(X14:Z14,"&lt;&gt;0"),"")</f>
        <v>15000</v>
      </c>
      <c r="AF14" s="13" t="n">
        <f aca="false">IFERROR(AVERAGEIF(D14:Z14,"&lt;&gt;0"),"")</f>
        <v>15000</v>
      </c>
    </row>
    <row r="15" customFormat="false" ht="15" hidden="false" customHeight="false" outlineLevel="0" collapsed="false">
      <c r="A15" s="3" t="n">
        <v>11</v>
      </c>
      <c r="B15" s="3" t="s">
        <v>414</v>
      </c>
      <c r="C15" s="3" t="s">
        <v>471</v>
      </c>
      <c r="D15" s="32" t="n">
        <v>18000</v>
      </c>
      <c r="E15" s="32" t="n">
        <v>18000</v>
      </c>
      <c r="F15" s="32" t="n">
        <v>18000</v>
      </c>
      <c r="G15" s="32" t="n">
        <v>18000</v>
      </c>
      <c r="H15" s="32" t="n">
        <v>18000</v>
      </c>
      <c r="I15" s="32" t="n">
        <v>18000</v>
      </c>
      <c r="J15" s="32" t="n">
        <v>18000</v>
      </c>
      <c r="K15" s="32" t="n">
        <v>18000</v>
      </c>
      <c r="L15" s="32" t="n">
        <v>18000</v>
      </c>
      <c r="M15" s="32" t="n">
        <v>18000</v>
      </c>
      <c r="N15" s="32" t="n">
        <v>18000</v>
      </c>
      <c r="O15" s="32" t="n">
        <v>18000</v>
      </c>
      <c r="P15" s="32" t="n">
        <v>18000</v>
      </c>
      <c r="Q15" s="32" t="n">
        <v>18000</v>
      </c>
      <c r="R15" s="32" t="n">
        <v>18000</v>
      </c>
      <c r="S15" s="32" t="n">
        <v>18000</v>
      </c>
      <c r="T15" s="32" t="n">
        <v>18000</v>
      </c>
      <c r="U15" s="32" t="n">
        <v>18000</v>
      </c>
      <c r="V15" s="32" t="n">
        <v>0</v>
      </c>
      <c r="W15" s="32" t="n">
        <v>0</v>
      </c>
      <c r="X15" s="32" t="n">
        <v>18000</v>
      </c>
      <c r="Y15" s="32" t="n">
        <v>18000</v>
      </c>
      <c r="Z15" s="32" t="n">
        <v>18000</v>
      </c>
      <c r="AA15" s="13" t="n">
        <f aca="false">IFERROR(AVERAGEIF(D15:H15,"&lt;&gt;0"),"")</f>
        <v>18000</v>
      </c>
      <c r="AB15" s="13" t="n">
        <f aca="false">IFERROR(AVERAGEIF(I15:M15,"&lt;&gt;0"),"")</f>
        <v>18000</v>
      </c>
      <c r="AC15" s="13" t="n">
        <f aca="false">IFERROR(AVERAGEIF(N15:R15,"&lt;&gt;0"),"")</f>
        <v>18000</v>
      </c>
      <c r="AD15" s="13" t="n">
        <f aca="false">IFERROR(AVERAGEIF(S15:W15,"&lt;&gt;0"),"")</f>
        <v>18000</v>
      </c>
      <c r="AE15" s="13" t="n">
        <f aca="false">IFERROR(AVERAGEIF(X15:Z15,"&lt;&gt;0"),"")</f>
        <v>18000</v>
      </c>
      <c r="AF15" s="13" t="n">
        <f aca="false">IFERROR(AVERAGEIF(D15:Z15,"&lt;&gt;0"),"")</f>
        <v>18000</v>
      </c>
    </row>
    <row r="16" customFormat="false" ht="15" hidden="false" customHeight="false" outlineLevel="0" collapsed="false">
      <c r="A16" s="3" t="n">
        <v>12</v>
      </c>
      <c r="B16" s="3" t="s">
        <v>415</v>
      </c>
      <c r="C16" s="3" t="s">
        <v>471</v>
      </c>
      <c r="D16" s="32" t="n">
        <v>15700</v>
      </c>
      <c r="E16" s="32" t="n">
        <v>15700</v>
      </c>
      <c r="F16" s="32" t="n">
        <v>15700</v>
      </c>
      <c r="G16" s="32" t="n">
        <v>15700</v>
      </c>
      <c r="H16" s="32" t="n">
        <v>15700</v>
      </c>
      <c r="I16" s="32" t="n">
        <v>15700</v>
      </c>
      <c r="J16" s="32" t="n">
        <v>15700</v>
      </c>
      <c r="K16" s="32" t="n">
        <v>15700</v>
      </c>
      <c r="L16" s="32" t="n">
        <v>15700</v>
      </c>
      <c r="M16" s="32" t="n">
        <v>15700</v>
      </c>
      <c r="N16" s="32" t="n">
        <v>15700</v>
      </c>
      <c r="O16" s="32" t="n">
        <v>15700</v>
      </c>
      <c r="P16" s="32" t="n">
        <v>15700</v>
      </c>
      <c r="Q16" s="32" t="n">
        <v>15700</v>
      </c>
      <c r="R16" s="32" t="n">
        <v>15700</v>
      </c>
      <c r="S16" s="32" t="n">
        <v>15700</v>
      </c>
      <c r="T16" s="32" t="n">
        <v>15700</v>
      </c>
      <c r="U16" s="32" t="n">
        <v>15700</v>
      </c>
      <c r="V16" s="32" t="n">
        <v>0</v>
      </c>
      <c r="W16" s="32" t="n">
        <v>0</v>
      </c>
      <c r="X16" s="32" t="n">
        <v>15700</v>
      </c>
      <c r="Y16" s="32" t="n">
        <v>15700</v>
      </c>
      <c r="Z16" s="32" t="n">
        <v>15700</v>
      </c>
      <c r="AA16" s="13" t="n">
        <f aca="false">IFERROR(AVERAGEIF(D16:H16,"&lt;&gt;0"),"")</f>
        <v>15700</v>
      </c>
      <c r="AB16" s="13" t="n">
        <f aca="false">IFERROR(AVERAGEIF(I16:M16,"&lt;&gt;0"),"")</f>
        <v>15700</v>
      </c>
      <c r="AC16" s="13" t="n">
        <f aca="false">IFERROR(AVERAGEIF(N16:R16,"&lt;&gt;0"),"")</f>
        <v>15700</v>
      </c>
      <c r="AD16" s="13" t="n">
        <f aca="false">IFERROR(AVERAGEIF(S16:W16,"&lt;&gt;0"),"")</f>
        <v>15700</v>
      </c>
      <c r="AE16" s="13" t="n">
        <f aca="false">IFERROR(AVERAGEIF(X16:Z16,"&lt;&gt;0"),"")</f>
        <v>15700</v>
      </c>
      <c r="AF16" s="13" t="n">
        <f aca="false">IFERROR(AVERAGEIF(D16:Z16,"&lt;&gt;0"),"")</f>
        <v>15700</v>
      </c>
    </row>
    <row r="17" customFormat="false" ht="15" hidden="false" customHeight="false" outlineLevel="0" collapsed="false">
      <c r="A17" s="3" t="n">
        <v>13</v>
      </c>
      <c r="B17" s="3" t="s">
        <v>410</v>
      </c>
      <c r="C17" s="3" t="s">
        <v>471</v>
      </c>
      <c r="D17" s="32" t="n">
        <v>11000</v>
      </c>
      <c r="E17" s="32" t="n">
        <v>11000</v>
      </c>
      <c r="F17" s="32" t="n">
        <v>11000</v>
      </c>
      <c r="G17" s="32" t="n">
        <v>11000</v>
      </c>
      <c r="H17" s="32" t="n">
        <v>11000</v>
      </c>
      <c r="I17" s="32" t="n">
        <v>11000</v>
      </c>
      <c r="J17" s="32" t="n">
        <v>11000</v>
      </c>
      <c r="K17" s="32" t="n">
        <v>11000</v>
      </c>
      <c r="L17" s="32" t="n">
        <v>11000</v>
      </c>
      <c r="M17" s="32" t="n">
        <v>11000</v>
      </c>
      <c r="N17" s="32" t="n">
        <v>11000</v>
      </c>
      <c r="O17" s="32" t="n">
        <v>11000</v>
      </c>
      <c r="P17" s="32" t="n">
        <v>11000</v>
      </c>
      <c r="Q17" s="32" t="n">
        <v>11000</v>
      </c>
      <c r="R17" s="32" t="n">
        <v>11000</v>
      </c>
      <c r="S17" s="32" t="n">
        <v>11000</v>
      </c>
      <c r="T17" s="32" t="n">
        <v>11000</v>
      </c>
      <c r="U17" s="32" t="n">
        <v>11000</v>
      </c>
      <c r="V17" s="32" t="n">
        <v>0</v>
      </c>
      <c r="W17" s="32" t="n">
        <v>0</v>
      </c>
      <c r="X17" s="32" t="n">
        <v>11000</v>
      </c>
      <c r="Y17" s="32" t="n">
        <v>11000</v>
      </c>
      <c r="Z17" s="32" t="n">
        <v>11000</v>
      </c>
      <c r="AA17" s="13" t="n">
        <f aca="false">IFERROR(AVERAGEIF(D17:H17,"&lt;&gt;0"),"")</f>
        <v>11000</v>
      </c>
      <c r="AB17" s="13" t="n">
        <f aca="false">IFERROR(AVERAGEIF(I17:M17,"&lt;&gt;0"),"")</f>
        <v>11000</v>
      </c>
      <c r="AC17" s="13" t="n">
        <f aca="false">IFERROR(AVERAGEIF(N17:R17,"&lt;&gt;0"),"")</f>
        <v>11000</v>
      </c>
      <c r="AD17" s="13" t="n">
        <f aca="false">IFERROR(AVERAGEIF(S17:W17,"&lt;&gt;0"),"")</f>
        <v>11000</v>
      </c>
      <c r="AE17" s="13" t="n">
        <f aca="false">IFERROR(AVERAGEIF(X17:Z17,"&lt;&gt;0"),"")</f>
        <v>11000</v>
      </c>
      <c r="AF17" s="13" t="n">
        <f aca="false">IFERROR(AVERAGEIF(D17:Z17,"&lt;&gt;0"),"")</f>
        <v>11000</v>
      </c>
    </row>
    <row r="18" customFormat="false" ht="15" hidden="false" customHeight="false" outlineLevel="0" collapsed="false">
      <c r="A18" s="3" t="n">
        <v>14</v>
      </c>
      <c r="B18" s="3" t="s">
        <v>412</v>
      </c>
      <c r="C18" s="3" t="s">
        <v>471</v>
      </c>
      <c r="D18" s="32" t="n">
        <v>26000</v>
      </c>
      <c r="E18" s="32" t="n">
        <v>26000</v>
      </c>
      <c r="F18" s="32" t="n">
        <v>26000</v>
      </c>
      <c r="G18" s="32" t="n">
        <v>26000</v>
      </c>
      <c r="H18" s="32" t="n">
        <v>26000</v>
      </c>
      <c r="I18" s="32" t="n">
        <v>26000</v>
      </c>
      <c r="J18" s="32" t="n">
        <v>26000</v>
      </c>
      <c r="K18" s="32" t="n">
        <v>26000</v>
      </c>
      <c r="L18" s="32" t="n">
        <v>25000</v>
      </c>
      <c r="M18" s="32" t="n">
        <v>25000</v>
      </c>
      <c r="N18" s="32" t="n">
        <v>25000</v>
      </c>
      <c r="O18" s="32" t="n">
        <v>24000</v>
      </c>
      <c r="P18" s="32" t="n">
        <v>24000</v>
      </c>
      <c r="Q18" s="32" t="n">
        <v>24000</v>
      </c>
      <c r="R18" s="32" t="n">
        <v>25000</v>
      </c>
      <c r="S18" s="32" t="n">
        <v>25000</v>
      </c>
      <c r="T18" s="32" t="n">
        <v>25500</v>
      </c>
      <c r="U18" s="32" t="n">
        <v>26000</v>
      </c>
      <c r="V18" s="32" t="n">
        <v>0</v>
      </c>
      <c r="W18" s="32" t="n">
        <v>0</v>
      </c>
      <c r="X18" s="32" t="n">
        <v>26000</v>
      </c>
      <c r="Y18" s="32" t="n">
        <v>26000</v>
      </c>
      <c r="Z18" s="32" t="n">
        <v>26000</v>
      </c>
      <c r="AA18" s="13" t="n">
        <f aca="false">IFERROR(AVERAGEIF(D18:H18,"&lt;&gt;0"),"")</f>
        <v>26000</v>
      </c>
      <c r="AB18" s="13" t="n">
        <f aca="false">IFERROR(AVERAGEIF(I18:M18,"&lt;&gt;0"),"")</f>
        <v>25600</v>
      </c>
      <c r="AC18" s="13" t="n">
        <f aca="false">IFERROR(AVERAGEIF(N18:R18,"&lt;&gt;0"),"")</f>
        <v>24400</v>
      </c>
      <c r="AD18" s="13" t="n">
        <f aca="false">IFERROR(AVERAGEIF(S18:W18,"&lt;&gt;0"),"")</f>
        <v>25500</v>
      </c>
      <c r="AE18" s="13" t="n">
        <f aca="false">IFERROR(AVERAGEIF(X18:Z18,"&lt;&gt;0"),"")</f>
        <v>26000</v>
      </c>
      <c r="AF18" s="13" t="n">
        <f aca="false">IFERROR(AVERAGEIF(D18:Z18,"&lt;&gt;0"),"")</f>
        <v>25452.380952381</v>
      </c>
    </row>
    <row r="19" customFormat="false" ht="15" hidden="false" customHeight="false" outlineLevel="0" collapsed="false">
      <c r="A19" s="3" t="n">
        <v>15</v>
      </c>
      <c r="B19" s="3" t="s">
        <v>419</v>
      </c>
      <c r="C19" s="3" t="s">
        <v>471</v>
      </c>
      <c r="D19" s="32" t="n">
        <v>26000</v>
      </c>
      <c r="E19" s="32" t="n">
        <v>26000</v>
      </c>
      <c r="F19" s="32" t="n">
        <v>26000</v>
      </c>
      <c r="G19" s="32" t="n">
        <v>26000</v>
      </c>
      <c r="H19" s="32" t="n">
        <v>26000</v>
      </c>
      <c r="I19" s="32" t="n">
        <v>26000</v>
      </c>
      <c r="J19" s="32" t="n">
        <v>26000</v>
      </c>
      <c r="K19" s="32" t="n">
        <v>26000</v>
      </c>
      <c r="L19" s="32" t="n">
        <v>25000</v>
      </c>
      <c r="M19" s="32" t="n">
        <v>24000</v>
      </c>
      <c r="N19" s="32" t="n">
        <v>24000</v>
      </c>
      <c r="O19" s="32" t="n">
        <v>24000</v>
      </c>
      <c r="P19" s="32" t="n">
        <v>24000</v>
      </c>
      <c r="Q19" s="32" t="n">
        <v>24000</v>
      </c>
      <c r="R19" s="32" t="n">
        <v>24000</v>
      </c>
      <c r="S19" s="32" t="n">
        <v>24000</v>
      </c>
      <c r="T19" s="32" t="n">
        <v>25000</v>
      </c>
      <c r="U19" s="32" t="n">
        <v>25000</v>
      </c>
      <c r="V19" s="32" t="n">
        <v>0</v>
      </c>
      <c r="W19" s="32" t="n">
        <v>0</v>
      </c>
      <c r="X19" s="32" t="n">
        <v>25000</v>
      </c>
      <c r="Y19" s="32" t="n">
        <v>25000</v>
      </c>
      <c r="Z19" s="32" t="n">
        <v>25000</v>
      </c>
      <c r="AA19" s="13" t="n">
        <f aca="false">IFERROR(AVERAGEIF(D19:H19,"&lt;&gt;0"),"")</f>
        <v>26000</v>
      </c>
      <c r="AB19" s="13" t="n">
        <f aca="false">IFERROR(AVERAGEIF(I19:M19,"&lt;&gt;0"),"")</f>
        <v>25400</v>
      </c>
      <c r="AC19" s="13" t="n">
        <f aca="false">IFERROR(AVERAGEIF(N19:R19,"&lt;&gt;0"),"")</f>
        <v>24000</v>
      </c>
      <c r="AD19" s="13" t="n">
        <f aca="false">IFERROR(AVERAGEIF(S19:W19,"&lt;&gt;0"),"")</f>
        <v>24666.6666666667</v>
      </c>
      <c r="AE19" s="13" t="n">
        <f aca="false">IFERROR(AVERAGEIF(X19:Z19,"&lt;&gt;0"),"")</f>
        <v>25000</v>
      </c>
      <c r="AF19" s="13" t="n">
        <f aca="false">IFERROR(AVERAGEIF(D19:Z19,"&lt;&gt;0"),"")</f>
        <v>25047.619047619</v>
      </c>
    </row>
    <row r="20" customFormat="false" ht="15" hidden="false" customHeight="false" outlineLevel="0" collapsed="false">
      <c r="A20" s="3" t="n">
        <v>16</v>
      </c>
      <c r="B20" s="3" t="s">
        <v>430</v>
      </c>
      <c r="C20" s="3" t="s">
        <v>471</v>
      </c>
      <c r="D20" s="32" t="n">
        <v>110000</v>
      </c>
      <c r="E20" s="32" t="n">
        <v>110000</v>
      </c>
      <c r="F20" s="32" t="n">
        <v>110000</v>
      </c>
      <c r="G20" s="32" t="n">
        <v>110000</v>
      </c>
      <c r="H20" s="32" t="n">
        <v>110000</v>
      </c>
      <c r="I20" s="32" t="n">
        <v>110000</v>
      </c>
      <c r="J20" s="32" t="n">
        <v>110000</v>
      </c>
      <c r="K20" s="32" t="n">
        <v>110000</v>
      </c>
      <c r="L20" s="32" t="n">
        <v>110000</v>
      </c>
      <c r="M20" s="32" t="n">
        <v>110000</v>
      </c>
      <c r="N20" s="32" t="n">
        <v>110000</v>
      </c>
      <c r="O20" s="32" t="n">
        <v>110000</v>
      </c>
      <c r="P20" s="32" t="n">
        <v>110000</v>
      </c>
      <c r="Q20" s="32" t="n">
        <v>110000</v>
      </c>
      <c r="R20" s="32" t="n">
        <v>110000</v>
      </c>
      <c r="S20" s="32" t="n">
        <v>110000</v>
      </c>
      <c r="T20" s="32" t="n">
        <v>110000</v>
      </c>
      <c r="U20" s="32" t="n">
        <v>110000</v>
      </c>
      <c r="V20" s="32" t="n">
        <v>0</v>
      </c>
      <c r="W20" s="32" t="n">
        <v>0</v>
      </c>
      <c r="X20" s="32" t="n">
        <v>110000</v>
      </c>
      <c r="Y20" s="32" t="n">
        <v>110000</v>
      </c>
      <c r="Z20" s="32" t="n">
        <v>110000</v>
      </c>
      <c r="AA20" s="13" t="n">
        <f aca="false">IFERROR(AVERAGEIF(D20:H20,"&lt;&gt;0"),"")</f>
        <v>110000</v>
      </c>
      <c r="AB20" s="13" t="n">
        <f aca="false">IFERROR(AVERAGEIF(I20:M20,"&lt;&gt;0"),"")</f>
        <v>110000</v>
      </c>
      <c r="AC20" s="13" t="n">
        <f aca="false">IFERROR(AVERAGEIF(N20:R20,"&lt;&gt;0"),"")</f>
        <v>110000</v>
      </c>
      <c r="AD20" s="13" t="n">
        <f aca="false">IFERROR(AVERAGEIF(S20:W20,"&lt;&gt;0"),"")</f>
        <v>110000</v>
      </c>
      <c r="AE20" s="13" t="n">
        <f aca="false">IFERROR(AVERAGEIF(X20:Z20,"&lt;&gt;0"),"")</f>
        <v>110000</v>
      </c>
      <c r="AF20" s="13" t="n">
        <f aca="false">IFERROR(AVERAGEIF(D20:Z20,"&lt;&gt;0"),"")</f>
        <v>110000</v>
      </c>
    </row>
    <row r="21" customFormat="false" ht="15" hidden="false" customHeight="false" outlineLevel="0" collapsed="false">
      <c r="A21" s="3" t="n">
        <v>17</v>
      </c>
      <c r="B21" s="3" t="s">
        <v>431</v>
      </c>
      <c r="C21" s="3" t="s">
        <v>471</v>
      </c>
      <c r="D21" s="32" t="n">
        <v>60000</v>
      </c>
      <c r="E21" s="32" t="n">
        <v>60000</v>
      </c>
      <c r="F21" s="32" t="n">
        <v>60000</v>
      </c>
      <c r="G21" s="32" t="n">
        <v>60000</v>
      </c>
      <c r="H21" s="32" t="n">
        <v>60000</v>
      </c>
      <c r="I21" s="32" t="n">
        <v>60000</v>
      </c>
      <c r="J21" s="32" t="n">
        <v>60000</v>
      </c>
      <c r="K21" s="32" t="n">
        <v>60000</v>
      </c>
      <c r="L21" s="32" t="n">
        <v>60000</v>
      </c>
      <c r="M21" s="32" t="n">
        <v>60000</v>
      </c>
      <c r="N21" s="32" t="n">
        <v>60000</v>
      </c>
      <c r="O21" s="32" t="n">
        <v>60000</v>
      </c>
      <c r="P21" s="32" t="n">
        <v>60000</v>
      </c>
      <c r="Q21" s="32" t="n">
        <v>60000</v>
      </c>
      <c r="R21" s="32" t="n">
        <v>60000</v>
      </c>
      <c r="S21" s="32" t="n">
        <v>60000</v>
      </c>
      <c r="T21" s="32" t="n">
        <v>60000</v>
      </c>
      <c r="U21" s="32" t="n">
        <v>60000</v>
      </c>
      <c r="V21" s="32" t="n">
        <v>0</v>
      </c>
      <c r="W21" s="32" t="n">
        <v>0</v>
      </c>
      <c r="X21" s="32" t="n">
        <v>60000</v>
      </c>
      <c r="Y21" s="32" t="n">
        <v>60000</v>
      </c>
      <c r="Z21" s="32" t="n">
        <v>60000</v>
      </c>
      <c r="AA21" s="13" t="n">
        <f aca="false">IFERROR(AVERAGEIF(D21:H21,"&lt;&gt;0"),"")</f>
        <v>60000</v>
      </c>
      <c r="AB21" s="13" t="n">
        <f aca="false">IFERROR(AVERAGEIF(I21:M21,"&lt;&gt;0"),"")</f>
        <v>60000</v>
      </c>
      <c r="AC21" s="13" t="n">
        <f aca="false">IFERROR(AVERAGEIF(N21:R21,"&lt;&gt;0"),"")</f>
        <v>60000</v>
      </c>
      <c r="AD21" s="13" t="n">
        <f aca="false">IFERROR(AVERAGEIF(S21:W21,"&lt;&gt;0"),"")</f>
        <v>60000</v>
      </c>
      <c r="AE21" s="13" t="n">
        <f aca="false">IFERROR(AVERAGEIF(X21:Z21,"&lt;&gt;0"),"")</f>
        <v>60000</v>
      </c>
      <c r="AF21" s="13" t="n">
        <f aca="false">IFERROR(AVERAGEIF(D21:Z21,"&lt;&gt;0"),"")</f>
        <v>60000</v>
      </c>
    </row>
    <row r="22" customFormat="false" ht="15" hidden="false" customHeight="false" outlineLevel="0" collapsed="false">
      <c r="A22" s="3" t="n">
        <v>18</v>
      </c>
      <c r="B22" s="3" t="s">
        <v>432</v>
      </c>
      <c r="C22" s="3" t="s">
        <v>471</v>
      </c>
      <c r="D22" s="32" t="n">
        <v>55000</v>
      </c>
      <c r="E22" s="32" t="n">
        <v>55000</v>
      </c>
      <c r="F22" s="32" t="n">
        <v>55000</v>
      </c>
      <c r="G22" s="32" t="n">
        <v>55000</v>
      </c>
      <c r="H22" s="32" t="n">
        <v>55000</v>
      </c>
      <c r="I22" s="32" t="n">
        <v>55000</v>
      </c>
      <c r="J22" s="32" t="n">
        <v>55000</v>
      </c>
      <c r="K22" s="32" t="n">
        <v>55000</v>
      </c>
      <c r="L22" s="32" t="n">
        <v>55000</v>
      </c>
      <c r="M22" s="32" t="n">
        <v>55000</v>
      </c>
      <c r="N22" s="32" t="n">
        <v>55000</v>
      </c>
      <c r="O22" s="32" t="n">
        <v>55000</v>
      </c>
      <c r="P22" s="32" t="n">
        <v>55000</v>
      </c>
      <c r="Q22" s="32" t="n">
        <v>55000</v>
      </c>
      <c r="R22" s="32" t="n">
        <v>55000</v>
      </c>
      <c r="S22" s="32" t="n">
        <v>55000</v>
      </c>
      <c r="T22" s="32" t="n">
        <v>55000</v>
      </c>
      <c r="U22" s="32" t="n">
        <v>55000</v>
      </c>
      <c r="V22" s="32" t="n">
        <v>0</v>
      </c>
      <c r="W22" s="32" t="n">
        <v>0</v>
      </c>
      <c r="X22" s="32" t="n">
        <v>55000</v>
      </c>
      <c r="Y22" s="32" t="n">
        <v>55000</v>
      </c>
      <c r="Z22" s="32" t="n">
        <v>55000</v>
      </c>
      <c r="AA22" s="13" t="n">
        <f aca="false">IFERROR(AVERAGEIF(D22:H22,"&lt;&gt;0"),"")</f>
        <v>55000</v>
      </c>
      <c r="AB22" s="13" t="n">
        <f aca="false">IFERROR(AVERAGEIF(I22:M22,"&lt;&gt;0"),"")</f>
        <v>55000</v>
      </c>
      <c r="AC22" s="13" t="n">
        <f aca="false">IFERROR(AVERAGEIF(N22:R22,"&lt;&gt;0"),"")</f>
        <v>55000</v>
      </c>
      <c r="AD22" s="13" t="n">
        <f aca="false">IFERROR(AVERAGEIF(S22:W22,"&lt;&gt;0"),"")</f>
        <v>55000</v>
      </c>
      <c r="AE22" s="13" t="n">
        <f aca="false">IFERROR(AVERAGEIF(X22:Z22,"&lt;&gt;0"),"")</f>
        <v>55000</v>
      </c>
      <c r="AF22" s="13" t="n">
        <f aca="false">IFERROR(AVERAGEIF(D22:Z22,"&lt;&gt;0"),"")</f>
        <v>55000</v>
      </c>
    </row>
    <row r="23" customFormat="false" ht="15" hidden="false" customHeight="false" outlineLevel="0" collapsed="false">
      <c r="A23" s="3" t="n">
        <v>19</v>
      </c>
      <c r="B23" s="3" t="s">
        <v>473</v>
      </c>
      <c r="C23" s="3" t="s">
        <v>471</v>
      </c>
      <c r="D23" s="32" t="n">
        <v>28000</v>
      </c>
      <c r="E23" s="32" t="n">
        <v>28000</v>
      </c>
      <c r="F23" s="32" t="n">
        <v>28000</v>
      </c>
      <c r="G23" s="32" t="n">
        <v>28000</v>
      </c>
      <c r="H23" s="32" t="n">
        <v>28000</v>
      </c>
      <c r="I23" s="32" t="n">
        <v>28000</v>
      </c>
      <c r="J23" s="32" t="n">
        <v>28000</v>
      </c>
      <c r="K23" s="32" t="n">
        <v>28000</v>
      </c>
      <c r="L23" s="32" t="n">
        <v>28000</v>
      </c>
      <c r="M23" s="32" t="n">
        <v>28000</v>
      </c>
      <c r="N23" s="32" t="n">
        <v>28000</v>
      </c>
      <c r="O23" s="32" t="n">
        <v>28000</v>
      </c>
      <c r="P23" s="32" t="n">
        <v>28000</v>
      </c>
      <c r="Q23" s="32" t="n">
        <v>28000</v>
      </c>
      <c r="R23" s="32" t="n">
        <v>28000</v>
      </c>
      <c r="S23" s="32" t="n">
        <v>28000</v>
      </c>
      <c r="T23" s="32" t="n">
        <v>28000</v>
      </c>
      <c r="U23" s="32" t="n">
        <v>28000</v>
      </c>
      <c r="V23" s="32" t="n">
        <v>0</v>
      </c>
      <c r="W23" s="32" t="n">
        <v>0</v>
      </c>
      <c r="X23" s="32" t="n">
        <v>28000</v>
      </c>
      <c r="Y23" s="32" t="n">
        <v>28000</v>
      </c>
      <c r="Z23" s="32" t="n">
        <v>28000</v>
      </c>
      <c r="AA23" s="13" t="n">
        <f aca="false">IFERROR(AVERAGEIF(D23:H23,"&lt;&gt;0"),"")</f>
        <v>28000</v>
      </c>
      <c r="AB23" s="13" t="n">
        <f aca="false">IFERROR(AVERAGEIF(I23:M23,"&lt;&gt;0"),"")</f>
        <v>28000</v>
      </c>
      <c r="AC23" s="13" t="n">
        <f aca="false">IFERROR(AVERAGEIF(N23:R23,"&lt;&gt;0"),"")</f>
        <v>28000</v>
      </c>
      <c r="AD23" s="13" t="n">
        <f aca="false">IFERROR(AVERAGEIF(S23:W23,"&lt;&gt;0"),"")</f>
        <v>28000</v>
      </c>
      <c r="AE23" s="13" t="n">
        <f aca="false">IFERROR(AVERAGEIF(X23:Z23,"&lt;&gt;0"),"")</f>
        <v>28000</v>
      </c>
      <c r="AF23" s="13" t="n">
        <f aca="false">IFERROR(AVERAGEIF(D23:Z23,"&lt;&gt;0"),"")</f>
        <v>28000</v>
      </c>
    </row>
    <row r="24" customFormat="false" ht="15" hidden="false" customHeight="false" outlineLevel="0" collapsed="false">
      <c r="A24" s="3" t="n">
        <v>20</v>
      </c>
      <c r="B24" s="3" t="s">
        <v>421</v>
      </c>
      <c r="C24" s="3" t="s">
        <v>471</v>
      </c>
      <c r="D24" s="32" t="n">
        <v>28000</v>
      </c>
      <c r="E24" s="32" t="n">
        <v>28000</v>
      </c>
      <c r="F24" s="32" t="n">
        <v>28000</v>
      </c>
      <c r="G24" s="32" t="n">
        <v>28000</v>
      </c>
      <c r="H24" s="32" t="n">
        <v>28000</v>
      </c>
      <c r="I24" s="32" t="n">
        <v>28000</v>
      </c>
      <c r="J24" s="32" t="n">
        <v>28000</v>
      </c>
      <c r="K24" s="32" t="n">
        <v>28000</v>
      </c>
      <c r="L24" s="32" t="n">
        <v>28000</v>
      </c>
      <c r="M24" s="32" t="n">
        <v>28000</v>
      </c>
      <c r="N24" s="32" t="n">
        <v>28000</v>
      </c>
      <c r="O24" s="32" t="n">
        <v>28000</v>
      </c>
      <c r="P24" s="32" t="n">
        <v>28000</v>
      </c>
      <c r="Q24" s="32" t="n">
        <v>28000</v>
      </c>
      <c r="R24" s="32" t="n">
        <v>28000</v>
      </c>
      <c r="S24" s="32" t="n">
        <v>28000</v>
      </c>
      <c r="T24" s="32" t="n">
        <v>28000</v>
      </c>
      <c r="U24" s="32" t="n">
        <v>28000</v>
      </c>
      <c r="V24" s="32" t="n">
        <v>0</v>
      </c>
      <c r="W24" s="32" t="n">
        <v>0</v>
      </c>
      <c r="X24" s="32" t="n">
        <v>28000</v>
      </c>
      <c r="Y24" s="32" t="n">
        <v>28000</v>
      </c>
      <c r="Z24" s="32" t="n">
        <v>28000</v>
      </c>
      <c r="AA24" s="13" t="n">
        <f aca="false">IFERROR(AVERAGEIF(D24:H24,"&lt;&gt;0"),"")</f>
        <v>28000</v>
      </c>
      <c r="AB24" s="13" t="n">
        <f aca="false">IFERROR(AVERAGEIF(I24:M24,"&lt;&gt;0"),"")</f>
        <v>28000</v>
      </c>
      <c r="AC24" s="13" t="n">
        <f aca="false">IFERROR(AVERAGEIF(N24:R24,"&lt;&gt;0"),"")</f>
        <v>28000</v>
      </c>
      <c r="AD24" s="13" t="n">
        <f aca="false">IFERROR(AVERAGEIF(S24:W24,"&lt;&gt;0"),"")</f>
        <v>28000</v>
      </c>
      <c r="AE24" s="13" t="n">
        <f aca="false">IFERROR(AVERAGEIF(X24:Z24,"&lt;&gt;0"),"")</f>
        <v>28000</v>
      </c>
      <c r="AF24" s="13" t="n">
        <f aca="false">IFERROR(AVERAGEIF(D24:Z24,"&lt;&gt;0"),"")</f>
        <v>28000</v>
      </c>
    </row>
    <row r="25" customFormat="false" ht="15" hidden="false" customHeight="false" outlineLevel="0" collapsed="false">
      <c r="A25" s="3" t="n">
        <v>21</v>
      </c>
      <c r="B25" s="3" t="s">
        <v>474</v>
      </c>
      <c r="C25" s="3" t="s">
        <v>471</v>
      </c>
      <c r="D25" s="32" t="n">
        <v>60000</v>
      </c>
      <c r="E25" s="32" t="n">
        <v>60000</v>
      </c>
      <c r="F25" s="32" t="n">
        <v>60000</v>
      </c>
      <c r="G25" s="32" t="n">
        <v>60000</v>
      </c>
      <c r="H25" s="32" t="n">
        <v>60000</v>
      </c>
      <c r="I25" s="32" t="n">
        <v>60000</v>
      </c>
      <c r="J25" s="32" t="n">
        <v>60000</v>
      </c>
      <c r="K25" s="32" t="n">
        <v>60000</v>
      </c>
      <c r="L25" s="32" t="n">
        <v>60000</v>
      </c>
      <c r="M25" s="32" t="n">
        <v>60000</v>
      </c>
      <c r="N25" s="32" t="n">
        <v>60000</v>
      </c>
      <c r="O25" s="32" t="n">
        <v>60000</v>
      </c>
      <c r="P25" s="32" t="n">
        <v>60000</v>
      </c>
      <c r="Q25" s="32" t="n">
        <v>60000</v>
      </c>
      <c r="R25" s="32" t="n">
        <v>60000</v>
      </c>
      <c r="S25" s="32" t="n">
        <v>60000</v>
      </c>
      <c r="T25" s="32" t="n">
        <v>60000</v>
      </c>
      <c r="U25" s="32" t="n">
        <v>60000</v>
      </c>
      <c r="V25" s="32" t="n">
        <v>0</v>
      </c>
      <c r="W25" s="32" t="n">
        <v>0</v>
      </c>
      <c r="X25" s="32" t="n">
        <v>60000</v>
      </c>
      <c r="Y25" s="32" t="n">
        <v>60000</v>
      </c>
      <c r="Z25" s="32" t="n">
        <v>60000</v>
      </c>
      <c r="AA25" s="13" t="n">
        <f aca="false">IFERROR(AVERAGEIF(D25:H25,"&lt;&gt;0"),"")</f>
        <v>60000</v>
      </c>
      <c r="AB25" s="13" t="n">
        <f aca="false">IFERROR(AVERAGEIF(I25:M25,"&lt;&gt;0"),"")</f>
        <v>60000</v>
      </c>
      <c r="AC25" s="13" t="n">
        <f aca="false">IFERROR(AVERAGEIF(N25:R25,"&lt;&gt;0"),"")</f>
        <v>60000</v>
      </c>
      <c r="AD25" s="13" t="n">
        <f aca="false">IFERROR(AVERAGEIF(S25:W25,"&lt;&gt;0"),"")</f>
        <v>60000</v>
      </c>
      <c r="AE25" s="13" t="n">
        <f aca="false">IFERROR(AVERAGEIF(X25:Z25,"&lt;&gt;0"),"")</f>
        <v>60000</v>
      </c>
      <c r="AF25" s="13" t="n">
        <f aca="false">IFERROR(AVERAGEIF(D25:Z25,"&lt;&gt;0"),"")</f>
        <v>60000</v>
      </c>
    </row>
    <row r="26" customFormat="false" ht="15" hidden="false" customHeight="false" outlineLevel="0" collapsed="false">
      <c r="A26" s="3" t="n">
        <v>22</v>
      </c>
      <c r="B26" s="3" t="s">
        <v>426</v>
      </c>
      <c r="C26" s="3" t="s">
        <v>471</v>
      </c>
      <c r="D26" s="32" t="n">
        <v>2800</v>
      </c>
      <c r="E26" s="32" t="n">
        <v>2800</v>
      </c>
      <c r="F26" s="32" t="n">
        <v>2800</v>
      </c>
      <c r="G26" s="32" t="n">
        <v>2800</v>
      </c>
      <c r="H26" s="32" t="n">
        <v>2800</v>
      </c>
      <c r="I26" s="32" t="n">
        <v>2800</v>
      </c>
      <c r="J26" s="32" t="n">
        <v>2800</v>
      </c>
      <c r="K26" s="32" t="n">
        <v>2800</v>
      </c>
      <c r="L26" s="32" t="n">
        <v>2800</v>
      </c>
      <c r="M26" s="32" t="n">
        <v>2800</v>
      </c>
      <c r="N26" s="32" t="n">
        <v>2800</v>
      </c>
      <c r="O26" s="32" t="n">
        <v>2800</v>
      </c>
      <c r="P26" s="32" t="n">
        <v>2800</v>
      </c>
      <c r="Q26" s="32" t="n">
        <v>2800</v>
      </c>
      <c r="R26" s="32" t="n">
        <v>2800</v>
      </c>
      <c r="S26" s="32" t="n">
        <v>2800</v>
      </c>
      <c r="T26" s="32" t="n">
        <v>2800</v>
      </c>
      <c r="U26" s="32" t="n">
        <v>2800</v>
      </c>
      <c r="V26" s="32" t="n">
        <v>0</v>
      </c>
      <c r="W26" s="32" t="n">
        <v>0</v>
      </c>
      <c r="X26" s="32" t="n">
        <v>2800</v>
      </c>
      <c r="Y26" s="32" t="n">
        <v>2800</v>
      </c>
      <c r="Z26" s="32" t="n">
        <v>2800</v>
      </c>
      <c r="AA26" s="13" t="n">
        <f aca="false">IFERROR(AVERAGEIF(D26:H26,"&lt;&gt;0"),"")</f>
        <v>2800</v>
      </c>
      <c r="AB26" s="13" t="n">
        <f aca="false">IFERROR(AVERAGEIF(I26:M26,"&lt;&gt;0"),"")</f>
        <v>2800</v>
      </c>
      <c r="AC26" s="13" t="n">
        <f aca="false">IFERROR(AVERAGEIF(N26:R26,"&lt;&gt;0"),"")</f>
        <v>2800</v>
      </c>
      <c r="AD26" s="13" t="n">
        <f aca="false">IFERROR(AVERAGEIF(S26:W26,"&lt;&gt;0"),"")</f>
        <v>2800</v>
      </c>
      <c r="AE26" s="13" t="n">
        <f aca="false">IFERROR(AVERAGEIF(X26:Z26,"&lt;&gt;0"),"")</f>
        <v>2800</v>
      </c>
      <c r="AF26" s="13" t="n">
        <f aca="false">IFERROR(AVERAGEIF(D26:Z26,"&lt;&gt;0"),"")</f>
        <v>2800</v>
      </c>
    </row>
    <row r="27" customFormat="false" ht="15" hidden="false" customHeight="false" outlineLevel="0" collapsed="false">
      <c r="A27" s="3" t="n">
        <v>23</v>
      </c>
      <c r="B27" s="3" t="s">
        <v>424</v>
      </c>
      <c r="C27" s="3" t="s">
        <v>471</v>
      </c>
      <c r="D27" s="32" t="n">
        <v>24000</v>
      </c>
      <c r="E27" s="32" t="n">
        <v>24000</v>
      </c>
      <c r="F27" s="32" t="n">
        <v>24000</v>
      </c>
      <c r="G27" s="32" t="n">
        <v>24000</v>
      </c>
      <c r="H27" s="32" t="n">
        <v>24000</v>
      </c>
      <c r="I27" s="32" t="n">
        <v>24000</v>
      </c>
      <c r="J27" s="32" t="n">
        <v>24000</v>
      </c>
      <c r="K27" s="32" t="n">
        <v>24000</v>
      </c>
      <c r="L27" s="32" t="n">
        <v>23000</v>
      </c>
      <c r="M27" s="32" t="n">
        <v>22000</v>
      </c>
      <c r="N27" s="32" t="n">
        <v>22000</v>
      </c>
      <c r="O27" s="32" t="n">
        <v>22000</v>
      </c>
      <c r="P27" s="32" t="n">
        <v>22000</v>
      </c>
      <c r="Q27" s="32" t="n">
        <v>22000</v>
      </c>
      <c r="R27" s="32" t="n">
        <v>23000</v>
      </c>
      <c r="S27" s="32" t="n">
        <v>23000</v>
      </c>
      <c r="T27" s="32" t="n">
        <v>24000</v>
      </c>
      <c r="U27" s="32" t="n">
        <v>24000</v>
      </c>
      <c r="V27" s="32" t="n">
        <v>0</v>
      </c>
      <c r="W27" s="32" t="n">
        <v>0</v>
      </c>
      <c r="X27" s="32" t="n">
        <v>24000</v>
      </c>
      <c r="Y27" s="32" t="n">
        <v>24000</v>
      </c>
      <c r="Z27" s="32" t="n">
        <v>24000</v>
      </c>
      <c r="AA27" s="13" t="n">
        <f aca="false">IFERROR(AVERAGEIF(D27:H27,"&lt;&gt;0"),"")</f>
        <v>24000</v>
      </c>
      <c r="AB27" s="13" t="n">
        <f aca="false">IFERROR(AVERAGEIF(I27:M27,"&lt;&gt;0"),"")</f>
        <v>23400</v>
      </c>
      <c r="AC27" s="13" t="n">
        <f aca="false">IFERROR(AVERAGEIF(N27:R27,"&lt;&gt;0"),"")</f>
        <v>22200</v>
      </c>
      <c r="AD27" s="13" t="n">
        <f aca="false">IFERROR(AVERAGEIF(S27:W27,"&lt;&gt;0"),"")</f>
        <v>23666.6666666667</v>
      </c>
      <c r="AE27" s="13" t="n">
        <f aca="false">IFERROR(AVERAGEIF(X27:Z27,"&lt;&gt;0"),"")</f>
        <v>24000</v>
      </c>
      <c r="AF27" s="13" t="n">
        <f aca="false">IFERROR(AVERAGEIF(D27:Z27,"&lt;&gt;0"),"")</f>
        <v>23380.9523809524</v>
      </c>
    </row>
    <row r="28" customFormat="false" ht="15" hidden="false" customHeight="false" outlineLevel="0" collapsed="false">
      <c r="A28" s="3" t="n">
        <v>24</v>
      </c>
      <c r="B28" s="3" t="s">
        <v>425</v>
      </c>
      <c r="C28" s="3" t="s">
        <v>471</v>
      </c>
      <c r="D28" s="32" t="n">
        <v>30000</v>
      </c>
      <c r="E28" s="32" t="n">
        <v>30000</v>
      </c>
      <c r="F28" s="32" t="n">
        <v>30000</v>
      </c>
      <c r="G28" s="32" t="n">
        <v>30000</v>
      </c>
      <c r="H28" s="32" t="n">
        <v>30000</v>
      </c>
      <c r="I28" s="32" t="n">
        <v>30000</v>
      </c>
      <c r="J28" s="32" t="n">
        <v>30000</v>
      </c>
      <c r="K28" s="32" t="n">
        <v>30000</v>
      </c>
      <c r="L28" s="32" t="n">
        <v>30000</v>
      </c>
      <c r="M28" s="32" t="n">
        <v>30000</v>
      </c>
      <c r="N28" s="32" t="n">
        <v>30000</v>
      </c>
      <c r="O28" s="32" t="n">
        <v>30000</v>
      </c>
      <c r="P28" s="32" t="n">
        <v>30000</v>
      </c>
      <c r="Q28" s="32" t="n">
        <v>30000</v>
      </c>
      <c r="R28" s="32" t="n">
        <v>30000</v>
      </c>
      <c r="S28" s="32" t="n">
        <v>30000</v>
      </c>
      <c r="T28" s="32" t="n">
        <v>30000</v>
      </c>
      <c r="U28" s="32" t="n">
        <v>30000</v>
      </c>
      <c r="V28" s="32" t="n">
        <v>0</v>
      </c>
      <c r="W28" s="32" t="n">
        <v>0</v>
      </c>
      <c r="X28" s="32" t="n">
        <v>30000</v>
      </c>
      <c r="Y28" s="32" t="n">
        <v>30000</v>
      </c>
      <c r="Z28" s="32" t="n">
        <v>30000</v>
      </c>
      <c r="AA28" s="13" t="n">
        <f aca="false">IFERROR(AVERAGEIF(D28:H28,"&lt;&gt;0"),"")</f>
        <v>30000</v>
      </c>
      <c r="AB28" s="13" t="n">
        <f aca="false">IFERROR(AVERAGEIF(I28:M28,"&lt;&gt;0"),"")</f>
        <v>30000</v>
      </c>
      <c r="AC28" s="13" t="n">
        <f aca="false">IFERROR(AVERAGEIF(N28:R28,"&lt;&gt;0"),"")</f>
        <v>30000</v>
      </c>
      <c r="AD28" s="13" t="n">
        <f aca="false">IFERROR(AVERAGEIF(S28:W28,"&lt;&gt;0"),"")</f>
        <v>30000</v>
      </c>
      <c r="AE28" s="13" t="n">
        <f aca="false">IFERROR(AVERAGEIF(X28:Z28,"&lt;&gt;0"),"")</f>
        <v>30000</v>
      </c>
      <c r="AF28" s="13" t="n">
        <f aca="false">IFERROR(AVERAGEIF(D28:Z28,"&lt;&gt;0"),"")</f>
        <v>30000</v>
      </c>
    </row>
    <row r="29" customFormat="false" ht="15" hidden="false" customHeight="false" outlineLevel="0" collapsed="false">
      <c r="A29" s="3" t="n">
        <v>25</v>
      </c>
      <c r="B29" s="3" t="s">
        <v>475</v>
      </c>
      <c r="C29" s="3" t="s">
        <v>471</v>
      </c>
      <c r="D29" s="32" t="n">
        <v>27000</v>
      </c>
      <c r="E29" s="32" t="n">
        <v>27000</v>
      </c>
      <c r="F29" s="32" t="n">
        <v>27000</v>
      </c>
      <c r="G29" s="32" t="n">
        <v>27000</v>
      </c>
      <c r="H29" s="32" t="n">
        <v>27000</v>
      </c>
      <c r="I29" s="32" t="n">
        <v>27000</v>
      </c>
      <c r="J29" s="32" t="n">
        <v>27000</v>
      </c>
      <c r="K29" s="32" t="n">
        <v>27000</v>
      </c>
      <c r="L29" s="32" t="n">
        <v>27000</v>
      </c>
      <c r="M29" s="32" t="n">
        <v>27000</v>
      </c>
      <c r="N29" s="32" t="n">
        <v>27000</v>
      </c>
      <c r="O29" s="32" t="n">
        <v>27000</v>
      </c>
      <c r="P29" s="32" t="n">
        <v>27000</v>
      </c>
      <c r="Q29" s="32" t="n">
        <v>27000</v>
      </c>
      <c r="R29" s="32" t="n">
        <v>27000</v>
      </c>
      <c r="S29" s="32" t="n">
        <v>27000</v>
      </c>
      <c r="T29" s="32" t="n">
        <v>27000</v>
      </c>
      <c r="U29" s="32" t="n">
        <v>27000</v>
      </c>
      <c r="V29" s="32" t="n">
        <v>0</v>
      </c>
      <c r="W29" s="32" t="n">
        <v>0</v>
      </c>
      <c r="X29" s="32" t="n">
        <v>27000</v>
      </c>
      <c r="Y29" s="32" t="n">
        <v>27000</v>
      </c>
      <c r="Z29" s="32" t="n">
        <v>27000</v>
      </c>
      <c r="AA29" s="13" t="n">
        <f aca="false">IFERROR(AVERAGEIF(D29:H29,"&lt;&gt;0"),"")</f>
        <v>27000</v>
      </c>
      <c r="AB29" s="13" t="n">
        <f aca="false">IFERROR(AVERAGEIF(I29:M29,"&lt;&gt;0"),"")</f>
        <v>27000</v>
      </c>
      <c r="AC29" s="13" t="n">
        <f aca="false">IFERROR(AVERAGEIF(N29:R29,"&lt;&gt;0"),"")</f>
        <v>27000</v>
      </c>
      <c r="AD29" s="13" t="n">
        <f aca="false">IFERROR(AVERAGEIF(S29:W29,"&lt;&gt;0"),"")</f>
        <v>27000</v>
      </c>
      <c r="AE29" s="13" t="n">
        <f aca="false">IFERROR(AVERAGEIF(X29:Z29,"&lt;&gt;0"),"")</f>
        <v>27000</v>
      </c>
      <c r="AF29" s="13" t="n">
        <f aca="false">IFERROR(AVERAGEIF(D29:Z29,"&lt;&gt;0"),"")</f>
        <v>27000</v>
      </c>
    </row>
    <row r="30" customFormat="false" ht="15" hidden="false" customHeight="false" outlineLevel="0" collapsed="false">
      <c r="A30" s="3" t="n">
        <v>26</v>
      </c>
      <c r="B30" s="3" t="s">
        <v>476</v>
      </c>
      <c r="C30" s="3" t="s">
        <v>471</v>
      </c>
      <c r="D30" s="32" t="n">
        <v>8000</v>
      </c>
      <c r="E30" s="32" t="n">
        <v>8000</v>
      </c>
      <c r="F30" s="32" t="n">
        <v>8000</v>
      </c>
      <c r="G30" s="32" t="n">
        <v>8000</v>
      </c>
      <c r="H30" s="32" t="n">
        <v>8000</v>
      </c>
      <c r="I30" s="32" t="n">
        <v>8000</v>
      </c>
      <c r="J30" s="32" t="n">
        <v>8000</v>
      </c>
      <c r="K30" s="32" t="n">
        <v>8000</v>
      </c>
      <c r="L30" s="32" t="n">
        <v>8000</v>
      </c>
      <c r="M30" s="32" t="n">
        <v>8000</v>
      </c>
      <c r="N30" s="32" t="n">
        <v>8000</v>
      </c>
      <c r="O30" s="32" t="n">
        <v>8000</v>
      </c>
      <c r="P30" s="32" t="n">
        <v>8000</v>
      </c>
      <c r="Q30" s="32" t="n">
        <v>8000</v>
      </c>
      <c r="R30" s="32" t="n">
        <v>8000</v>
      </c>
      <c r="S30" s="32" t="n">
        <v>8000</v>
      </c>
      <c r="T30" s="32" t="n">
        <v>8000</v>
      </c>
      <c r="U30" s="32" t="n">
        <v>8000</v>
      </c>
      <c r="V30" s="32" t="n">
        <v>0</v>
      </c>
      <c r="W30" s="32" t="n">
        <v>0</v>
      </c>
      <c r="X30" s="32" t="n">
        <v>8000</v>
      </c>
      <c r="Y30" s="32" t="n">
        <v>8000</v>
      </c>
      <c r="Z30" s="32" t="n">
        <v>8000</v>
      </c>
      <c r="AA30" s="13" t="n">
        <f aca="false">IFERROR(AVERAGEIF(D30:H30,"&lt;&gt;0"),"")</f>
        <v>8000</v>
      </c>
      <c r="AB30" s="13" t="n">
        <f aca="false">IFERROR(AVERAGEIF(I30:M30,"&lt;&gt;0"),"")</f>
        <v>8000</v>
      </c>
      <c r="AC30" s="13" t="n">
        <f aca="false">IFERROR(AVERAGEIF(N30:R30,"&lt;&gt;0"),"")</f>
        <v>8000</v>
      </c>
      <c r="AD30" s="13" t="n">
        <f aca="false">IFERROR(AVERAGEIF(S30:W30,"&lt;&gt;0"),"")</f>
        <v>8000</v>
      </c>
      <c r="AE30" s="13" t="n">
        <f aca="false">IFERROR(AVERAGEIF(X30:Z30,"&lt;&gt;0"),"")</f>
        <v>8000</v>
      </c>
      <c r="AF30" s="13" t="n">
        <f aca="false">IFERROR(AVERAGEIF(D30:Z30,"&lt;&gt;0"),"")</f>
        <v>8000</v>
      </c>
    </row>
    <row r="31" customFormat="false" ht="15" hidden="false" customHeight="false" outlineLevel="0" collapsed="false">
      <c r="A31" s="3" t="n">
        <v>27</v>
      </c>
      <c r="B31" s="3" t="s">
        <v>427</v>
      </c>
      <c r="C31" s="3" t="s">
        <v>471</v>
      </c>
      <c r="D31" s="32" t="n">
        <v>10500</v>
      </c>
      <c r="E31" s="32" t="n">
        <v>10500</v>
      </c>
      <c r="F31" s="32" t="n">
        <v>10500</v>
      </c>
      <c r="G31" s="32" t="n">
        <v>10500</v>
      </c>
      <c r="H31" s="32" t="n">
        <v>10500</v>
      </c>
      <c r="I31" s="32" t="n">
        <v>10500</v>
      </c>
      <c r="J31" s="32" t="n">
        <v>10500</v>
      </c>
      <c r="K31" s="32" t="n">
        <v>10500</v>
      </c>
      <c r="L31" s="32" t="n">
        <v>10500</v>
      </c>
      <c r="M31" s="32" t="n">
        <v>10500</v>
      </c>
      <c r="N31" s="32" t="n">
        <v>10500</v>
      </c>
      <c r="O31" s="32" t="n">
        <v>10500</v>
      </c>
      <c r="P31" s="32" t="n">
        <v>10500</v>
      </c>
      <c r="Q31" s="32" t="n">
        <v>10500</v>
      </c>
      <c r="R31" s="32" t="n">
        <v>10500</v>
      </c>
      <c r="S31" s="32" t="n">
        <v>10500</v>
      </c>
      <c r="T31" s="32" t="n">
        <v>10500</v>
      </c>
      <c r="U31" s="32" t="n">
        <v>10500</v>
      </c>
      <c r="V31" s="32" t="n">
        <v>0</v>
      </c>
      <c r="W31" s="32" t="n">
        <v>0</v>
      </c>
      <c r="X31" s="32" t="n">
        <v>10500</v>
      </c>
      <c r="Y31" s="32" t="n">
        <v>10500</v>
      </c>
      <c r="Z31" s="32" t="n">
        <v>10500</v>
      </c>
      <c r="AA31" s="13" t="n">
        <f aca="false">IFERROR(AVERAGEIF(D31:H31,"&lt;&gt;0"),"")</f>
        <v>10500</v>
      </c>
      <c r="AB31" s="13" t="n">
        <f aca="false">IFERROR(AVERAGEIF(I31:M31,"&lt;&gt;0"),"")</f>
        <v>10500</v>
      </c>
      <c r="AC31" s="13" t="n">
        <f aca="false">IFERROR(AVERAGEIF(N31:R31,"&lt;&gt;0"),"")</f>
        <v>10500</v>
      </c>
      <c r="AD31" s="13" t="n">
        <f aca="false">IFERROR(AVERAGEIF(S31:W31,"&lt;&gt;0"),"")</f>
        <v>10500</v>
      </c>
      <c r="AE31" s="13" t="n">
        <f aca="false">IFERROR(AVERAGEIF(X31:Z31,"&lt;&gt;0"),"")</f>
        <v>10500</v>
      </c>
      <c r="AF31" s="13" t="n">
        <f aca="false">IFERROR(AVERAGEIF(D31:Z31,"&lt;&gt;0"),"")</f>
        <v>10500</v>
      </c>
    </row>
    <row r="32" customFormat="false" ht="15" hidden="false" customHeight="false" outlineLevel="0" collapsed="false">
      <c r="A32" s="3" t="n">
        <v>28</v>
      </c>
      <c r="B32" s="3" t="s">
        <v>422</v>
      </c>
      <c r="C32" s="3" t="s">
        <v>471</v>
      </c>
      <c r="D32" s="32" t="n">
        <v>42000</v>
      </c>
      <c r="E32" s="32" t="n">
        <v>42000</v>
      </c>
      <c r="F32" s="32" t="n">
        <v>42000</v>
      </c>
      <c r="G32" s="32" t="n">
        <v>42000</v>
      </c>
      <c r="H32" s="32" t="n">
        <v>42000</v>
      </c>
      <c r="I32" s="32" t="n">
        <v>42000</v>
      </c>
      <c r="J32" s="32" t="n">
        <v>42000</v>
      </c>
      <c r="K32" s="32" t="n">
        <v>42000</v>
      </c>
      <c r="L32" s="32" t="n">
        <v>42000</v>
      </c>
      <c r="M32" s="32" t="n">
        <v>42000</v>
      </c>
      <c r="N32" s="32" t="n">
        <v>42000</v>
      </c>
      <c r="O32" s="32" t="n">
        <v>42000</v>
      </c>
      <c r="P32" s="32" t="n">
        <v>42000</v>
      </c>
      <c r="Q32" s="32" t="n">
        <v>42000</v>
      </c>
      <c r="R32" s="32" t="n">
        <v>42000</v>
      </c>
      <c r="S32" s="32" t="n">
        <v>42000</v>
      </c>
      <c r="T32" s="32" t="n">
        <v>42000</v>
      </c>
      <c r="U32" s="32" t="n">
        <v>42000</v>
      </c>
      <c r="V32" s="32" t="n">
        <v>0</v>
      </c>
      <c r="W32" s="32" t="n">
        <v>0</v>
      </c>
      <c r="X32" s="32" t="n">
        <v>42000</v>
      </c>
      <c r="Y32" s="32" t="n">
        <v>42000</v>
      </c>
      <c r="Z32" s="32" t="n">
        <v>42000</v>
      </c>
      <c r="AA32" s="13" t="n">
        <f aca="false">IFERROR(AVERAGEIF(D32:H32,"&lt;&gt;0"),"")</f>
        <v>42000</v>
      </c>
      <c r="AB32" s="13" t="n">
        <f aca="false">IFERROR(AVERAGEIF(I32:M32,"&lt;&gt;0"),"")</f>
        <v>42000</v>
      </c>
      <c r="AC32" s="13" t="n">
        <f aca="false">IFERROR(AVERAGEIF(N32:R32,"&lt;&gt;0"),"")</f>
        <v>42000</v>
      </c>
      <c r="AD32" s="13" t="n">
        <f aca="false">IFERROR(AVERAGEIF(S32:W32,"&lt;&gt;0"),"")</f>
        <v>42000</v>
      </c>
      <c r="AE32" s="13" t="n">
        <f aca="false">IFERROR(AVERAGEIF(X32:Z32,"&lt;&gt;0"),"")</f>
        <v>42000</v>
      </c>
      <c r="AF32" s="13" t="n">
        <f aca="false">IFERROR(AVERAGEIF(D32:Z32,"&lt;&gt;0"),"")</f>
        <v>42000</v>
      </c>
    </row>
    <row r="33" customFormat="false" ht="15" hidden="false" customHeight="false" outlineLevel="0" collapsed="false">
      <c r="A33" s="3" t="n">
        <v>29</v>
      </c>
      <c r="B33" s="3" t="s">
        <v>433</v>
      </c>
      <c r="C33" s="3" t="s">
        <v>471</v>
      </c>
      <c r="D33" s="32" t="n">
        <v>8000</v>
      </c>
      <c r="E33" s="32" t="n">
        <v>8000</v>
      </c>
      <c r="F33" s="32" t="n">
        <v>8000</v>
      </c>
      <c r="G33" s="32" t="n">
        <v>8000</v>
      </c>
      <c r="H33" s="32" t="n">
        <v>8000</v>
      </c>
      <c r="I33" s="32" t="n">
        <v>8000</v>
      </c>
      <c r="J33" s="32" t="n">
        <v>8000</v>
      </c>
      <c r="K33" s="32" t="n">
        <v>8000</v>
      </c>
      <c r="L33" s="32" t="n">
        <v>8000</v>
      </c>
      <c r="M33" s="32" t="n">
        <v>8000</v>
      </c>
      <c r="N33" s="32" t="n">
        <v>8000</v>
      </c>
      <c r="O33" s="32" t="n">
        <v>8000</v>
      </c>
      <c r="P33" s="32" t="n">
        <v>8000</v>
      </c>
      <c r="Q33" s="32" t="n">
        <v>8000</v>
      </c>
      <c r="R33" s="32" t="n">
        <v>8000</v>
      </c>
      <c r="S33" s="32" t="n">
        <v>8000</v>
      </c>
      <c r="T33" s="32" t="n">
        <v>8000</v>
      </c>
      <c r="U33" s="32" t="n">
        <v>8000</v>
      </c>
      <c r="V33" s="32" t="n">
        <v>0</v>
      </c>
      <c r="W33" s="32" t="n">
        <v>0</v>
      </c>
      <c r="X33" s="32" t="n">
        <v>8000</v>
      </c>
      <c r="Y33" s="32" t="n">
        <v>8000</v>
      </c>
      <c r="Z33" s="32" t="n">
        <v>8000</v>
      </c>
      <c r="AA33" s="13" t="n">
        <f aca="false">IFERROR(AVERAGEIF(D33:H33,"&lt;&gt;0"),"")</f>
        <v>8000</v>
      </c>
      <c r="AB33" s="13" t="n">
        <f aca="false">IFERROR(AVERAGEIF(I33:M33,"&lt;&gt;0"),"")</f>
        <v>8000</v>
      </c>
      <c r="AC33" s="13" t="n">
        <f aca="false">IFERROR(AVERAGEIF(N33:R33,"&lt;&gt;0"),"")</f>
        <v>8000</v>
      </c>
      <c r="AD33" s="13" t="n">
        <f aca="false">IFERROR(AVERAGEIF(S33:W33,"&lt;&gt;0"),"")</f>
        <v>8000</v>
      </c>
      <c r="AE33" s="13" t="n">
        <f aca="false">IFERROR(AVERAGEIF(X33:Z33,"&lt;&gt;0"),"")</f>
        <v>8000</v>
      </c>
      <c r="AF33" s="13" t="n">
        <f aca="false">IFERROR(AVERAGEIF(D33:Z33,"&lt;&gt;0"),"")</f>
        <v>8000</v>
      </c>
    </row>
    <row r="34" customFormat="false" ht="15" hidden="false" customHeight="false" outlineLevel="0" collapsed="false">
      <c r="A34" s="3" t="n">
        <v>30</v>
      </c>
      <c r="B34" s="3" t="s">
        <v>411</v>
      </c>
      <c r="C34" s="3" t="s">
        <v>471</v>
      </c>
      <c r="D34" s="32" t="n">
        <v>6000</v>
      </c>
      <c r="E34" s="32" t="n">
        <v>6000</v>
      </c>
      <c r="F34" s="32" t="n">
        <v>6000</v>
      </c>
      <c r="G34" s="32" t="n">
        <v>6000</v>
      </c>
      <c r="H34" s="32" t="n">
        <v>6000</v>
      </c>
      <c r="I34" s="32" t="n">
        <v>6000</v>
      </c>
      <c r="J34" s="32" t="n">
        <v>6000</v>
      </c>
      <c r="K34" s="32" t="n">
        <v>6000</v>
      </c>
      <c r="L34" s="32" t="n">
        <v>6000</v>
      </c>
      <c r="M34" s="32" t="n">
        <v>6000</v>
      </c>
      <c r="N34" s="32" t="n">
        <v>6000</v>
      </c>
      <c r="O34" s="32" t="n">
        <v>6000</v>
      </c>
      <c r="P34" s="32" t="n">
        <v>6000</v>
      </c>
      <c r="Q34" s="32" t="n">
        <v>6000</v>
      </c>
      <c r="R34" s="32" t="n">
        <v>6000</v>
      </c>
      <c r="S34" s="32" t="n">
        <v>6000</v>
      </c>
      <c r="T34" s="32" t="n">
        <v>6000</v>
      </c>
      <c r="U34" s="32" t="n">
        <v>6000</v>
      </c>
      <c r="V34" s="32" t="n">
        <v>0</v>
      </c>
      <c r="W34" s="32" t="n">
        <v>0</v>
      </c>
      <c r="X34" s="32" t="n">
        <v>6000</v>
      </c>
      <c r="Y34" s="32" t="n">
        <v>6000</v>
      </c>
      <c r="Z34" s="32" t="n">
        <v>6000</v>
      </c>
      <c r="AA34" s="13" t="n">
        <f aca="false">IFERROR(AVERAGEIF(D34:H34,"&lt;&gt;0"),"")</f>
        <v>6000</v>
      </c>
      <c r="AB34" s="13" t="n">
        <f aca="false">IFERROR(AVERAGEIF(I34:M34,"&lt;&gt;0"),"")</f>
        <v>6000</v>
      </c>
      <c r="AC34" s="13" t="n">
        <f aca="false">IFERROR(AVERAGEIF(N34:R34,"&lt;&gt;0"),"")</f>
        <v>6000</v>
      </c>
      <c r="AD34" s="13" t="n">
        <f aca="false">IFERROR(AVERAGEIF(S34:W34,"&lt;&gt;0"),"")</f>
        <v>6000</v>
      </c>
      <c r="AE34" s="13" t="n">
        <f aca="false">IFERROR(AVERAGEIF(X34:Z34,"&lt;&gt;0"),"")</f>
        <v>6000</v>
      </c>
      <c r="AF34" s="13" t="n">
        <f aca="false">IFERROR(AVERAGEIF(D34:Z34,"&lt;&gt;0"),"")</f>
        <v>6000</v>
      </c>
    </row>
    <row r="35" customFormat="false" ht="15" hidden="false" customHeight="false" outlineLevel="0" collapsed="false">
      <c r="A35" s="3" t="n">
        <v>31</v>
      </c>
      <c r="B35" s="3" t="s">
        <v>416</v>
      </c>
      <c r="C35" s="3" t="s">
        <v>471</v>
      </c>
      <c r="D35" s="32" t="n">
        <v>60000</v>
      </c>
      <c r="E35" s="32" t="n">
        <v>60000</v>
      </c>
      <c r="F35" s="32" t="n">
        <v>60000</v>
      </c>
      <c r="G35" s="32" t="n">
        <v>60000</v>
      </c>
      <c r="H35" s="32" t="n">
        <v>60000</v>
      </c>
      <c r="I35" s="32" t="n">
        <v>60000</v>
      </c>
      <c r="J35" s="32" t="n">
        <v>60000</v>
      </c>
      <c r="K35" s="32" t="n">
        <v>60000</v>
      </c>
      <c r="L35" s="32" t="n">
        <v>60000</v>
      </c>
      <c r="M35" s="32" t="n">
        <v>60000</v>
      </c>
      <c r="N35" s="32" t="n">
        <v>60000</v>
      </c>
      <c r="O35" s="32" t="n">
        <v>60000</v>
      </c>
      <c r="P35" s="32" t="n">
        <v>60000</v>
      </c>
      <c r="Q35" s="32" t="n">
        <v>60000</v>
      </c>
      <c r="R35" s="32" t="n">
        <v>60000</v>
      </c>
      <c r="S35" s="32" t="n">
        <v>60000</v>
      </c>
      <c r="T35" s="32" t="n">
        <v>60000</v>
      </c>
      <c r="U35" s="32" t="n">
        <v>60000</v>
      </c>
      <c r="V35" s="32" t="n">
        <v>0</v>
      </c>
      <c r="W35" s="32" t="n">
        <v>0</v>
      </c>
      <c r="X35" s="32" t="n">
        <v>60000</v>
      </c>
      <c r="Y35" s="32" t="n">
        <v>60000</v>
      </c>
      <c r="Z35" s="32" t="n">
        <v>60000</v>
      </c>
      <c r="AA35" s="13" t="n">
        <f aca="false">IFERROR(AVERAGEIF(D35:H35,"&lt;&gt;0"),"")</f>
        <v>60000</v>
      </c>
      <c r="AB35" s="13" t="n">
        <f aca="false">IFERROR(AVERAGEIF(I35:M35,"&lt;&gt;0"),"")</f>
        <v>60000</v>
      </c>
      <c r="AC35" s="13" t="n">
        <f aca="false">IFERROR(AVERAGEIF(N35:R35,"&lt;&gt;0"),"")</f>
        <v>60000</v>
      </c>
      <c r="AD35" s="13" t="n">
        <f aca="false">IFERROR(AVERAGEIF(S35:W35,"&lt;&gt;0"),"")</f>
        <v>60000</v>
      </c>
      <c r="AE35" s="13" t="n">
        <f aca="false">IFERROR(AVERAGEIF(X35:Z35,"&lt;&gt;0"),"")</f>
        <v>60000</v>
      </c>
      <c r="AF35" s="13" t="n">
        <f aca="false">IFERROR(AVERAGEIF(D35:Z35,"&lt;&gt;0"),"")</f>
        <v>60000</v>
      </c>
    </row>
    <row r="36" customFormat="false" ht="15" hidden="false" customHeight="false" outlineLevel="0" collapsed="false">
      <c r="A36" s="3" t="n">
        <v>32</v>
      </c>
      <c r="B36" s="3" t="s">
        <v>417</v>
      </c>
      <c r="C36" s="3" t="s">
        <v>471</v>
      </c>
      <c r="D36" s="32" t="n">
        <v>12000</v>
      </c>
      <c r="E36" s="32" t="n">
        <v>12000</v>
      </c>
      <c r="F36" s="32" t="n">
        <v>12000</v>
      </c>
      <c r="G36" s="32" t="n">
        <v>12000</v>
      </c>
      <c r="H36" s="32" t="n">
        <v>12000</v>
      </c>
      <c r="I36" s="32" t="n">
        <v>12000</v>
      </c>
      <c r="J36" s="32" t="n">
        <v>12000</v>
      </c>
      <c r="K36" s="32" t="n">
        <v>12000</v>
      </c>
      <c r="L36" s="32" t="n">
        <v>11000</v>
      </c>
      <c r="M36" s="32" t="n">
        <v>11000</v>
      </c>
      <c r="N36" s="32" t="n">
        <v>11000</v>
      </c>
      <c r="O36" s="32" t="n">
        <v>11000</v>
      </c>
      <c r="P36" s="32" t="n">
        <v>11000</v>
      </c>
      <c r="Q36" s="32" t="n">
        <v>11000</v>
      </c>
      <c r="R36" s="32" t="n">
        <v>11000</v>
      </c>
      <c r="S36" s="32" t="n">
        <v>11000</v>
      </c>
      <c r="T36" s="32" t="n">
        <v>11000</v>
      </c>
      <c r="U36" s="32" t="n">
        <v>11000</v>
      </c>
      <c r="V36" s="32" t="n">
        <v>0</v>
      </c>
      <c r="W36" s="32" t="n">
        <v>0</v>
      </c>
      <c r="X36" s="32" t="n">
        <v>11000</v>
      </c>
      <c r="Y36" s="32" t="n">
        <v>11000</v>
      </c>
      <c r="Z36" s="32" t="n">
        <v>11000</v>
      </c>
      <c r="AA36" s="13" t="n">
        <f aca="false">IFERROR(AVERAGEIF(D36:H36,"&lt;&gt;0"),"")</f>
        <v>12000</v>
      </c>
      <c r="AB36" s="13" t="n">
        <f aca="false">IFERROR(AVERAGEIF(I36:M36,"&lt;&gt;0"),"")</f>
        <v>11600</v>
      </c>
      <c r="AC36" s="13" t="n">
        <f aca="false">IFERROR(AVERAGEIF(N36:R36,"&lt;&gt;0"),"")</f>
        <v>11000</v>
      </c>
      <c r="AD36" s="13" t="n">
        <f aca="false">IFERROR(AVERAGEIF(S36:W36,"&lt;&gt;0"),"")</f>
        <v>11000</v>
      </c>
      <c r="AE36" s="13" t="n">
        <f aca="false">IFERROR(AVERAGEIF(X36:Z36,"&lt;&gt;0"),"")</f>
        <v>11000</v>
      </c>
      <c r="AF36" s="13" t="n">
        <f aca="false">IFERROR(AVERAGEIF(D36:Z36,"&lt;&gt;0"),"")</f>
        <v>11380.9523809524</v>
      </c>
    </row>
    <row r="37" customFormat="false" ht="15" hidden="false" customHeight="false" outlineLevel="0" collapsed="false">
      <c r="A37" s="3" t="n">
        <v>33</v>
      </c>
      <c r="B37" s="3" t="s">
        <v>434</v>
      </c>
      <c r="C37" s="3" t="s">
        <v>471</v>
      </c>
      <c r="D37" s="32" t="n">
        <v>8000</v>
      </c>
      <c r="E37" s="32" t="n">
        <v>8000</v>
      </c>
      <c r="F37" s="32" t="n">
        <v>8000</v>
      </c>
      <c r="G37" s="32" t="n">
        <v>8000</v>
      </c>
      <c r="H37" s="32" t="n">
        <v>8000</v>
      </c>
      <c r="I37" s="32" t="n">
        <v>8000</v>
      </c>
      <c r="J37" s="32" t="n">
        <v>8000</v>
      </c>
      <c r="K37" s="32" t="n">
        <v>8000</v>
      </c>
      <c r="L37" s="32" t="n">
        <v>8000</v>
      </c>
      <c r="M37" s="32" t="n">
        <v>7000</v>
      </c>
      <c r="N37" s="32" t="n">
        <v>7000</v>
      </c>
      <c r="O37" s="32" t="n">
        <v>7000</v>
      </c>
      <c r="P37" s="32" t="n">
        <v>7000</v>
      </c>
      <c r="Q37" s="32" t="n">
        <v>7000</v>
      </c>
      <c r="R37" s="32" t="n">
        <v>7000</v>
      </c>
      <c r="S37" s="32" t="n">
        <v>7000</v>
      </c>
      <c r="T37" s="32" t="n">
        <v>7000</v>
      </c>
      <c r="U37" s="32" t="n">
        <v>7000</v>
      </c>
      <c r="V37" s="32" t="n">
        <v>0</v>
      </c>
      <c r="W37" s="32" t="n">
        <v>0</v>
      </c>
      <c r="X37" s="32" t="n">
        <v>7000</v>
      </c>
      <c r="Y37" s="32" t="n">
        <v>7000</v>
      </c>
      <c r="Z37" s="32" t="n">
        <v>7000</v>
      </c>
      <c r="AA37" s="13" t="n">
        <f aca="false">IFERROR(AVERAGEIF(D37:H37,"&lt;&gt;0"),"")</f>
        <v>8000</v>
      </c>
      <c r="AB37" s="13" t="n">
        <f aca="false">IFERROR(AVERAGEIF(I37:M37,"&lt;&gt;0"),"")</f>
        <v>7800</v>
      </c>
      <c r="AC37" s="13" t="n">
        <f aca="false">IFERROR(AVERAGEIF(N37:R37,"&lt;&gt;0"),"")</f>
        <v>7000</v>
      </c>
      <c r="AD37" s="13" t="n">
        <f aca="false">IFERROR(AVERAGEIF(S37:W37,"&lt;&gt;0"),"")</f>
        <v>7000</v>
      </c>
      <c r="AE37" s="13" t="n">
        <f aca="false">IFERROR(AVERAGEIF(X37:Z37,"&lt;&gt;0"),"")</f>
        <v>7000</v>
      </c>
      <c r="AF37" s="13" t="n">
        <f aca="false">IFERROR(AVERAGEIF(D37:Z37,"&lt;&gt;0"),"")</f>
        <v>7428.57142857143</v>
      </c>
    </row>
    <row r="38" customFormat="false" ht="15" hidden="false" customHeight="false" outlineLevel="0" collapsed="false">
      <c r="A38" s="3" t="n">
        <v>34</v>
      </c>
      <c r="B38" s="3" t="s">
        <v>477</v>
      </c>
      <c r="C38" s="3" t="s">
        <v>471</v>
      </c>
      <c r="D38" s="32" t="n">
        <v>4000</v>
      </c>
      <c r="E38" s="32" t="n">
        <v>4000</v>
      </c>
      <c r="F38" s="32" t="n">
        <v>4000</v>
      </c>
      <c r="G38" s="32" t="n">
        <v>4000</v>
      </c>
      <c r="H38" s="32" t="n">
        <v>4000</v>
      </c>
      <c r="I38" s="32" t="n">
        <v>4000</v>
      </c>
      <c r="J38" s="32" t="n">
        <v>4000</v>
      </c>
      <c r="K38" s="32" t="n">
        <v>4000</v>
      </c>
      <c r="L38" s="32" t="n">
        <v>4000</v>
      </c>
      <c r="M38" s="32" t="n">
        <v>4000</v>
      </c>
      <c r="N38" s="32" t="n">
        <v>4000</v>
      </c>
      <c r="O38" s="32" t="n">
        <v>4000</v>
      </c>
      <c r="P38" s="32" t="n">
        <v>4000</v>
      </c>
      <c r="Q38" s="32" t="n">
        <v>4000</v>
      </c>
      <c r="R38" s="32" t="n">
        <v>4000</v>
      </c>
      <c r="S38" s="32" t="n">
        <v>4000</v>
      </c>
      <c r="T38" s="32" t="n">
        <v>4000</v>
      </c>
      <c r="U38" s="32" t="n">
        <v>4000</v>
      </c>
      <c r="V38" s="32" t="n">
        <v>0</v>
      </c>
      <c r="W38" s="32" t="n">
        <v>0</v>
      </c>
      <c r="X38" s="32" t="n">
        <v>4000</v>
      </c>
      <c r="Y38" s="32" t="n">
        <v>4000</v>
      </c>
      <c r="Z38" s="32" t="n">
        <v>4000</v>
      </c>
      <c r="AA38" s="13" t="n">
        <f aca="false">IFERROR(AVERAGEIF(D38:H38,"&lt;&gt;0"),"")</f>
        <v>4000</v>
      </c>
      <c r="AB38" s="13" t="n">
        <f aca="false">IFERROR(AVERAGEIF(I38:M38,"&lt;&gt;0"),"")</f>
        <v>4000</v>
      </c>
      <c r="AC38" s="13" t="n">
        <f aca="false">IFERROR(AVERAGEIF(N38:R38,"&lt;&gt;0"),"")</f>
        <v>4000</v>
      </c>
      <c r="AD38" s="13" t="n">
        <f aca="false">IFERROR(AVERAGEIF(S38:W38,"&lt;&gt;0"),"")</f>
        <v>4000</v>
      </c>
      <c r="AE38" s="13" t="n">
        <f aca="false">IFERROR(AVERAGEIF(X38:Z38,"&lt;&gt;0"),"")</f>
        <v>4000</v>
      </c>
      <c r="AF38" s="13" t="n">
        <f aca="false">IFERROR(AVERAGEIF(D38:Z38,"&lt;&gt;0"),"")</f>
        <v>4000</v>
      </c>
    </row>
    <row r="39" customFormat="false" ht="15" hidden="false" customHeight="false" outlineLevel="0" collapsed="false">
      <c r="A39" s="3" t="n">
        <v>35</v>
      </c>
      <c r="B39" s="3" t="s">
        <v>478</v>
      </c>
      <c r="C39" s="3" t="s">
        <v>471</v>
      </c>
      <c r="D39" s="32" t="n">
        <v>12000</v>
      </c>
      <c r="E39" s="32" t="n">
        <v>12000</v>
      </c>
      <c r="F39" s="32" t="n">
        <v>12000</v>
      </c>
      <c r="G39" s="32" t="n">
        <v>12000</v>
      </c>
      <c r="H39" s="32" t="n">
        <v>12000</v>
      </c>
      <c r="I39" s="32" t="n">
        <v>12000</v>
      </c>
      <c r="J39" s="32" t="n">
        <v>12000</v>
      </c>
      <c r="K39" s="32" t="n">
        <v>12000</v>
      </c>
      <c r="L39" s="32" t="n">
        <v>12000</v>
      </c>
      <c r="M39" s="32" t="n">
        <v>12000</v>
      </c>
      <c r="N39" s="32" t="n">
        <v>12000</v>
      </c>
      <c r="O39" s="32" t="n">
        <v>12000</v>
      </c>
      <c r="P39" s="32" t="n">
        <v>12000</v>
      </c>
      <c r="Q39" s="32" t="n">
        <v>12000</v>
      </c>
      <c r="R39" s="32" t="n">
        <v>12000</v>
      </c>
      <c r="S39" s="32" t="n">
        <v>12000</v>
      </c>
      <c r="T39" s="32" t="n">
        <v>12000</v>
      </c>
      <c r="U39" s="32" t="n">
        <v>12000</v>
      </c>
      <c r="V39" s="32" t="n">
        <v>0</v>
      </c>
      <c r="W39" s="32" t="n">
        <v>0</v>
      </c>
      <c r="X39" s="32" t="n">
        <v>12000</v>
      </c>
      <c r="Y39" s="32" t="n">
        <v>12000</v>
      </c>
      <c r="Z39" s="32" t="n">
        <v>12000</v>
      </c>
      <c r="AA39" s="13" t="n">
        <f aca="false">IFERROR(AVERAGEIF(D39:H39,"&lt;&gt;0"),"")</f>
        <v>12000</v>
      </c>
      <c r="AB39" s="13" t="n">
        <f aca="false">IFERROR(AVERAGEIF(I39:M39,"&lt;&gt;0"),"")</f>
        <v>12000</v>
      </c>
      <c r="AC39" s="13" t="n">
        <f aca="false">IFERROR(AVERAGEIF(N39:R39,"&lt;&gt;0"),"")</f>
        <v>12000</v>
      </c>
      <c r="AD39" s="13" t="n">
        <f aca="false">IFERROR(AVERAGEIF(S39:W39,"&lt;&gt;0"),"")</f>
        <v>12000</v>
      </c>
      <c r="AE39" s="13" t="n">
        <f aca="false">IFERROR(AVERAGEIF(X39:Z39,"&lt;&gt;0"),"")</f>
        <v>12000</v>
      </c>
      <c r="AF39" s="13" t="n">
        <f aca="false">IFERROR(AVERAGEIF(D39:Z39,"&lt;&gt;0"),"")</f>
        <v>12000</v>
      </c>
    </row>
    <row r="40" customFormat="false" ht="15" hidden="false" customHeight="false" outlineLevel="0" collapsed="false">
      <c r="A40" s="3" t="n">
        <v>36</v>
      </c>
      <c r="B40" s="3" t="s">
        <v>479</v>
      </c>
      <c r="C40" s="3" t="s">
        <v>471</v>
      </c>
      <c r="D40" s="32" t="n">
        <v>4000</v>
      </c>
      <c r="E40" s="32" t="n">
        <v>4000</v>
      </c>
      <c r="F40" s="32" t="n">
        <v>4000</v>
      </c>
      <c r="G40" s="32" t="n">
        <v>4000</v>
      </c>
      <c r="H40" s="32" t="n">
        <v>4000</v>
      </c>
      <c r="I40" s="32" t="n">
        <v>4000</v>
      </c>
      <c r="J40" s="32" t="n">
        <v>4000</v>
      </c>
      <c r="K40" s="32" t="n">
        <v>4000</v>
      </c>
      <c r="L40" s="32" t="n">
        <v>4000</v>
      </c>
      <c r="M40" s="32" t="n">
        <v>4000</v>
      </c>
      <c r="N40" s="32" t="n">
        <v>4000</v>
      </c>
      <c r="O40" s="32" t="n">
        <v>4000</v>
      </c>
      <c r="P40" s="32" t="n">
        <v>4000</v>
      </c>
      <c r="Q40" s="32" t="n">
        <v>4000</v>
      </c>
      <c r="R40" s="32" t="n">
        <v>4000</v>
      </c>
      <c r="S40" s="32" t="n">
        <v>4000</v>
      </c>
      <c r="T40" s="32" t="n">
        <v>4000</v>
      </c>
      <c r="U40" s="32" t="n">
        <v>4000</v>
      </c>
      <c r="V40" s="32" t="n">
        <v>0</v>
      </c>
      <c r="W40" s="32" t="n">
        <v>0</v>
      </c>
      <c r="X40" s="32" t="n">
        <v>4000</v>
      </c>
      <c r="Y40" s="32" t="n">
        <v>4000</v>
      </c>
      <c r="Z40" s="32" t="n">
        <v>4000</v>
      </c>
      <c r="AA40" s="13" t="n">
        <f aca="false">IFERROR(AVERAGEIF(D40:H40,"&lt;&gt;0"),"")</f>
        <v>4000</v>
      </c>
      <c r="AB40" s="13" t="n">
        <f aca="false">IFERROR(AVERAGEIF(I40:M40,"&lt;&gt;0"),"")</f>
        <v>4000</v>
      </c>
      <c r="AC40" s="13" t="n">
        <f aca="false">IFERROR(AVERAGEIF(N40:R40,"&lt;&gt;0"),"")</f>
        <v>4000</v>
      </c>
      <c r="AD40" s="13" t="n">
        <f aca="false">IFERROR(AVERAGEIF(S40:W40,"&lt;&gt;0"),"")</f>
        <v>4000</v>
      </c>
      <c r="AE40" s="13" t="n">
        <f aca="false">IFERROR(AVERAGEIF(X40:Z40,"&lt;&gt;0"),"")</f>
        <v>4000</v>
      </c>
      <c r="AF40" s="13" t="n">
        <f aca="false">IFERROR(AVERAGEIF(D40:Z40,"&lt;&gt;0"),"")</f>
        <v>4000</v>
      </c>
    </row>
    <row r="41" customFormat="false" ht="15" hidden="false" customHeight="false" outlineLevel="0" collapsed="false">
      <c r="A41" s="3" t="n">
        <v>37</v>
      </c>
      <c r="B41" s="3" t="s">
        <v>480</v>
      </c>
      <c r="C41" s="3" t="s">
        <v>471</v>
      </c>
      <c r="D41" s="32" t="n">
        <v>2000</v>
      </c>
      <c r="E41" s="32" t="n">
        <v>2000</v>
      </c>
      <c r="F41" s="32" t="n">
        <v>2000</v>
      </c>
      <c r="G41" s="32" t="n">
        <v>2000</v>
      </c>
      <c r="H41" s="32" t="n">
        <v>2000</v>
      </c>
      <c r="I41" s="32" t="n">
        <v>2000</v>
      </c>
      <c r="J41" s="32" t="n">
        <v>2000</v>
      </c>
      <c r="K41" s="32" t="n">
        <v>2000</v>
      </c>
      <c r="L41" s="32" t="n">
        <v>2000</v>
      </c>
      <c r="M41" s="32" t="n">
        <v>2000</v>
      </c>
      <c r="N41" s="32" t="n">
        <v>2000</v>
      </c>
      <c r="O41" s="32" t="n">
        <v>2000</v>
      </c>
      <c r="P41" s="32" t="n">
        <v>2000</v>
      </c>
      <c r="Q41" s="32" t="n">
        <v>2000</v>
      </c>
      <c r="R41" s="32" t="n">
        <v>2000</v>
      </c>
      <c r="S41" s="32" t="n">
        <v>2000</v>
      </c>
      <c r="T41" s="32" t="n">
        <v>2000</v>
      </c>
      <c r="U41" s="32" t="n">
        <v>2000</v>
      </c>
      <c r="V41" s="32" t="n">
        <v>0</v>
      </c>
      <c r="W41" s="32" t="n">
        <v>0</v>
      </c>
      <c r="X41" s="32" t="n">
        <v>2000</v>
      </c>
      <c r="Y41" s="32" t="n">
        <v>2000</v>
      </c>
      <c r="Z41" s="32" t="n">
        <v>2000</v>
      </c>
      <c r="AA41" s="13" t="n">
        <f aca="false">IFERROR(AVERAGEIF(D41:H41,"&lt;&gt;0"),"")</f>
        <v>2000</v>
      </c>
      <c r="AB41" s="13" t="n">
        <f aca="false">IFERROR(AVERAGEIF(I41:M41,"&lt;&gt;0"),"")</f>
        <v>2000</v>
      </c>
      <c r="AC41" s="13" t="n">
        <f aca="false">IFERROR(AVERAGEIF(N41:R41,"&lt;&gt;0"),"")</f>
        <v>2000</v>
      </c>
      <c r="AD41" s="13" t="n">
        <f aca="false">IFERROR(AVERAGEIF(S41:W41,"&lt;&gt;0"),"")</f>
        <v>2000</v>
      </c>
      <c r="AE41" s="13" t="n">
        <f aca="false">IFERROR(AVERAGEIF(X41:Z41,"&lt;&gt;0"),"")</f>
        <v>2000</v>
      </c>
      <c r="AF41" s="13" t="n">
        <f aca="false">IFERROR(AVERAGEIF(D41:Z41,"&lt;&gt;0"),"")</f>
        <v>2000</v>
      </c>
    </row>
    <row r="42" customFormat="false" ht="15" hidden="false" customHeight="false" outlineLevel="0" collapsed="false">
      <c r="A42" s="3" t="n">
        <v>38</v>
      </c>
      <c r="B42" s="3" t="s">
        <v>481</v>
      </c>
      <c r="C42" s="3" t="s">
        <v>471</v>
      </c>
      <c r="D42" s="32" t="n">
        <v>5000</v>
      </c>
      <c r="E42" s="32" t="n">
        <v>5000</v>
      </c>
      <c r="F42" s="32" t="n">
        <v>5000</v>
      </c>
      <c r="G42" s="32" t="n">
        <v>5000</v>
      </c>
      <c r="H42" s="32" t="n">
        <v>5000</v>
      </c>
      <c r="I42" s="32" t="n">
        <v>5000</v>
      </c>
      <c r="J42" s="32" t="n">
        <v>5000</v>
      </c>
      <c r="K42" s="32" t="n">
        <v>5000</v>
      </c>
      <c r="L42" s="32" t="n">
        <v>5000</v>
      </c>
      <c r="M42" s="32" t="n">
        <v>5000</v>
      </c>
      <c r="N42" s="32" t="n">
        <v>5000</v>
      </c>
      <c r="O42" s="32" t="n">
        <v>5000</v>
      </c>
      <c r="P42" s="32" t="n">
        <v>5000</v>
      </c>
      <c r="Q42" s="32" t="n">
        <v>5000</v>
      </c>
      <c r="R42" s="32" t="n">
        <v>5000</v>
      </c>
      <c r="S42" s="32" t="n">
        <v>5000</v>
      </c>
      <c r="T42" s="32" t="n">
        <v>5000</v>
      </c>
      <c r="U42" s="32" t="n">
        <v>5000</v>
      </c>
      <c r="V42" s="32" t="n">
        <v>0</v>
      </c>
      <c r="W42" s="32" t="n">
        <v>0</v>
      </c>
      <c r="X42" s="32" t="n">
        <v>5000</v>
      </c>
      <c r="Y42" s="32" t="n">
        <v>5000</v>
      </c>
      <c r="Z42" s="32" t="n">
        <v>5000</v>
      </c>
      <c r="AA42" s="13" t="n">
        <f aca="false">IFERROR(AVERAGEIF(D42:H42,"&lt;&gt;0"),"")</f>
        <v>5000</v>
      </c>
      <c r="AB42" s="13" t="n">
        <f aca="false">IFERROR(AVERAGEIF(I42:M42,"&lt;&gt;0"),"")</f>
        <v>5000</v>
      </c>
      <c r="AC42" s="13" t="n">
        <f aca="false">IFERROR(AVERAGEIF(N42:R42,"&lt;&gt;0"),"")</f>
        <v>5000</v>
      </c>
      <c r="AD42" s="13" t="n">
        <f aca="false">IFERROR(AVERAGEIF(S42:W42,"&lt;&gt;0"),"")</f>
        <v>5000</v>
      </c>
      <c r="AE42" s="13" t="n">
        <f aca="false">IFERROR(AVERAGEIF(X42:Z42,"&lt;&gt;0"),"")</f>
        <v>5000</v>
      </c>
      <c r="AF42" s="13" t="n">
        <f aca="false">IFERROR(AVERAGEIF(D42:Z42,"&lt;&gt;0"),"")</f>
        <v>5000</v>
      </c>
    </row>
    <row r="43" customFormat="false" ht="15" hidden="false" customHeight="false" outlineLevel="0" collapsed="false">
      <c r="A43" s="3" t="n">
        <v>39</v>
      </c>
      <c r="B43" s="3" t="s">
        <v>482</v>
      </c>
      <c r="C43" s="3" t="s">
        <v>471</v>
      </c>
      <c r="D43" s="32" t="n">
        <v>5000</v>
      </c>
      <c r="E43" s="32" t="n">
        <v>5000</v>
      </c>
      <c r="F43" s="32" t="n">
        <v>5000</v>
      </c>
      <c r="G43" s="32" t="n">
        <v>5000</v>
      </c>
      <c r="H43" s="32" t="n">
        <v>5000</v>
      </c>
      <c r="I43" s="32" t="n">
        <v>5000</v>
      </c>
      <c r="J43" s="32" t="n">
        <v>5000</v>
      </c>
      <c r="K43" s="32" t="n">
        <v>5000</v>
      </c>
      <c r="L43" s="32" t="n">
        <v>5000</v>
      </c>
      <c r="M43" s="32" t="n">
        <v>5000</v>
      </c>
      <c r="N43" s="32" t="n">
        <v>5000</v>
      </c>
      <c r="O43" s="32" t="n">
        <v>5000</v>
      </c>
      <c r="P43" s="32" t="n">
        <v>5000</v>
      </c>
      <c r="Q43" s="32" t="n">
        <v>5000</v>
      </c>
      <c r="R43" s="32" t="n">
        <v>5000</v>
      </c>
      <c r="S43" s="32" t="n">
        <v>5000</v>
      </c>
      <c r="T43" s="32" t="n">
        <v>5000</v>
      </c>
      <c r="U43" s="32" t="n">
        <v>5000</v>
      </c>
      <c r="V43" s="32" t="n">
        <v>0</v>
      </c>
      <c r="W43" s="32" t="n">
        <v>0</v>
      </c>
      <c r="X43" s="32" t="n">
        <v>5000</v>
      </c>
      <c r="Y43" s="32" t="n">
        <v>5000</v>
      </c>
      <c r="Z43" s="32" t="n">
        <v>5000</v>
      </c>
      <c r="AA43" s="13" t="n">
        <f aca="false">IFERROR(AVERAGEIF(D43:H43,"&lt;&gt;0"),"")</f>
        <v>5000</v>
      </c>
      <c r="AB43" s="13" t="n">
        <f aca="false">IFERROR(AVERAGEIF(I43:M43,"&lt;&gt;0"),"")</f>
        <v>5000</v>
      </c>
      <c r="AC43" s="13" t="n">
        <f aca="false">IFERROR(AVERAGEIF(N43:R43,"&lt;&gt;0"),"")</f>
        <v>5000</v>
      </c>
      <c r="AD43" s="13" t="n">
        <f aca="false">IFERROR(AVERAGEIF(S43:W43,"&lt;&gt;0"),"")</f>
        <v>5000</v>
      </c>
      <c r="AE43" s="13" t="n">
        <f aca="false">IFERROR(AVERAGEIF(X43:Z43,"&lt;&gt;0"),"")</f>
        <v>5000</v>
      </c>
      <c r="AF43" s="13" t="n">
        <f aca="false">IFERROR(AVERAGEIF(D43:Z43,"&lt;&gt;0"),"")</f>
        <v>5000</v>
      </c>
    </row>
    <row r="44" customFormat="false" ht="15" hidden="false" customHeight="false" outlineLevel="0" collapsed="false">
      <c r="A44" s="3" t="n">
        <v>40</v>
      </c>
      <c r="B44" s="3" t="s">
        <v>483</v>
      </c>
      <c r="C44" s="3" t="s">
        <v>471</v>
      </c>
      <c r="D44" s="32" t="n">
        <v>4000</v>
      </c>
      <c r="E44" s="32" t="n">
        <v>4000</v>
      </c>
      <c r="F44" s="32" t="n">
        <v>4000</v>
      </c>
      <c r="G44" s="32" t="n">
        <v>4000</v>
      </c>
      <c r="H44" s="32" t="n">
        <v>4000</v>
      </c>
      <c r="I44" s="32" t="n">
        <v>4000</v>
      </c>
      <c r="J44" s="32" t="n">
        <v>4000</v>
      </c>
      <c r="K44" s="32" t="n">
        <v>4000</v>
      </c>
      <c r="L44" s="32" t="n">
        <v>4000</v>
      </c>
      <c r="M44" s="32" t="n">
        <v>4000</v>
      </c>
      <c r="N44" s="32" t="n">
        <v>4000</v>
      </c>
      <c r="O44" s="32" t="n">
        <v>4000</v>
      </c>
      <c r="P44" s="32" t="n">
        <v>4000</v>
      </c>
      <c r="Q44" s="32" t="n">
        <v>4000</v>
      </c>
      <c r="R44" s="32" t="n">
        <v>4000</v>
      </c>
      <c r="S44" s="32" t="n">
        <v>4000</v>
      </c>
      <c r="T44" s="32" t="n">
        <v>4000</v>
      </c>
      <c r="U44" s="32" t="n">
        <v>4000</v>
      </c>
      <c r="V44" s="32" t="n">
        <v>0</v>
      </c>
      <c r="W44" s="32" t="n">
        <v>0</v>
      </c>
      <c r="X44" s="32" t="n">
        <v>4000</v>
      </c>
      <c r="Y44" s="32" t="n">
        <v>4000</v>
      </c>
      <c r="Z44" s="32" t="n">
        <v>4000</v>
      </c>
      <c r="AA44" s="13" t="n">
        <f aca="false">IFERROR(AVERAGEIF(D44:H44,"&lt;&gt;0"),"")</f>
        <v>4000</v>
      </c>
      <c r="AB44" s="13" t="n">
        <f aca="false">IFERROR(AVERAGEIF(I44:M44,"&lt;&gt;0"),"")</f>
        <v>4000</v>
      </c>
      <c r="AC44" s="13" t="n">
        <f aca="false">IFERROR(AVERAGEIF(N44:R44,"&lt;&gt;0"),"")</f>
        <v>4000</v>
      </c>
      <c r="AD44" s="13" t="n">
        <f aca="false">IFERROR(AVERAGEIF(S44:W44,"&lt;&gt;0"),"")</f>
        <v>4000</v>
      </c>
      <c r="AE44" s="13" t="n">
        <f aca="false">IFERROR(AVERAGEIF(X44:Z44,"&lt;&gt;0"),"")</f>
        <v>4000</v>
      </c>
      <c r="AF44" s="13" t="n">
        <f aca="false">IFERROR(AVERAGEIF(D44:Z44,"&lt;&gt;0"),"")</f>
        <v>4000</v>
      </c>
    </row>
    <row r="45" customFormat="false" ht="15" hidden="false" customHeight="false" outlineLevel="0" collapsed="false">
      <c r="A45" s="3" t="n">
        <v>41</v>
      </c>
      <c r="B45" s="3" t="s">
        <v>484</v>
      </c>
      <c r="C45" s="3" t="s">
        <v>471</v>
      </c>
      <c r="D45" s="32" t="n">
        <v>60000</v>
      </c>
      <c r="E45" s="32" t="n">
        <v>60000</v>
      </c>
      <c r="F45" s="32" t="n">
        <v>60000</v>
      </c>
      <c r="G45" s="32" t="n">
        <v>60000</v>
      </c>
      <c r="H45" s="32" t="n">
        <v>60000</v>
      </c>
      <c r="I45" s="32" t="n">
        <v>60000</v>
      </c>
      <c r="J45" s="32" t="n">
        <v>60000</v>
      </c>
      <c r="K45" s="32" t="n">
        <v>60000</v>
      </c>
      <c r="L45" s="32" t="n">
        <v>60000</v>
      </c>
      <c r="M45" s="32" t="n">
        <v>60000</v>
      </c>
      <c r="N45" s="32" t="n">
        <v>60000</v>
      </c>
      <c r="O45" s="32" t="n">
        <v>60000</v>
      </c>
      <c r="P45" s="32" t="n">
        <v>60000</v>
      </c>
      <c r="Q45" s="32" t="n">
        <v>60000</v>
      </c>
      <c r="R45" s="32" t="n">
        <v>60000</v>
      </c>
      <c r="S45" s="32" t="n">
        <v>60000</v>
      </c>
      <c r="T45" s="32" t="n">
        <v>60000</v>
      </c>
      <c r="U45" s="32" t="n">
        <v>60000</v>
      </c>
      <c r="V45" s="32" t="n">
        <v>0</v>
      </c>
      <c r="W45" s="32" t="n">
        <v>0</v>
      </c>
      <c r="X45" s="32" t="n">
        <v>60000</v>
      </c>
      <c r="Y45" s="32" t="n">
        <v>60000</v>
      </c>
      <c r="Z45" s="32" t="n">
        <v>60000</v>
      </c>
      <c r="AA45" s="13" t="n">
        <f aca="false">IFERROR(AVERAGEIF(D45:H45,"&lt;&gt;0"),"")</f>
        <v>60000</v>
      </c>
      <c r="AB45" s="13" t="n">
        <f aca="false">IFERROR(AVERAGEIF(I45:M45,"&lt;&gt;0"),"")</f>
        <v>60000</v>
      </c>
      <c r="AC45" s="13" t="n">
        <f aca="false">IFERROR(AVERAGEIF(N45:R45,"&lt;&gt;0"),"")</f>
        <v>60000</v>
      </c>
      <c r="AD45" s="13" t="n">
        <f aca="false">IFERROR(AVERAGEIF(S45:W45,"&lt;&gt;0"),"")</f>
        <v>60000</v>
      </c>
      <c r="AE45" s="13" t="n">
        <f aca="false">IFERROR(AVERAGEIF(X45:Z45,"&lt;&gt;0"),"")</f>
        <v>60000</v>
      </c>
      <c r="AF45" s="13" t="n">
        <f aca="false">IFERROR(AVERAGEIF(D45:Z45,"&lt;&gt;0"),"")</f>
        <v>60000</v>
      </c>
    </row>
    <row r="46" customFormat="false" ht="15" hidden="false" customHeight="false" outlineLevel="0" collapsed="false">
      <c r="A46" s="3" t="n">
        <v>42</v>
      </c>
      <c r="B46" s="3" t="s">
        <v>485</v>
      </c>
      <c r="C46" s="3" t="s">
        <v>471</v>
      </c>
      <c r="D46" s="32" t="n">
        <v>35000</v>
      </c>
      <c r="E46" s="32" t="n">
        <v>35000</v>
      </c>
      <c r="F46" s="32" t="n">
        <v>35000</v>
      </c>
      <c r="G46" s="32" t="n">
        <v>35000</v>
      </c>
      <c r="H46" s="32" t="n">
        <v>35000</v>
      </c>
      <c r="I46" s="32" t="n">
        <v>35000</v>
      </c>
      <c r="J46" s="32" t="n">
        <v>35000</v>
      </c>
      <c r="K46" s="32" t="n">
        <v>35000</v>
      </c>
      <c r="L46" s="32" t="n">
        <v>35000</v>
      </c>
      <c r="M46" s="32" t="n">
        <v>35000</v>
      </c>
      <c r="N46" s="32" t="n">
        <v>35000</v>
      </c>
      <c r="O46" s="32" t="n">
        <v>35000</v>
      </c>
      <c r="P46" s="32" t="n">
        <v>35000</v>
      </c>
      <c r="Q46" s="32" t="n">
        <v>35000</v>
      </c>
      <c r="R46" s="32" t="n">
        <v>35000</v>
      </c>
      <c r="S46" s="32" t="n">
        <v>35000</v>
      </c>
      <c r="T46" s="32" t="n">
        <v>35000</v>
      </c>
      <c r="U46" s="32" t="n">
        <v>35000</v>
      </c>
      <c r="V46" s="32" t="n">
        <v>0</v>
      </c>
      <c r="W46" s="32" t="n">
        <v>0</v>
      </c>
      <c r="X46" s="32" t="n">
        <v>35000</v>
      </c>
      <c r="Y46" s="32" t="n">
        <v>35000</v>
      </c>
      <c r="Z46" s="32" t="n">
        <v>35000</v>
      </c>
      <c r="AA46" s="13" t="n">
        <f aca="false">IFERROR(AVERAGEIF(D46:H46,"&lt;&gt;0"),"")</f>
        <v>35000</v>
      </c>
      <c r="AB46" s="13" t="n">
        <f aca="false">IFERROR(AVERAGEIF(I46:M46,"&lt;&gt;0"),"")</f>
        <v>35000</v>
      </c>
      <c r="AC46" s="13" t="n">
        <f aca="false">IFERROR(AVERAGEIF(N46:R46,"&lt;&gt;0"),"")</f>
        <v>35000</v>
      </c>
      <c r="AD46" s="13" t="n">
        <f aca="false">IFERROR(AVERAGEIF(S46:W46,"&lt;&gt;0"),"")</f>
        <v>35000</v>
      </c>
      <c r="AE46" s="13" t="n">
        <f aca="false">IFERROR(AVERAGEIF(X46:Z46,"&lt;&gt;0"),"")</f>
        <v>35000</v>
      </c>
      <c r="AF46" s="13" t="n">
        <f aca="false">IFERROR(AVERAGEIF(D46:Z46,"&lt;&gt;0"),"")</f>
        <v>35000</v>
      </c>
    </row>
    <row r="47" customFormat="false" ht="15" hidden="false" customHeight="false" outlineLevel="0" collapsed="false">
      <c r="A47" s="3" t="n">
        <v>43</v>
      </c>
      <c r="B47" s="3" t="s">
        <v>486</v>
      </c>
      <c r="C47" s="3" t="s">
        <v>471</v>
      </c>
      <c r="D47" s="32" t="n">
        <v>27000</v>
      </c>
      <c r="E47" s="32" t="n">
        <v>27000</v>
      </c>
      <c r="F47" s="32" t="n">
        <v>27000</v>
      </c>
      <c r="G47" s="32" t="n">
        <v>27000</v>
      </c>
      <c r="H47" s="32" t="n">
        <v>27000</v>
      </c>
      <c r="I47" s="32" t="n">
        <v>27000</v>
      </c>
      <c r="J47" s="32" t="n">
        <v>27000</v>
      </c>
      <c r="K47" s="32" t="n">
        <v>27000</v>
      </c>
      <c r="L47" s="32" t="n">
        <v>27000</v>
      </c>
      <c r="M47" s="32" t="n">
        <v>27000</v>
      </c>
      <c r="N47" s="32" t="n">
        <v>27000</v>
      </c>
      <c r="O47" s="32" t="n">
        <v>27000</v>
      </c>
      <c r="P47" s="32" t="n">
        <v>27000</v>
      </c>
      <c r="Q47" s="32" t="n">
        <v>27000</v>
      </c>
      <c r="R47" s="32" t="n">
        <v>27000</v>
      </c>
      <c r="S47" s="32" t="n">
        <v>27000</v>
      </c>
      <c r="T47" s="32" t="n">
        <v>27000</v>
      </c>
      <c r="U47" s="32" t="n">
        <v>27000</v>
      </c>
      <c r="V47" s="32" t="n">
        <v>0</v>
      </c>
      <c r="W47" s="32" t="n">
        <v>0</v>
      </c>
      <c r="X47" s="32" t="n">
        <v>27000</v>
      </c>
      <c r="Y47" s="32" t="n">
        <v>27000</v>
      </c>
      <c r="Z47" s="32" t="n">
        <v>27000</v>
      </c>
      <c r="AA47" s="13" t="n">
        <f aca="false">IFERROR(AVERAGEIF(D47:H47,"&lt;&gt;0"),"")</f>
        <v>27000</v>
      </c>
      <c r="AB47" s="13" t="n">
        <f aca="false">IFERROR(AVERAGEIF(I47:M47,"&lt;&gt;0"),"")</f>
        <v>27000</v>
      </c>
      <c r="AC47" s="13" t="n">
        <f aca="false">IFERROR(AVERAGEIF(N47:R47,"&lt;&gt;0"),"")</f>
        <v>27000</v>
      </c>
      <c r="AD47" s="13" t="n">
        <f aca="false">IFERROR(AVERAGEIF(S47:W47,"&lt;&gt;0"),"")</f>
        <v>27000</v>
      </c>
      <c r="AE47" s="13" t="n">
        <f aca="false">IFERROR(AVERAGEIF(X47:Z47,"&lt;&gt;0"),"")</f>
        <v>27000</v>
      </c>
      <c r="AF47" s="13" t="n">
        <f aca="false">IFERROR(AVERAGEIF(D47:Z47,"&lt;&gt;0"),"")</f>
        <v>27000</v>
      </c>
    </row>
    <row r="48" customFormat="false" ht="15" hidden="false" customHeight="false" outlineLevel="0" collapsed="false">
      <c r="A48" s="3" t="n">
        <v>44</v>
      </c>
      <c r="B48" s="3" t="s">
        <v>487</v>
      </c>
      <c r="C48" s="3" t="s">
        <v>471</v>
      </c>
      <c r="D48" s="32" t="n">
        <v>14000</v>
      </c>
      <c r="E48" s="32" t="n">
        <v>14000</v>
      </c>
      <c r="F48" s="32" t="n">
        <v>14000</v>
      </c>
      <c r="G48" s="32" t="n">
        <v>14000</v>
      </c>
      <c r="H48" s="32" t="n">
        <v>14000</v>
      </c>
      <c r="I48" s="32" t="n">
        <v>14000</v>
      </c>
      <c r="J48" s="32" t="n">
        <v>14000</v>
      </c>
      <c r="K48" s="32" t="n">
        <v>14000</v>
      </c>
      <c r="L48" s="32" t="n">
        <v>14000</v>
      </c>
      <c r="M48" s="32" t="n">
        <v>14000</v>
      </c>
      <c r="N48" s="32" t="n">
        <v>14000</v>
      </c>
      <c r="O48" s="32" t="n">
        <v>14000</v>
      </c>
      <c r="P48" s="32" t="n">
        <v>14000</v>
      </c>
      <c r="Q48" s="32" t="n">
        <v>14000</v>
      </c>
      <c r="R48" s="32" t="n">
        <v>14000</v>
      </c>
      <c r="S48" s="32" t="n">
        <v>14000</v>
      </c>
      <c r="T48" s="32" t="n">
        <v>14000</v>
      </c>
      <c r="U48" s="32" t="n">
        <v>14000</v>
      </c>
      <c r="V48" s="32" t="n">
        <v>0</v>
      </c>
      <c r="W48" s="32" t="n">
        <v>0</v>
      </c>
      <c r="X48" s="32" t="n">
        <v>14000</v>
      </c>
      <c r="Y48" s="32" t="n">
        <v>14000</v>
      </c>
      <c r="Z48" s="32" t="n">
        <v>14000</v>
      </c>
      <c r="AA48" s="13" t="n">
        <f aca="false">IFERROR(AVERAGEIF(D48:H48,"&lt;&gt;0"),"")</f>
        <v>14000</v>
      </c>
      <c r="AB48" s="13" t="n">
        <f aca="false">IFERROR(AVERAGEIF(I48:M48,"&lt;&gt;0"),"")</f>
        <v>14000</v>
      </c>
      <c r="AC48" s="13" t="n">
        <f aca="false">IFERROR(AVERAGEIF(N48:R48,"&lt;&gt;0"),"")</f>
        <v>14000</v>
      </c>
      <c r="AD48" s="13" t="n">
        <f aca="false">IFERROR(AVERAGEIF(S48:W48,"&lt;&gt;0"),"")</f>
        <v>14000</v>
      </c>
      <c r="AE48" s="13" t="n">
        <f aca="false">IFERROR(AVERAGEIF(X48:Z48,"&lt;&gt;0"),"")</f>
        <v>14000</v>
      </c>
      <c r="AF48" s="13" t="n">
        <f aca="false">IFERROR(AVERAGEIF(D48:Z48,"&lt;&gt;0"),"")</f>
        <v>14000</v>
      </c>
    </row>
  </sheetData>
  <mergeCells count="1">
    <mergeCell ref="A1:A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2026-08-05T18:31:53Z</dcterms:created>
  <dc:creator>openpyxl</dc:creator>
  <dc:description/>
  <dc:language>en-US</dc:language>
  <cp:lastModifiedBy/>
  <dcterms:modified xsi:type="dcterms:W3CDTF">2026-08-05T18:32:02Z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